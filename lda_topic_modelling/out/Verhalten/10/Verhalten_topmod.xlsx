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DA topics_Verhalten_10" sheetId="1" r:id="rId5"/>
    <sheet state="visible" name="LDA Topics terms" sheetId="2" r:id="rId6"/>
    <sheet state="visible" name="LDA Pivot" sheetId="3" r:id="rId7"/>
    <sheet state="visible" name="Bert topics_info" sheetId="4" r:id="rId8"/>
    <sheet state="visible" name="Bert topics_s1_Verhalten" sheetId="5" r:id="rId9"/>
    <sheet state="visible" name="Bert Pivot" sheetId="6" r:id="rId10"/>
    <sheet state="visible" name="synthesis" sheetId="7" r:id="rId11"/>
  </sheets>
  <definedNames/>
  <calcPr/>
  <pivotCaches>
    <pivotCache cacheId="0" r:id="rId12"/>
    <pivotCache cacheId="1" r:id="rId13"/>
  </pivotCaches>
</workbook>
</file>

<file path=xl/sharedStrings.xml><?xml version="1.0" encoding="utf-8"?>
<sst xmlns="http://schemas.openxmlformats.org/spreadsheetml/2006/main" count="11961" uniqueCount="1279">
  <si>
    <t>document_id</t>
  </si>
  <si>
    <t>most_prevalent_topic_id</t>
  </si>
  <si>
    <t>most_prevalent_topic_probability</t>
  </si>
  <si>
    <t>text_excerpt</t>
  </si>
  <si>
    <t>state</t>
  </si>
  <si>
    <t>school type</t>
  </si>
  <si>
    <t>grade</t>
  </si>
  <si>
    <t>year</t>
  </si>
  <si>
    <t>subject</t>
  </si>
  <si>
    <t>- Gerechtigkeit Sachkompetenz Die Schülerinnen und Schüler erläutern die Bedeutsamkeit von Gerechtigkeit für soziales Leben, formulieren Regeln für ein gerechtes Miteinander, erläutern unterschiedliche Prinzipien von Gerechtigkeit Gleichheit, Bedürfnis, Leistung, erläutern Verhalten und Handeln hinsichtlich der zugrundeliegenden Werte und möglicher Konsequenzen für sich selbst und für ein gerechtes Miteinander. Urteilskompetenz Die Schülerinnen und Schüler bewerten unterschiedliche Prinzipien von Gerechtigkeit, beurteilen Verhalten und</t>
  </si>
  <si>
    <t>NRW</t>
  </si>
  <si>
    <t>Sek1</t>
  </si>
  <si>
    <t>Ethik, Philo</t>
  </si>
  <si>
    <t>erläutern Verhalten und Handeln hinsichtlich der zugrundeliegenden Werte und möglicher Konsequenzen für sich selbst und für ein gerechtes Miteinander. Urteilskompetenz Die Schülerinnen und Schüler bewerten unterschiedliche Prinzipien von Gerechtigkeit, beurteilen Verhalten und Handlungen unter Berücksichtigung unterschiedlicher Gerechtigkeitsvorstellungen. Inhaltsfeld : Gegenwart und Zukunft Inhaltlicher Schwerpunkt: - Nachhaltiges Leben und Lernen Sachkompetenz Die Schülerinnen und Schüler erläutern die Bedeutung kritischen Denkens sowie der</t>
  </si>
  <si>
    <t>Inhaltsfeld : Gegenwart und Zukunft Inhaltlicher Schwerpunkt: - Nachhaltiges Leben und Lernen Sachkompetenz Die Schülerinnen und Schüler erläutern die Bedeutung kritischen Denkens sowie der Verantwortungsübernahme für Lernprozesse, überprüfen ihr alltägliches Verhalten als Konsumentin und Konsument, beschreiben Möglichkeiten nachhaltigen Konsums, erläutern die Bedeutung von Teilhabe und Gemeinschaft für nachhaltiges Handeln. Urteilskompetenz Die Schülerinnen und Schüler erörtern die Bedeutung von Lernen, Wissen und</t>
  </si>
  <si>
    <t>- Lebensgestaltung - Grenzerfahrungen Sachkompetenz Die Schülerinnen und Schüler beschreiben Träume, Sinnsuche und Glück in ihrer Bedeutung für das eigene Leben, vergleichen Konzepte der Lebensgestaltung u. a. Eudaimonie, Religiosität, beschreiben Verhalten und Handlungen mit Bezug auf unterschiedliche Lebensweisen und Weltanschauungen, stellen unterschiedliche Lebensentwürfe und verschiedene Möglichkeiten des Umgangs mit Grenzerfahrungen dar, erläutern Handlungen zugrundeliegende Werte im Kontext von Grenzerfahrungen, untersuchen das</t>
  </si>
  <si>
    <t>z. B. in der Teamarbeit und im Mannschaftssport Gründe, weshalb jemand zum Außenseiter bzw. Einzelgänger werden kann z. B. Außenseiter in der Klasse, Obdachloser, Kranker, Behinderter; Konsequenzen für das eigene Verhalten Eth Lernbereich : Konsum und Freizeit ca. Std. Kompetenzerwartungen Die Schülerinnen und Schüler ... durchschauen und bewerten die Versuche der Einflussnahme von Seiten der Konsum- und Freizeitindustrie. erkennen den Einfluss</t>
  </si>
  <si>
    <t>Bayern</t>
  </si>
  <si>
    <t>Gym</t>
  </si>
  <si>
    <t>Normen zugrunde liegen, heraus. z. B. Ehrlichkeit, Höflichkeit, Achtsamkeit, Geselligkeit vergleichen Regeln und Rituale in verschiedenen Kontexten. Schulregeln in verschiedenen kulturellen und historischen Kontexten Verhaltensregeln in verschiedenen Sportarten und Spielen Verhaltensweisen in religiösen Gemeinschaften erläutern die Goldene Regel und entwickeln Beispiele für ihre sinnvolle Anwendung. Goldene Regel im Sport, Vergleich zwischen positiver und negativer Formulierung der Goldenen Regel untersuchen Formen und</t>
  </si>
  <si>
    <t>Niedersachsen</t>
  </si>
  <si>
    <t>Oberschule.pdf</t>
  </si>
  <si>
    <t>in unterschiedlichen sozialen Rollen. Gehorsam, Empathie, Pflicht, Loyalität, Respekt, Höflichkeit, Zuneigung, Liebe, Ausgrenzung, Akzeptanz, Toleranz, Verantwortung in den verschiedenen sozialen Kontexten soziale Rolle als Summe der von einer Person erwarteten Verhaltensweisen in jeweils spezifischen Situationen Schule, Sportverein, Familie etc. erklären individuelle Erwartungen an die Verwirklichung eines eigenen Ichs. z. B. Anspruch auf Freiheiten und Eigenständigkeit, Anerkennung in und außerhalb der Peer-Group,</t>
  </si>
  <si>
    <t>ehrliche Sprache Sollen: Moralisches Handeln Werte und Normen Ethik / Wahrheit und Ehrlichkeit - Lüge inhaltsbezogene Kompetenzen methodisch-didaktische Hinweise erklären die Folgen von Lügen, erklären Alternativen zu Lügen, beschreiben typisches Verhalten beim Lügen. Sammeln von Situationen, in denen gelogen wird; Klassifizieren der Fälle Untersuchen von Sprichwörtern Vorstellen von zehn Aussagen über sich neun wahre, eine gelogene - kann der Banknachbar bzw.</t>
  </si>
  <si>
    <t>Saarland</t>
  </si>
  <si>
    <t>GemS</t>
  </si>
  <si>
    <t>5,6</t>
  </si>
  <si>
    <t>Unterscheidungsmerkmalen Überlegen, in welchen Situationen ich Spaß habe, mich langweile oder an etwas interessiert bin Fotos der Schülerinnen und Schüler in Alltagssituationen anschauen und beschreiben Beobachten und Reflektieren des eigenen Verhaltens bei Gesellschaftsspielen oder sportlichen Spielen Partnerinterview zur Fremdeinschätzung Kriterien der Selbst- und Fremdeinschätzung z. B.: Pünktlichkeit, Fleiß, künstlerische Begabungen, technische Begabungen Sein: Ich Mensch sein Ethik / Wer bin ich</t>
  </si>
  <si>
    <t>religiöse Orte, o ritueller Handlungen und Vorschriften, erklären den Zusammenhang der jeweiligen Religion mit ihren Festen. Interpretation der Erlebnisqualität und des Sinns von Ruhetagen, gemeinsamen rituellen Handlungen, traditionellen Festverläufen, rituellen Verhaltens- und Ernährungsvorschriften, religiösen Symbolen, gemeinsamem Gebet Plakat, Collage Sammeln und Vergleichen zentraler Glaubensaussagen Vergleich Handeln geführte Besichtigung einer Kirche, Moschee, Synagoge Besuch eines Gottesdienstes, eines religiösen Festes Sollen: Moralisches Handeln</t>
  </si>
  <si>
    <t>Textinhalten, Rekonstruieren von historischen oder systematischen Zusammenhängen, ggf. unter bestimmten Fragestellungen; selbständige, sachgemäße Darstellung auch komplexer Zusammenhänge und Texte ethische Ansätze, kontroverse ethische Problemstellungen, Wechselwirkung zwischen ethischer Überzeugung und sittlichem Verhalten, Gültigkeitsanspruch und Relativität von Werten und Normen; Erläutern wichtiger Kategorien für ethisch-philosophisches Denken und sittliches Werten in neuen Zusammenhängen; Erschließen von Texten oder Sachverhalten mit Hilfe von Gelerntem, z. B.</t>
  </si>
  <si>
    <t>noch verdienen wir Lob oder Tadel für sie. Im Laufe der Evolution bestand der entscheidende Schritt auf dem Weg zur willentlichen Verhaltenssteuerung darin, dass einige Lebewesen die Fähigkeit entwickelten, ihr Verhalten an der inneren Vorstellung zukünftiger Zustände auszurichten. Es sind insbesondere zwei antizipative Leistungen, die Voraussetzungen für solches Verhalten sind: die Fähigkeit, mehr oder weniger weit in der Zukunft liegende Effekte</t>
  </si>
  <si>
    <t>Weg zur willentlichen Verhaltenssteuerung darin, dass einige Lebewesen die Fähigkeit entwickelten, ihr Verhalten an der inneren Vorstellung zukünftiger Zustände auszurichten. Es sind insbesondere zwei antizipative Leistungen, die Voraussetzungen für solches Verhalten sind: die Fähigkeit, mehr oder weniger weit in der Zukunft liegende Effekte des eigenen Verhaltens zu antizipieren und zu bewerten und das Verhalten an solchen mental repräsentierten Zielzuständen auszurichten sowie</t>
  </si>
  <si>
    <t>zwei antizipative Leistungen, die Voraussetzungen für solches Verhalten sind: die Fähigkeit, mehr oder weniger weit in der Zukunft liegende Effekte des eigenen Verhaltens zu antizipieren und zu bewerten und das Verhalten an solchen mental repräsentierten Zielzuständen auszurichten sowie die Fähigkeit, zukünftige Veränderungen der eigenen Bedürfnislage zu antizipieren und bei der Ausrichtung des Verhaltens an solchen antizipierten Bedürfnissen wenn nötig aktuelle Bedürfnisse</t>
  </si>
  <si>
    <t>und bei der Ausrichtung des Verhaltens an solchen antizipierten Bedürfnissen wenn nötig aktuelle Bedürfnisse oder emotionale Impulse zu unterdrücken. Die Annahme, dass aktuelle Bedürfnisse aber einen direkteren Einfluss auf unser Verhalten haben, macht verständlich, warum es besonderer Kontrollprozesse bedarf, um langfristige Ziele durchzusetzen. Das literarische Musterbeispiel dafür ist Odysseus, der sich von seinen Gefährten an den Mast seines Schiffes fesseln lässt,</t>
  </si>
  <si>
    <t>ist der entscheidende Punkt, dass die Fähigkeit zur Bedürfnisantizipation in Verbindung mit dem Erwerb von Selbstkontrollstrategien die Voraussetzung für eine weitere Stufe der Autonomie bildet. Sie besteht darin, dass das Verhalten nicht mehr nur zum Teil unabhängig von der unmittelbaren äußeren Reizsituation ist, sondern darüber hinaus bis zu einem gewissen Grad auch unabhängig von ansonsten dominanten inneren Determinanten wie aktuellen Bedürfnissen,</t>
  </si>
  <si>
    <t>zu versichern. Deshalb sucht man von Urteilsfähigen geehrt zu werden, von Menschen, die uns kennen, und zwar aufgrund der Tüchtigkeit griechisch hier: arete Tüchtigkeit, Tugend. Jedenfalls ergibt sich aus diesem Verhalten ganz klar, dass die Tüchtigkeit Tugend der höhere Wert ist, und man darf dann vielleicht eher in ihr das Ziel des Lebens für den Staat erkennen. Und doch ist auch</t>
  </si>
  <si>
    <t>von Freiheit und Abhängigkeit wird eine grundlegende Frage des Ethikunterrichts angesprochen. Dabei werden die Begriffe Freiheit bzw. Willensfreiheit in der Auseinandersetzung mit philosophischen, psychologischen und biologischen Interpretationen behandelt, es werden verhaltens- und handlungsbestimmende Faktoren bewusst gemacht, so dass auch die Reichweite wissenschaftlicher Erkenntnisse und Bedingungen der Moralfähigkeit kritisch reflektiert wird. Pluralismus und Grundkonsens Pluralismus weltanschaulicher und ethisch-moralischer Orientierungen ist ein Kennzeichen</t>
  </si>
  <si>
    <t>inneren Vorstellung zukünftiger Zustände auszurichten. Es sind insbesondere zwei antizipative Leistungen, die Voraussetzungen für solches Verhalten sind: die Fähigkeit, mehr oder weniger weit in der Zukunft liegende Effekte des eigenen Verhaltens zu antizipieren und zu bewerten und das Verhalten an solchen mental repräsentierten Zielzuständen auszurichten sowie die Fähigkeit, zukünftige Veränderungen der eigenen Bedürfnislage zu antizipieren und bei der Ausrichtung des Verhaltens</t>
  </si>
  <si>
    <t>Verhaltens zu antizipieren und zu bewerten und das Verhalten an solchen mental repräsentierten Zielzuständen auszurichten sowie die Fähigkeit, zukünftige Veränderungen der eigenen Bedürfnislage zu antizipieren und bei der Ausrichtung des Verhaltens an solchen antizipierten Bedürfnissen wenn nötig aktuelle Bedürfnisse oder emotionale Impulse zu unterdrücken. Die Annahme, dass aktuelle Bedürfnisse aber einen direkteren Einfluss auf unser Verhalten haben, macht verständlich, warum es</t>
  </si>
  <si>
    <t>zukäme. Die Entwicklung willentlichen Handelns im Laufe der Evolution gründet auf der Fähigkeit zur Antizipation. Dazu gehören die gedankliche Vorwegnahme von Handlungsfolgen und von Bedürfnislagen sowie die entsprechende Anpassung des Verhaltens. Da aber aktuelle Bedürfnisse häufig in Konkurrenz zu den antizipierten zukünftigen stehen und einen unmittelbareren Einfluss haben, bedarf es geeigneter Kontrollmechanismen. Am Beispiel von Odysseus Vorbereitungen angesichts der Bedrohung durch</t>
  </si>
  <si>
    <t>und auch zukünftige Generationen eingehen Welche Chancen bietet der technologische Fortschritt für eine nachhaltigere Lebensweise In der Auseinandersetzung mit diesen Fragestellungen gewinnen die Lernenden Orientierung und lernen Auswirkungen des eigenen Verhaltens auf die Welt zu verstehen. So erarbeiten sie sich eine argumentative Grundlage, um in ihrem aktuellen und zukünftigen Handeln verantwortungsvolle und nachhaltige Entscheidungen zu treffen. Bezug zu den Leitperspektiven: Die</t>
  </si>
  <si>
    <t>Hessen</t>
  </si>
  <si>
    <t>Sek2</t>
  </si>
  <si>
    <t>es im Zusammenhang mit der seelischen Verfassung des Menschen, seiner Lebensführung, seiner Wahrnehmungsfähigkeit und seinen Tugenden Gibt es in Glückszusammenhängen gleichsam so etwas wie Werkgerechtigkeit also die Verknüpfung unserer Handlungen, Verhaltensweisen und Taten mit einer höheren Aussicht auf Belohnung und Bestrafung Oder ist das Glück letztendlich nicht in unserer Verfügungsgewalt Welche Hinweise und praktischen Empfehlungen gibt hierzu die Philosophie als Lebenskunst</t>
  </si>
  <si>
    <t>zu zentralen Unterscheidungen Mensch und Tier Abgrenzung des Menschen vom Tier in natürlicher Gestalt, Beschaffenheit, Erkenntniskraft, Sprache und Denken biologische, evolutionäre Anthropologie und Hirnforschung Prometheusmythos Mensch als Mängelwesen Begriffsanalyse: Instinkt, Verhalten, Handlung Natur und Kultur menschliche Entwicklung in ihrer Abhängigkeit von Natur und Gesellschaft Bedeutung gesellschaftlicher Strukturen und Institutionen Mensch als Teil und Gestalter der Natur Kultur als Gestaltung der Welt</t>
  </si>
  <si>
    <t>Sachsen</t>
  </si>
  <si>
    <t>in diesem Zusammenhang der gängigen Unterscheidung von Ethik als Reflexion und Begründung der Moral und Moral als Inbegriff von Überzeugungen, Werten und Normen in einer Gesellschaft, die sich auf das Verhalten der Menschen zueinander und zu der Natur beziehen. Ethisch-moralisch soll darüber hinaus verdeutlichen, dass im Ethikunterricht die beiden Hauptfragen philosophischer Ethik Wie soll ich handeln, um ein gutes beziehungsweise glückliches</t>
  </si>
  <si>
    <t>BaWü</t>
  </si>
  <si>
    <t>Die Schülerinnen und Schüler können die Natur als Lebensraum erfassen und unterschiedliche Formen des Umgangs des Menschen mit der Natur darstellen und deren Folgen abschätzen. Sie können Gründe für dieses Verhalten erläutern und dieses bewerten. Sie können Perspektiven eines verantwortungsvollen Umgangs aufzeigen. Die Schülerinnen und Schüler können Beispiele für die Bedeutung der Natur zum Beispiel Schönheit, Erholung, Lebensraum, Ressource und den</t>
  </si>
  <si>
    <t>aufmerksam darauf, dass sie mit Menschen zusammenleben, denen sie vertrauen und die ihnen vertrauen - Selbst- und Sozialkompetenz. erkennen, dass das Leben in solchen Verhältnissen berechtigte Erwartungen an das eigene Verhalten und an das Verhalten der anderen begründet - Selbstund Sozialkompetenz. lernen Arten der Auseinandersetzung kennen, die das Vertrauensverhältnis nicht beschädigen, und solche, die es zerstören - Methodenkompetenz. erkennen, dass die</t>
  </si>
  <si>
    <t>MeckPomm</t>
  </si>
  <si>
    <t>mit Menschen zusammenleben, denen sie vertrauen und die ihnen vertrauen - Selbst- und Sozialkompetenz. erkennen, dass das Leben in solchen Verhältnissen berechtigte Erwartungen an das eigene Verhalten und an das Verhalten der anderen begründet - Selbstund Sozialkompetenz. lernen Arten der Auseinandersetzung kennen, die das Vertrauensverhältnis nicht beschädigen, und solche, die es zerstören - Methodenkompetenz. erkennen, dass die eigene Festigkeit und Verlässlichkeit</t>
  </si>
  <si>
    <t>- Sachkompetenz. werden aufmerksam auf die Verantwortung, die sie tragen - Selbst- und Sozialkompetenz. erkennen Tier und Natur als Träger von Rechten - Sachkompetenz. verstehen, dass Verantwortlichkeit ein Grundwert im Verhalten des Menschen zur Natur ist - Selbst- und Sachkompetenz. g g g g gesellschaftlicher Verantwortung Leben mit Tieren Schülererzählungen z. B. Tier als Spielkamerad, Gefährte - Warum wünschen sich so</t>
  </si>
  <si>
    <t>Mensch unterscheiden der Bedeutung des Neugierverhaltens nachgehen mögliche Zusammenarbeit mit dem Fach Biologie Modelle des menschlichen und tierischen Gehirns vergleichen - Was lerne ich, um mit anderen vom auf das Verhalten zielenden Lernleben zu können begriff ausgehend, Einstellungen und Verhaltensweisen auf ihren Sinn hin betrachten Zielvorstellungen und Methoden der Erziehung mittels Beispielen veranschaulichen, vergleichen und bewerten, z. B. Erziehung als Ziehen,</t>
  </si>
  <si>
    <t>Lernens wahrnehmen und einschätzen und auf die Vorstellungen vom eigenen Leben in der Zukunft Inhalte Methodische Hinweise voneinander und füreinander des Verhaltens von Säuglingen und Kleinkindern befragen, welchen Anteil angeborenes Verhalten hat - Habe ich in meiner frühesten sich mit Aussagen der SäuglingsKindheit schon gelernt forschung zur Mutter-Vater-KindBeziehung auseinandersetzen Beobachtungen zum Spracherwerb untersuchen Lernen von Reifung/Entwicklung unterscheiden - Was bedeuten die</t>
  </si>
  <si>
    <t>Wünschen entspresowie Fähigkeiten und Möglichkeiten chend zu gestalten des Lernens wahrnehmen und einschätzen und auf die Vorstellungen vom eigenen Leben in der Zukunft Inhalte Methodische Hinweise voneinander und füreinander des Verhaltens von Säuglingen und Kleinkindern befragen, welchen Anteil angeborenes Verhalten hat - Habe ich in meiner frühesten sich mit Aussagen der SäuglingsKindheit schon gelernt forschung zur Mutter-Vater-KindBeziehung auseinandersetzen Beobachtungen zum Spracherwerb</t>
  </si>
  <si>
    <t>mit dem Fach Biologie Modelle des menschlichen und tierischen Gehirns vergleichen - Was lerne ich, um mit anderen vom auf das Verhalten zielenden Lernleben zu können begriff ausgehend, Einstellungen und Verhaltensweisen auf ihren Sinn hin betrachten Zielvorstellungen und Methoden der Erziehung mittels Beispielen veranschaulichen, vergleichen und bewerten, z. B. Erziehung als Ziehen, Führung, Regierung und Zucht, Wachsenlassen, Anpassung und Lebenhelfen -</t>
  </si>
  <si>
    <t>Haltungen sich selbst gegenüber. Die Schülerinnen und Schüler sollen Vertrauen in die eigenen Fähigkeiten und die Wirksamkeit des eigenen Handelns entwickeln. Sie sollen lernen, die eigenen Fähigkeiten realistisch einzuschätzen, ihr Verhalten zu reflektieren und mit Kritik angemessen umzugehen. Ebenso sollen sie lernen, eigene Meinungen zu vertreten und Entscheidungen zu treffen. Motivationale Einstellungen beschreiben die Fähigkeit und Bereitschaft, sich für Dinge einzusetzen</t>
  </si>
  <si>
    <t>Hamburg</t>
  </si>
  <si>
    <t>Stadtteilschule</t>
  </si>
  <si>
    <t>angemessener Weise zu lösen. Soziale Kompetenzen sind erforderlich, um mit anderen Menschen angemessen umgehen und zusammenarbeiten zu können. Dazu zählen die Fähigkeiten, erfolgreich zu kooperieren, sich in Konflikten konstruktiv zu verhalten sowie Toleranz, Empathie und Respekt gegenüber anderen zu zeigen. Die in der nachfolgenden Tabelle genannten überfachlichen Kompetenzen sind jahrgangsübergreifend zu verstehen, d. h., sie werden anders als die fachlichen Kompetenzen</t>
  </si>
  <si>
    <t>für Mensch und Umwelt erkennen und zur Überwindung soziokultureller und interessenbestimmter Barrieren in Kommunikation und Zusammenarbeit beitragen. Dabei kann Lernenden anhand des Modells nachhaltiger Entwicklung eine Orientierung für das eigene Verhalten vor dem Hintergrund kultureller Vielfalt angeboten werden. W BNE B C D E, Päd Rel PGW F A A A D D R R R / Wahlmodul : Glück und</t>
  </si>
  <si>
    <t>Kompetenzen Fachinterne Bezüge I WM Freiheit und Determination III PM Allgemeine Ethik III WM Gerechtigkeit IV PM Brücken in eine friedliche Zukunft bleibt zunächst leer Freiheit Determinanten des Handelns und Verhaltens Handlungsfreiheit und Willensfreiheit Die Idee des Determinismus als Herausforderung für Freiheitsvorstellungen Beitrag zur Leitperspektive W: Freiheit kann als zentraler Wert und zu den Grund- und Menschenrechten gehörig reflektiert werden. Die</t>
  </si>
  <si>
    <t>der normativen Ethik auseinander. Diese nämlich hat im Gegensatz zur deskriptiven Ethik, die es bei der Beschreibung bestehender Wert- und Rechtsordnungen und deren Genese belässt, die dringliche Aufgabe, moralisch relevante Verhaltensweisen und Einstellungen zu begründen und zu legitimieren. Bei der Analyse und der Erörterung verschiedener normativer Theorien werden kontrastive ethische Entwürfe zugrunde gelegt: Erstens erschließen die Schülerinnen und Schüler eine über</t>
  </si>
  <si>
    <t>zu lernen und selbstständig anzuwenden. Grundsätze Zeitrichtwerte Klassenstufe Lernbereich : Vom Nachdenken über die Welt Ustd. Lernbereich : Mythen und religiöse Geschichten Ustd. Lernbereich : Der Mensch und sein soziales Verhalten Ustd. Lernbereich : Mensch und Natur Ustd. Lernbereiche mit Wahlcharakter Wahlbereich : Mein Freund, der Baum Wahlbereich : Die Arbeit des Kindernotdienstes Wahlbereich : Lust auf Lernen Wahlbereich : Brauchtum</t>
  </si>
  <si>
    <t>Oberschule</t>
  </si>
  <si>
    <t>Wodan, Freyja und Donar, Adam und Eva, Kain und Abel, Turmbau zu Babel, Sintflut, Christophoruslegende Elisabeth von Thüringen regionale Bezüge Collage, Handpuppenspiel, Rollenspiel Lernbereich : Der Mensch und sein soziales Verhalten Ustd. Kennen verschiedener Formen des gemeinschaftlichen und gesellschaftlichen Lebens Familie, Schulklasse, Stadt, Land, Kulturkreis EN, Kl. /, LB Me and others Bestimmung des Menschen als soziales Wesen Kann man allein</t>
  </si>
  <si>
    <t>des Häuptlings Seattle, Tierschutzabkommen, Umweltschutzorganisationen Einbeziehen aktueller gesellschaftlich relevanter Fragestellungen Collage Eine Welt, die mir gefällt Gespräch mit Förster, Landwirt BIO, Kl. , LB GEO, Kl. , LB Werteorientierung eigenes Verhalten Konsumverhalten, Urlaubsgestaltung, Tierhaltung, Müllvermeidung und -verwertung Biografie eines Jogurtbechers, Tier- oder Baumpatenschaften, Mitarbeit in Umweltschutzgruppe, Aktion Grüner Schulhof Bildung für nachhaltige Entwicklung , Kennen der natürlichen und der symbolischen Bedeutung</t>
  </si>
  <si>
    <t>Bildung für nachhaltige Entwicklung Beurteilen fremdenfeindlicher Verhaltensweisen wirtschaftliche Hintergründe, mediale Einflüsse Einbeziehen von Darstellungen in digitalen und traditionellen Medien, Besprechen von Fallbeispielen Rollenspiel Sozialkompetenz Werteorientierung Medienbildung Ursachen Kompensation von Unsicherheiten, Verhalten aus Angst, Gruppenzwang Erscheinungsformen Ausgrenzung, Diskriminierung, Gewalt Erfahrungen aus dem Schulalltag Grenzen der Toleranz Bedeutung der Gleichgültigkeit in der Gesellschaft, Ignoranz im unmittelbaren Umfeld Intoleranz gegen intolerantes Verhalten, strafrechtliche Konsequenzen</t>
  </si>
  <si>
    <t>von Unsicherheiten, Verhalten aus Angst, Gruppenzwang Erscheinungsformen Ausgrenzung, Diskriminierung, Gewalt Erfahrungen aus dem Schulalltag Grenzen der Toleranz Bedeutung der Gleichgültigkeit in der Gesellschaft, Ignoranz im unmittelbaren Umfeld Intoleranz gegen intolerantes Verhalten, strafrechtliche Konsequenzen Kl. , LB Einblick gewinnen in die rechtliche Fixierung der grundsätzlichen Gleichberechtigung aller Menschen Menschenrechtscharta, Grundgesetz, Verfassung Gespräch mit Abgeordneten Bildung für nachhaltige Entwicklung Einblick gewinnen in die</t>
  </si>
  <si>
    <t>Pro- und Kontra-Diskussion, Präsentationen Werteorientierung Medienbildung Wahlbereich : Werte und Normen Anwenden von Kenntnissen über Normen und Werte auf die individuelle Lern- und Leistungsbereitschaft Wertbegriffe, Betrachten von Wertkonflikten, Werte und Verhalten, Höflichkeit, Pünktlichkeit, Toleranz, Gerechtigkeit, Ehrlichkeit begriffliches Arbeiten, Stationslernen, Empathieübungen, Expertenrunden, Dilemmageschichten, Diskussion, Befragungen, Suchtprävention GE, Kl. , LB Modul , Menschrechte und Verbrechen gegen die Menschlichkeit Kl. , LB Kl.</t>
  </si>
  <si>
    <t>- eine Zeit des Suchens Merkmale von Jugend: Anzweifeln von Autoritäten, Protest, Rebellion gegen Wertvorstellungen der Erwachsenen, Suche nach dem eigenen Ich, Bedeutung von Peergroups Straftaten in Verbindung mit Drogen, Verhalten als Mitwisser, Hilfsangebote Karikaturen, Erfahrungsberichte, Collagen, Rollenspiele Kl. , LB GK, Kl. , LB Phasen des Erwachsenenalters Vergleichen von Idealvorstellung und Realität verschiedener Lebensformen wie Ehe, Nichteheliche Lebensgemeinschaft, Single, Wohngemeinschaften</t>
  </si>
  <si>
    <t>fördern die Identifikation mit der Schule, die Schaffung neuer Lernräume und die Öffnung der Schule in die Region. Toleranz, Transparenz, Verlässlichkeit sind handlungsleitende Prinzipien schulischer Arbeit. Regeln und Normen des Verhaltens in der Schule werden gemeinschaftlich erarbeitet. Im besonderen Maße richtet sich der Blick auf die Bedeutung authentischer Bezugspersonen für Heranwachsende. Während fachübergreifendes Arbeiten durchgängiges Unterrichtsprinzip ist, setzt fächerverbindender Unterricht ein</t>
  </si>
  <si>
    <t>insbesondere zum selbstständigen Lernen, funktionsbezogen auszuwählen, zu nutzen und selbst herzustellen. Sie erkennen bei sich selbst und anderen, dass Medien sowie das eigene mediale Handeln Einfluss auf Vorstellungen, Gefühle und Verhaltensweisen ausüben. Medienbildung Die Schüler lernen, Themen und Probleme mehrperspektivisch zu erfassen. Mehrperspektivität Die Schüler entwickeln eigene Wertvorstellungen auf der Grundlage der freiheitlichen demokratischen Grundordnung, indem sie Werte im schulischen Alltag</t>
  </si>
  <si>
    <t>Regeln notwendig bzw. sinnvoll Vermeidung von Konflikten durch Regeln Regeln im Schulalltag Pflichten und Rechte, Hausordnung, Schulkonferenz, Schülersprecher, Streitschlichter Pro- und Kontra-Diskussion W t i ti eigener Umgang mit Regeln Verhaltensweisen in Familie, Klassengemeinschaft, im Freundeskreis, in Konfliktsituationen Empathieübungen, Rollenspiele, Texte Kl. , LB Kennen ausgewählter sozialer Probleme und geeigneter Hilfsmöglichkeiten Kinderarmut, Arbeitslosigkeit, sexueller Missbrauch, Drogenmissbrauch und Suchtprävention, Kinderrechte, Grundgesetz Expertenrunden</t>
  </si>
  <si>
    <t>Judentums und die Geschichte der Juden. Die Schüler reflektieren ihre Begegnungen mit verschiedenen Menschen und Personengruppen, insbesondere mit solchen, die ihnen fremd sind. Sie lernen, Vorurteile abzubauen und entwickeln angemessene Verhaltensweisen, mit Fremdheit umzugehen. Entwickeln von ethischem Reflexions- und Urteilsvermögen Die Schüler entwickeln die Fähigkeit weiter, ihre Sinne bewusst einzusetzen und reflektieren ihre Bezüge zur Umwelt. Sie sind zunehmend in der</t>
  </si>
  <si>
    <t>mit statistischem Material der Ausländerbehörden GS, ETH, Kl. , LB DE, Kl. , LB EN, Kl. /, LB Me and others Sozialkompetenz Mehrperspektivität Werteorientierung Bildung für nachhaltige Entwicklung Beurteilen fremdenfeindlicher Verhaltensweisen wirtschaftliche Hintergründe, mediale Einflüsse Einbeziehen von Darstellungen in digitalen und traditionellen Medien, Besprechen von Fallbeispielen Rollenspiel Sozialkompetenz Werteorientierung Medienbildung Ursachen Kompensation von Unsicherheiten, Verhalten aus Angst, Gruppenzwang Erscheinungsformen Ausgrenzung, Diskriminierung,</t>
  </si>
  <si>
    <t>fairen Entwicklung des Weltmarktes, Schuldenentwicklung und -erlass Bezug zum eigenen Konsumverhalten Entwicklungshilfe, friedenssichernde Maßnahmen Internetrecherche Expertengespräch Bildung für nachhaltige Entwicklung Mehrperspektivität Wahlbereich : Zeugen gewaltfreien Handelns Kennen von Grundeinstellungen und Verhaltensweisen gewaltfreien Handelns Buchvorstellung, Textarbeit, Unterrichtsfilm zu möglichen Leitbildern: Jesus, Mahatma Gandhi, Martin Luther King LB Werteorientierung Wahlbereich : Mit offenen Augen die Welt betrachten Gestalten einer Dokumentation zum Thema Armut</t>
  </si>
  <si>
    <t>und Liebe, Zusammenhang von Körper, Seele und Geist, Spannungsbogen von Gemeinschaft und Individualität, von Festhalten und Loslassen interessendifferenzierende Gruppenarbeit Werteorientierung sexuelle Veranlagung Entwicklung sexueller Identität Anerkennung sexueller und geschlechtlicher Vielfalt Verhaltensweisen Freundschaft, Liebe und Sexualität als menschliche Grundbedürfnisse, gegenseitige Zuneigung und Achtung, Selbstbestimmung, Freiwilligkeit der Partner Verantwortung Schwangerschaftsverhütung, Schutz vor AIDS und Geschlechtskrankheiten BIO, Kl. , LB Einblick gewinnen in die</t>
  </si>
  <si>
    <t>Biographie Siddharta Gautamas Leben als Prinz, vier Ausfahrten, Weg zur Erleuchtung, Wanderschaft, Mönchsorden, Gleichnisse Bogen Kennen ausgewählter Elemente der buddhistischen Lehre und Ethik System eines Weges zur Aufhebung des Leidens, Verhaltensweisen zur Erlösung Die vier edlen Wahrheiten Der edle achtgliedrige Pfad Das Rad des Lebens: Karma: gedachte und ausgeführte Taten des Menschen und Folgen von Taten Samsara: Kreislauf der Wiedergeburt Nirvana:</t>
  </si>
  <si>
    <t>Die Schülerinnen und Schüler können die Natur als Lebensraum erfassen und unterschiedliche Formen des Umgangs des Menschen mit der Natur darstellen und deren Folgen abschätzen. Sie können Gründe für dieses Verhalten erläutern und dieses bewerten. Sie können Perspektiven eines verantwortungsvollen Umgangs aufzeigen. Die Schülerinnen und Schüler können G M E anhand vorgegebener Beispiele die Bedeutung der Natur z. B. Schönheit, Er-holung,</t>
  </si>
  <si>
    <t>dargestellt. Nach einem Mausklick auf das jeweilige Symbol werden die Verweise im Browser detaillierter dargestellt dies wird in der Abbildung nicht veranschaulicht: aus ihren Kenntnissen der Mechanik Regeln für sicheres Verhalten im Straßenverkehr ableiten z. B. Sicherheitsgurte aus ihren Kenntnissen der Mechanik Regeln für sicheres Verhalten im Straßenverkehr ableiten z. B. Sicherheitsgurte aus ihren Kenntnissen der Mechanik Regeln für sicheres Verhalten</t>
  </si>
  <si>
    <t>dies wird in der Abbildung nicht veranschaulicht: aus ihren Kenntnissen der Mechanik Regeln für sicheres Verhalten im Straßenverkehr ableiten z. B. Sicherheitsgurte aus ihren Kenntnissen der Mechanik Regeln für sicheres Verhalten im Straßenverkehr ableiten z. B. Sicherheitsgurte aus ihren Kenntnissen der Mechanik Regeln für sicheres Verhalten im Straßenverkehr ableiten z. B. Sicherheitsgurte Darstellung der Verweise in der Webansicht Beispiel aus Physik</t>
  </si>
  <si>
    <t>Verhalten im Straßenverkehr ableiten z. B. Sicherheitsgurte aus ihren Kenntnissen der Mechanik Regeln für sicheres Verhalten im Straßenverkehr ableiten z. B. Sicherheitsgurte aus ihren Kenntnissen der Mechanik Regeln für sicheres Verhalten im Straßenverkehr ableiten z. B. Sicherheitsgurte Darstellung der Verweise in der Webansicht Beispiel aus Physik Mechanik: Dynamik Darstellung der Verweise in der Druckfassung In der Druckfassung und in der PDF-Ansicht</t>
  </si>
  <si>
    <t>Verweise direkt unterhalb der jeweiligen Teilkompetenz dargestellt. Bei Verweisen auf andere Fächer ist zusätzlich das Fächerkürzel dargestellt im Beispiel T für Technik: aus ihren Kenntnissen der Mechanik Regeln für sicheres Verhalten im Straßenverkehr ableiten z. B. Sicherheitsgurte aus ihren Kenntnissen der Mechanik Regeln für sicheres Verhalten im Straßenverkehr ableiten z. B. Sicherheitsgurte aus ihren Kenntnissen der Mechanik Regeln für sicheres Verhalten</t>
  </si>
  <si>
    <t>Fächerkürzel dargestellt im Beispiel T für Technik: aus ihren Kenntnissen der Mechanik Regeln für sicheres Verhalten im Straßenverkehr ableiten z. B. Sicherheitsgurte aus ihren Kenntnissen der Mechanik Regeln für sicheres Verhalten im Straßenverkehr ableiten z. B. Sicherheitsgurte aus ihren Kenntnissen der Mechanik Regeln für sicheres Verhalten im Straßenverkehr ableiten z. B. Sicherheitsgurte Bewertung Mechanik: Kinematik T Mobilität Bewertung Mechanik: Kinematik T</t>
  </si>
  <si>
    <t>Verhalten im Straßenverkehr ableiten z. B. Sicherheitsgurte aus ihren Kenntnissen der Mechanik Regeln für sicheres Verhalten im Straßenverkehr ableiten z. B. Sicherheitsgurte aus ihren Kenntnissen der Mechanik Regeln für sicheres Verhalten im Straßenverkehr ableiten z. B. Sicherheitsgurte Bewertung Mechanik: Kinematik T Mobilität Bewertung Mechanik: Kinematik T Mobilität Bewertung Mechanik: Kinematik T Mobilität Gültigkeitsbereich der Verweise Sind Verweise nur durch eine gestrichelte</t>
  </si>
  <si>
    <t>oder Tierquälerei Gedankenexperiment: Stell dir vor, es kämen Außerirdische und wollten uns als Nutztiere verwenden Empathie und Perspektivwechsel Bildung für nachhaltige Entwicklung Wahlbereich : Wege zur Identität Sich positionieren zum Verhalten Jugendlicher auf der Suche nach Identität den eigenen Stil finden: Jugendkulturen und -szenen Frisuren, Kleidung, Sprache, Tattoos, Piercing Identität durch Konsum Wohlfahrtsgesellschaft und Nachhaltigkeit Engagement Jugendlicher für Umwelt, Frieden, Solidarität</t>
  </si>
  <si>
    <t>Chance und Bedrohung Selbsterkenntnis, Eigenverantwortung, Neuanfang Hoffnungs- und Orientierungslosigkeit bei Verlust, Misserfolg, Krankheit Umgang mit Gewalt Werteorientierung Beurteilen von persönlichkeitsgefährdendem Krisenverhalten Entstehung von Abhängigkeiten: Drogensucht, Workaholics, Magersucht, Bulimie, Spielsucht, maßloses Verhalten Medien im Spannungsverhältnis zwischen Information und Abhängigkeit aggressives Verhalten gegen sich und andere Sinnverneinung, Verdrängungsmechanismen Mirjam Pressler: Bitterschokolade Film Verantwortungsbereitschaft Bildung für nachhaltige Entwicklung Kennen ausgewählter philosophischer und religiöser Orientierungs-</t>
  </si>
  <si>
    <t>bei Verlust, Misserfolg, Krankheit Umgang mit Gewalt Werteorientierung Beurteilen von persönlichkeitsgefährdendem Krisenverhalten Entstehung von Abhängigkeiten: Drogensucht, Workaholics, Magersucht, Bulimie, Spielsucht, maßloses Verhalten Medien im Spannungsverhältnis zwischen Information und Abhängigkeit aggressives Verhalten gegen sich und andere Sinnverneinung, Verdrängungsmechanismen Mirjam Pressler: Bitterschokolade Film Verantwortungsbereitschaft Bildung für nachhaltige Entwicklung Kennen ausgewählter philosophischer und religiöser Orientierungs- und Sinnangebote Glück, Lust, Pflicht, Nutzen, Mitleid Hingabe an</t>
  </si>
  <si>
    <t>informatische Bildung Wahlbereich : Das Bewusste und das Unbewusste Kennen des Einflusses von Bewusstem und Unbewusstem auf das Handeln Handeln als reflektierte und willentliche Tätigkeit: Reflexion, Wille, Planung, Folgenabschätzung unwillkürliches Verhalten: Reflexe, Instinkte, Triebe, Affekt Es - Ich - Über-Ich Operantes Konditionieren Rollenspiel LB Wahlbereich : Von Ayurveda bis Zen Sich positionieren zu fernöstlichen Einflüssen auf unseren Alltag Formen westlicher Adaption:</t>
  </si>
  <si>
    <t>Armut und Reichtum als relative Begriffe Menschliche Armut im materiellen Überfluss Wege aus der Armut durch Bildung Möglichkeiten der Freizeitgestaltung Empathie und Perspektivwechsel Übertragen der Kenntnisse auf persönliche Einstellungen und Verhaltensweisen Übernahme von sozialer Verantwortung Notwendigkeit nachhaltigen Handelns Expertengespräch: Örtliche und internationale Hilfsorganisationen Verantwortungsbereitschaft Bildung für nachhaltige Entwicklung Wahlbereich : Ernährung und Persönlichkeit Sich positionieren zum Zusammenhang von Ernährung und Persönlichkeit</t>
  </si>
  <si>
    <t>Anzeichen für Fälschungen; Instrumente gezielter Beeinflussung in sozialen Netzwerken; Bedeutung der Werbe-Finanzierung medienethische Verantwortung von Produzenten, Konsumenten und weiteren Beteiligten, insbesondere Presse- und Berufskodizes von Journalisten Persönlichkeitsrechte, z. B. verletzendes Online-Verhalten und seine Folgen, Grundgedanken von Datenschutz und Urheberrecht, Datenhandel</t>
  </si>
  <si>
    <t>Umweltethik, z. B. der Begriff der Natur in den Natur- und Weltreligionen, in der Wissenschaft heute Klimaethik BTV BNE DRF zusätzlich für den Leistungskurs Vertiefung von Fragen der Vorhersagbarkeit menschlichen Verhaltens Determinismus, Indeterminismus, Unfreiheitsbewusstsein Lektüre: Hannah Arendt: Die Freiheit, frei zu sein Methode: Verfassen eines Essays zu: Ulrich Pothast: Freiheit und Verantwortung. Eine Debatte, die nicht sterben will - und auch</t>
  </si>
  <si>
    <t>Lebensfragen zu erhalten. entwickeln in der mehrperspektivischen Auseinandersetzung mit der Wesensbestimmung des Menschen ein differenziertes Verständnis von sich selbst und anderen. erkennen Einflüsse der evolutionären Herkunft des Menschen auf sein Verhalten. erkennen Sprachlichkeit als Charakteristikum des Menschen, das seine Wahrnehmung, sein Denken und sein Handeln prägt. ordnen in ihr eigenes Bild vom Menschen wesentliche Erkenntnisse der Psychologie ein und nutzen sie,</t>
  </si>
  <si>
    <t>den übergreifenden Bildungs- und Erziehungszielen Das Fach Ethik steht in enger Verbindung mit vielen der fächer- und schulartübergreifenden Erziehungsziele. Werteerziehung Im Nachdenken etwa darüber, wie eigene Werthaltungen das Handeln und Verhalten bestimmen, erweist sich die Wertebildung als eine wesentliche Grundlage des Ethikunterrichts. Dies beinhaltet auch den respektvollen Umgang mit Umwelt und Natur. Soziales Lernen Eine besondere Bedeutung hat im Ethikunterricht das</t>
  </si>
  <si>
    <t>Liebe und Sexualität auseinander. vermeintlich typisch männliche bzw. typisch weibliche Eigenschaften und Vorstellungen, unterschiedliche Kommunikationsformen, Rollenverhalten der Geschlechter, Vorurteile gegenüber Homosexualität Sexualität und Rollenklischees in den Medien sexuelle Codierungen von Verhalten, Kleidung etc. diskutieren Möglichkeiten und Grenzen sexueller Selbstbestimmung in Vergangenheit und Gegenwart. Konventionen im historischen Vergleich Liebe und Sexualität im Spannungsfeld von Partnerwahl und -konstellationen, Verhältnis zum eigenen Körper, Zurschaustellung</t>
  </si>
  <si>
    <t>Gesamtschule</t>
  </si>
  <si>
    <t>und Normen zugrunde liegen z. B. Ehrlichkeit, Höflichkeit, Achtsamkeit, Geselligkeit vergleichen Regeln und Rituale in verschiedenen Kontexten. Schulregeln in verschiedenen kulturellen und historischen Kontexten Verhaltensregeln in verschiedenen Sportarten und Spielen Verhaltensweisen in religiösen Gemeinschaften erläutern die Goldene Regel und entwickeln Beispiele für ihre sinnvolle Anwendung. Goldene Regel im Sport, Vergleich zwischen positiver und negativer Formulierung der Goldenen Regel untersuchen mögliche Folgen</t>
  </si>
  <si>
    <t>in unterschiedlichen sozialen Rollen. Gehorsam, Empathie, Pflicht, Loyalität, Respekt, Höflichkeit, Zuneigung, Liebe, Ausgrenzung, Akzeptanz, Toleranz, Verantwortung in den verschiedenen sozialen Kontexten soziale Rolle als Summe der von einer Person erwarteten Verhaltensweisen in jeweils spezifischen Situationen Schüler, Sportler, Sohn/Tochter etc. erklären individuelle Erwartungen an die Verwirklichung eines eigenen Ichs. z. B. Anspruch auf Freiheiten und Eigenständigkeit, Anerkennung in und außerhalb der Peer-Group,</t>
  </si>
  <si>
    <t>und Diskursführen versammelt Kompetenzen, die zugleich Gegenstand des Unterrichts sind und die im Folgenden in einem Kompetenzraster entfaltet werden. In unserer Gesellschaft liegt Moral faktisch als gelebte Orientierung an bestehenden Verhaltens-Normen, Regeln und Gesetzen verschiedener Art immer schon vor. Ihrem Alter und ihrem erzieherischen Lebensumfeld gemäß verfügen Schülerinnen und Schüler zumeist unreflektiert über ein entsprechendes Wissen und wenden es alltagspraktisch an.</t>
  </si>
  <si>
    <t>als Problem der Anthropologie interpretieren. Kommunizieren Die Schülerinnen und Schüler können das eigene vorreflexive Wirklichkeitsverständnis problematisieren die Implikationen und Konsequenzen eigener moralischer Wertungen problematisieren sich gegenüber fremden moralischen Wertungen argumentativ verhalten eigene Ansprüche auf Selbstentfaltung ins Verhältnis setzen zu den Anforderungen der Gemeinschaft sich gegenüber fremden Vorstellungen von gemeinschaftlichem Leben argumentativ verhalten sich argumentativ Vorstellungen gegenüber verhalten, deren Prämissen den eigenen</t>
  </si>
  <si>
    <t>Bremen</t>
  </si>
  <si>
    <t>moralischer Wertungen problematisieren sich gegenüber fremden moralischen Wertungen argumentativ verhalten eigene Ansprüche auf Selbstentfaltung ins Verhältnis setzen zu den Anforderungen der Gemeinschaft sich gegenüber fremden Vorstellungen von gemeinschaftlichem Leben argumentativ verhalten sich argumentativ Vorstellungen gegenüber verhalten, deren Prämissen den eigenen Menschbildannahmen widersprechen. Urteilen Die Schülerinnen und Schüler können den naiven Realismus als erkenntnistheoretisch unangemessen bewerten und die eigenen erkenntnistheoretischen Überlegungen auf</t>
  </si>
  <si>
    <t>fremden moralischen Wertungen argumentativ verhalten eigene Ansprüche auf Selbstentfaltung ins Verhältnis setzen zu den Anforderungen der Gemeinschaft sich gegenüber fremden Vorstellungen von gemeinschaftlichem Leben argumentativ verhalten sich argumentativ Vorstellungen gegenüber verhalten, deren Prämissen den eigenen Menschbildannahmen widersprechen. Urteilen Die Schülerinnen und Schüler können den naiven Realismus als erkenntnistheoretisch unangemessen bewerten und die eigenen erkenntnistheoretischen Überlegungen auf dieser Einsicht aufbauen eigene moralische</t>
  </si>
  <si>
    <t>Wesen, Existenz und Essenz P. Bieri: bedingte und unbedingte Freiheit, Aneignung des Willens Sozialpsychologie: Konformität Acceptance, Compliance, Autorität u. a. MilgramExperiment, Bystander-Effekt Sozialisation, Status und Rolle als Bestimmungsgrößen für menschliches Verhalten Freiheit des Menschen aus neurobiologischer Sicht: das Experiment von B. Libet; Aussagen der neueren Forschung, z. B. G. Roth, W. Singer, W. Prinz philosophische Kritik der Aussagen von Neurobiologinnen und</t>
  </si>
  <si>
    <t>Weltanschauungen und Religionen auseinander. Sie erwerben auf diese Weise im Lauf der Gymnasialzeit ein fundiertes Wissen über Bedingungen und Probleme des Zusammenlebens von Menschen, das es ihnen ermöglichen soll, fremdes Verhalten besser zu verstehen, eigenes Verhalten reflektiert einzuschätzen sowie gegebenenfalls zu korrigieren. Somit trägt der Ethikunterricht wesentlich zur Entwicklung kultureller Kompetenz bei. Besondere Bedeutung kommt auch der Behandlung von Themenfeldern der</t>
  </si>
  <si>
    <t>Sachsen-Anhalt</t>
  </si>
  <si>
    <t>erwerben auf diese Weise im Lauf der Gymnasialzeit ein fundiertes Wissen über Bedingungen und Probleme des Zusammenlebens von Menschen, das es ihnen ermöglichen soll, fremdes Verhalten besser zu verstehen, eigenes Verhalten reflektiert einzuschätzen sowie gegebenenfalls zu korrigieren. Somit trägt der Ethikunterricht wesentlich zur Entwicklung kultureller Kompetenz bei. Besondere Bedeutung kommt auch der Behandlung von Themenfeldern der Angewandten Ethik zu, weil dort</t>
  </si>
  <si>
    <t>und adressatengerecht und reflektieren auch ihre Lernwege und die Ergebnisse ihrer Arbeit. Mit einer Unterrichtsgestaltung, in der Schülerinnen und Schüler das methodische Vorgehen bewusst und kritisch-konstruktiv diskutieren, werden Einstellungen und Verhaltensweisen gefördert, die für ein Studium oder eine vergleichbare berufliche Ausbildung erstrebenswert sind. Allgemeine Hochschulreife Als Unterricht am Gymnasium soll der Ethikunterricht zugleich die für die Allgemeine Hochschulreife erforderliche wissenschaftspropädeutische Ausrichtung</t>
  </si>
  <si>
    <t>der Werteerziehung missverstanden, wenn er die Existenz eines Expertenwissens über das moralisch Richtige suggerierte, das von der Lehrkraft auf die Schülerinnen und Schüler übertragen werden und auf diese Weise ein Verhalten gemäß bestimmter moralischer Anforderungen einer Gesellschaft sichern könnte. Ethikunterricht kann und wird durch die besonders ausgeprägte Beschäftigung mit Werten, Einstellungen und Handlungsoptionen bei Schülerinnen und Schülern zur Prüfung des eigenen</t>
  </si>
  <si>
    <t>Rheinland-Pfalz</t>
  </si>
  <si>
    <t>sie zurück: Zum einen prägen die speziellen Strukturen der einzelnen Medien die vermittelten Inhalte als spezielle Textart, Bilder, Film, zum anderen beeinflusst aber auch das Medium selbst unser Denken und Verhalten. Schülerinnen und Schüler machen diese Erfahrung zunehmend im Umgang mit sozial vernetzenden Medien. Diese stellen sie regelmäßig vor größere Herausforderungen, was ihr Selbstbild und den angemessenen Umgang mit anderen Menschen</t>
  </si>
  <si>
    <t>im Hinblick auf meine Zukunft tun Kann man sich selbst wirklich kennen Was sind soziale Rollen Wie wirken sie sich auf Menschen aus Müssen Mädchen/Jungen sich jeweils nach bestimmten Regeln verhalten Wie weit kann man auf Erwartungen anderer eingehen Wer bin ich für andere Was erwarten andere Eltern, Freunde von mir Soll ich tun, was alle anderen auch tun INHALTE PROBLEMFRAGEN</t>
  </si>
  <si>
    <t>gemäß bestimmter moralischer Anforderungen einer Gesellschaft sichern könnte. Ethikunterricht kann und wird durch die besonders ausgeprägte Beschäftigung mit Werten, Einstellungen und Handlungsoptionen bei Schülerinnen und Schülern zur Prüfung des eigenen Verhaltens beitragen. Er erreicht das, indem er eine aktive, reflektierte und autonome Entwicklung von persönlichen Positionen und Haltungen vorbereiten hilft, würde aber seinen vorrangigen Zielen wiederum widersprechen, wollte er diese -</t>
  </si>
  <si>
    <t>eine aktive, reflektierte und autonome Entwicklung von persönlichen Positionen und Haltungen vorbereiten hilft, würde aber seinen vorrangigen Zielen wiederum widersprechen, wollte er diese - etwa als Forderung bestimmter Handlungen oder Verhaltensweisen - in Performanz einfordern. Der Lehrkraft kommt zudem nicht a priori eine moralische Überlegenheit zu. Ihre Aufgabe besteht in diesem Sinne auch nicht darin, eine Art Lebenshilfe zur Bewältigung der</t>
  </si>
  <si>
    <t>Um diesen Lernprozess anzuregen, ist die Aufgabe der Reflexion für die Lernenden in diesem Kompetenzerwerbsprozess vielfältig. Will man sich zum eigenen Tun und Lassen sowie zu den Handlungen anderer Menschen verhalten, geschieht dies durch Wahrnehmen und Deuten sowie Analysieren und Reflektieren. In den Tätigkeiten des Analysierens und Reflektierens sowie des Argumentierens und Urteilens stellt sich ein Individuum der Pluralität eigener Erfahrungen</t>
  </si>
  <si>
    <t>Kultur und Religion, ein solides Wissen über das Eigene, das die Angst vor dem Fremden zu überwinden hilft. Im nächsten Schritt in den Jahrgangsstufen / geht es darum, kulturell geprägtes Verhalten von Menschen zu verstehen und zu erklären. Angestrebt wird das Verstehen von Menschen anderer Kulturen und Religionen. In einem abschließenden Schritt ist eine bewusste Verortung innerhalb der Pluralität von Kulturen,</t>
  </si>
  <si>
    <t>Realschule</t>
  </si>
  <si>
    <t>Globalisierung, der Anwendung medizinisch-technischer Entwicklungen oder des Verbrauchs natürlicher Ressourcen, erfordern reflektiertes und verantwortungsbewusstes Bewerten und Handeln. Zu dessen Anbahnung trägt der Ethikunterricht bei, indem er das eigene Handeln und Verhalten der Schüler mit diesen Fragestellungen in einen Zusammenhang stellt. Kompetenzorientierung im Fach Ethik Kompetenzstrukturmodell Im Kompetenzstrukturmodell für das Fach Ethik sind die zentralen Kompetenz- und Gegenstandsbereiche mit den ethischen Leitbegriffen</t>
  </si>
  <si>
    <t>Verständigung unter den Schülerinnen und Schülern. Das Fach Ethik steht in enger Verbindung mit vielen der schulart- und fächerübergreifenden Erziehungsziele. Im Nachdenken etwa darüber, wie eigene Werthaltungen das Handeln und Verhalten bestimmen, erweist sich die Werteerziehung als eine wesentliche Grundlage des Ethikunterrichts. Soziales Lernen Kulturelle Bildung und Interkulturelle Bildung Bildung für Nachhaltige Entwicklung Umweltbildung, Globales Lernen Familien- und Sexualerziehung Ökonomische Verbraucherbildung</t>
  </si>
  <si>
    <t>steht oft die Frage nach einem moralisch vertretbaren Handeln. Die Schülerinnen und Schüler setzen sich darüber hinaus regelmäßig damit auseinander, welche Bedeutung bestimmte Normen und Werte für menschliche Haltungen und Verhaltensweisen haben. Und schließlich stellt sich im Ethikunterricht die zentrale Frage nach dem Sinn des Lebens. Die Schülerinnen und Schüler erfassen in altersgemäßer Weise die Tragweite dieser Frage für das eigene</t>
  </si>
  <si>
    <t>Familienkonstellationen. nehmen die Anliegen und Bedürfnisse anderer Familienmitglieder wahr und berücksichtigen sie in ihren Handlungen. zeigen Einsicht in die Notwendigkeit von Regeln und Vereinbarungen innerhalb einer Familie und verfügen über Verhaltensweisen, die zum Gelingen dieser Gemeinschaftsform beitragen. artikulieren in einfachen Konfliktsituationen in der Familie Gefühle und Bedürfnisse auf verantwortungsvolle Weise und wägen mögliche Lösungswege ab. erkennen Konsequenzen, die sich aus spezifischen</t>
  </si>
  <si>
    <t>herausarbeiten. Selbst- und Sozialkompetenz Der Schüler kann - seine Mitschüler in ihren Stärken und Schwächen einschätzen und individuelle Eigenarten akzeptieren, - eigene Bedürfnisse und Zielvorstellungen artikulieren, - darüber reflektieren, welches Verhalten fair und gerecht ist, - eigene Ve r a n t w o r t u n g und Mitgestaltungsmöglichkeiten für das schulische Leben wahrnehmen, - Gestaltungsmöglichkeiten für das G</t>
  </si>
  <si>
    <t>Thüringen</t>
  </si>
  <si>
    <t>Anti-Abhängigkeitswerbung Sein: Ich Mensch sein Ethik / Bedürfnisse und Sucht inhaltsbezogene Kompetenzen methodisch-didaktische Hinweise Arten der Sucht Die Schülerinnen und Schüler erläutern die Grenze zwischen normalem und zwanghaftem bzw. abhängigem Verhalten, vergleichen stoffgebundene und nicht stoffgebundene Süchte bzw. Abhängigkeiten bzgl. ihrer Folgen für die Abhängigen. Beurteilen des Verhaltens in Fallbeispielen mit Hilfe einer Skala Entwerfen eines Fragebogens zum Herausfinden eines Suchtverhaltens</t>
  </si>
  <si>
    <t>7,8</t>
  </si>
  <si>
    <t>Die Schülerinnen und Schüler erläutern die Grenze zwischen normalem und zwanghaftem bzw. abhängigem Verhalten, vergleichen stoffgebundene und nicht stoffgebundene Süchte bzw. Abhängigkeiten bzgl. ihrer Folgen für die Abhängigen. Beurteilen des Verhaltens in Fallbeispielen mit Hilfe einer Skala Entwerfen eines Fragebogens zum Herausfinden eines Suchtverhaltens Beispiele für diskussionswürdige nicht stoffgebundene Abhängigkeiten: z. B. Nutzen des Smartphones, Computerspiele Zusammenstellen eines Suchtsacks mit stellvertretenden</t>
  </si>
  <si>
    <t>über kulturelle Unterschiede hinweg, Untersuchen von Wortbildungen mit den Wortstämmen fremd und vertraut fremdeln, Fremdsprache/Muttersprache, sich trauen, Trauung etc. im Hinblick auf ihre emotionale Wertigkeit Beschreiben von Gefühlen und typischen Verhaltensweisen, die mit der Situation des Fremd-Seins verbunden sind - Darstellen entsprechend beispielhafter Situationen im Rollenspiel Analysieren mit Hilfe des Eisbergmodells typischer, kulturell bedingter Streitfragen; Darstellen der Standpunkte in der Lerngruppe</t>
  </si>
  <si>
    <t>der Tiersprache kennen lernen, Zusammenarbeit mit dem Fach Biologie Themenbereich II: Was soll ich tun Thema: Unterschiedliche Regelsysteme als Ausdruck sozialer Verbindlichkeiten Ziele: Die Schüler erfahren, dass durch Regeln das Verhalten der Menschen untereinander gesteuert wird - Sach- und Sozialkompetenz, erkennen, dass Regeln in Gemeinschaften das Verflochtensein mit anderen und soziale Bezüge organisieren - Sach- und Sozialkompetenz, verstehen, dass sich in</t>
  </si>
  <si>
    <t>eine bestimmte Rollenspiel: Rolle spiele Geschlechterrollen thematisieren Wie verhalte ich mich in den einzelnen Rollen Tochter, Sohn, Freund, Schüler/ Schülerin, Freund/Freundin Ich-Identität Was macht mich unverwechselbar Fingerabdrücke vergleichen, Situation Aussehen, Verhalten eineiiger Zwillinge untersuchen, Was macht mich zum Individuum Begriffserklärung: Ähnlichkeit - Gleichheit Wo bin ich mir vertraut/ fremd Identität; Was kann ich überhaupt von mir wissen Identität und Geschlecht Verlust</t>
  </si>
  <si>
    <t>Sach- und Methodenkompetenz, gewinnen daraus Kriterien für die Beurteilung von Erkenntnisansprüchen Selbst- und Sachkompetenz. Inhalte Hinweise zum Unterricht Wege philosophischen Denkens Was heißt Denken den Methodengedanken in der Wegmetapher Wie verhalten sich Denken und Wirklichentfalten z. B. Denken als Ideenschau, als keit zueinander Zweifel, Analyse, Sprachreflexion; Wie gelange ich zu begründeten Einsichten Regeln logischen Denkens Wann ist ein Begriff genau bestimmt</t>
  </si>
  <si>
    <t>aufmerksam, dass Sterben und Tod Grenzen des menschlichen Daseins sind - Selbst- und Sachkompetenz, erfahren, wie Menschen verschiedener Kulturen sich zu Sterben, Tod und zu einem Sein nach dem Tod verhalten Selbst- und Sozialkompetenz Todesdarstellung in der Kunst mit der Darstellung von Toten in den modernen Medien vergleichen; Welches Verhältnis haben Menschen verUntersuchung der Lebensalter nach folgenschiedener Lebensalter zum Tod den</t>
  </si>
  <si>
    <t>Zeit auf eigenes Leben beziehen; Einheit von Zukunft, Gegenwart und Gewesenheit graphisch darstellen, Gedankenexperimente: Was wäre, wenn Vergangenes zurückholbar würde, Zukünftiges im voraus bekannt wäre, Gegenwart festgeschrieben werden könnte Wie verhalten wir uns zur Zeit überdenken, wie wir die Zeit verbringen z. B. Lebenszeit, schnellere Verkehrsmittel, Medienvielfalt, Reiseflut; untersuchen, wie und welche Zeittakte uns bestimmen z. B. Arbeitszeit, Freizeit, Vereinsleben, Familie,</t>
  </si>
  <si>
    <t>untersuchen; Mythos Frau untersuchen; Bedarf der Mensch der Tradition Bedeutung der Tradition für den künstlerischen Schaffensprozess an Beispielen prüfen Traditionslast-Traditionsverlust; Zusammenarbeit mit Kunst und Gestaltung, Musik, Deutsch, Religion, Fremdsprachen; Wie verhalten sich Tradition und Tradition als ein bedeutsames Element der Fortschritt zueinander Religionen bestimmen; Zusammenhang von Sprache und Tradition untersuchen, der Entstehung und dem Geltungsbereich bürgerlicher Tugenden nachgehen z. B. Ordnung,</t>
  </si>
  <si>
    <t>moralische Überzeugungen und Darstellungsverstoßen weisen von Kunst überprüfen; Verschleiert Kunst die Wirklichkeit Wirklichkeit - Traum und Lügen anhand von TV-Serien überprüfen und diskutieren, ob die Darstellung einer heilen Welt das Verhalten korrumpiert</t>
  </si>
  <si>
    <t>Schüler erkennen, die Eigenart nachdenklichen Wahrnehmens und Handelns - Sachund Selbstkompetenz, erkennen in der Suspendierung von Handlungszwängen eine Bedingung des Denkens - Methoden- und Sachkompetenz, erfahren Denken als Bereicherung der Verhaltens- und Handlungsmöglichkeiten Selbst- und Sachkompetenz, erkennen in der dadurch begründeten Offenheit die Ambivalenz von Chance und Risiko - Sachkompetenz. Inhalte Hinweise zum Unterricht Gedankenwelt Wie erfahren wir unseren Verstand an</t>
  </si>
  <si>
    <t>Erziehung und/ oder Manipulation; Vorurteile und Fremdenhass auf ihre Begründbarkeit hin untersuchen; das Phänomen der Fremdheit, Was wäre, wenn all mein Handeln vorherGedankenexperiment einer durchgängigen bestimmt wäre kausalen Bestimmtheit menschlichen Verhaltens und Handelns und der Folgen für die Verantwortlichkeit des Menschen; möglich; Wo sind die Grenzen meiner Freiheit Haus-, Schul-, Kleider-, Straßenverkehrsordnungen oder die eigene Schulklasse auf die Notwendigkeit der in</t>
  </si>
  <si>
    <t>kann. Demokratie- und Toleranz-Erziehung - Gewaltprävention Schule ist ein Mikro-Kosmos, der auch zum Ziel haben muss, Demokratie erlebbar zu machen. Zielleitende Fragen dabei sind: Wie lassen sich demokratische Denk- und Verhaltensweisen aufbauen bzw. verstärken Welche Maßnahmen wirken gewaltreduzierend Wie werden Regeln für den Umgang miteinander gefunden, vermittelt, umgesetzt und kontrolliert Welche Potenziale hat das jeweilige Fach, um zur Ausbildung demokratischer Grundhaltungen</t>
  </si>
  <si>
    <t>Was kann ich damit anfangen verschiedene Interessenlagen beschreiben, Gegenstände und Interessenlage mit denen Menschen Dinge beurteilen; Was sagt die ästhetische Gestaltung der Aussagekraft von Zimmereinrichtungen oder Umwelt über Personen aus Verhaltensweisen Mode, Schminke feststellen, beschreiben und beurteilen Kunst als Ware Stilkunde Welcher Zusammenhang besteht zwiBegriff Stil bestimmen und Einflusskriterien schen Lebensstil und Lebensbedingung Charakter, Gesellschaftsschicht, Lebensstil und Epoche/ Zeitgeist feststellen und</t>
  </si>
  <si>
    <t>Ware Stilkunde Welcher Zusammenhang besteht zwiBegriff Stil bestimmen und Einflusskriterien schen Lebensstil und Lebensbedingung Charakter, Gesellschaftsschicht, Lebensstil und Epoche/ Zeitgeist feststellen und berücksichtigen; Worin liegt die Subjektivität und ObjekEigenschaften und Verhaltensweisen bestimmen, tivität des Stils die man einem bestimmten Stil zuschreiben kann historische Stile oder moderne Äußerungsformen, Punk, Yuppie Verbindlichkeit von Geschmacksurteilen Wie erscheint der Zeitgeist in der Kunst Kunst als</t>
  </si>
  <si>
    <t>Verhaltensmuster in unterschiedlichen sozialen Rollen. Gehorsam, Pflicht, Loyalität, Respekt, Höflichkeit, Zuneigung, Liebe, Ausgrenzung, Akzeptanz, Toleranz, Verantwortung in den verschiedenen sozialen Kontexten soziale Rolle als Summe der von einer Person erwarteten Verhaltensweisen in jeweils spezifischen Situationen Schule, Sportverein, Familie etc. untersuchen Möglichkeiten, ein positives Selbstwertgefühl zu erfahren. bewusstes Wahrnehmen und Vergewisserung eigener Stärken, Selbstannahme, aktive Lebensgestaltung, Selbstwirksamkeit, Selbstsicherheit und Selbstbehauptung entwickeln Optionen,</t>
  </si>
  <si>
    <t>Hauptschule</t>
  </si>
  <si>
    <t>der Mensch, der nur das Gute erstrebt, zugrunde gehen muss, weil er inmitten von Menschen lebt, die nicht gut sind; daher muss ein Herrscher lernen, sich wie ein Fuchs zu verhalten, das heißt wie ein Meister, der die Kunst von Heuchelei und Verstellung beherrscht. Ganz allgemein kann man aus der Sicht der Politischen Anthropologie von zwei entgegengesetzten Ansätzen ausgehen: Also wäre</t>
  </si>
  <si>
    <t>Themenschwerpunkt : Was wei der Mensch von sich - Stunden Teilthemen Inhaltsaspekte TT .: Was unterscheidet den Menschen vom Tier Vernunft, Geist, Seele, Leib, Bewusstsein Sprache, Kommunikation, Zeichen, Daten Handeln, Verhalten, Instinkt, Widerfahrnis, Scheitern Fhlen, Empfinden, Lachen, Weinen, Scham Gott, Sinn, Transzendenz, Wrde, Zweck Institution, Freiheit, Determination, Kultur TT .: Wie leben Menschen miteinander Individuum, der Andere, Gemeinschaft, Gesellschaft privat -</t>
  </si>
  <si>
    <t>Lebenswelt und der Wissenschaften zentrale Bedeutung zukommt. Die Sicht des Menschen auf die Natur bestimmt weitgehend die Frage nach dem rechten Umgang mit ihr. Dabei wird auch heute noch sein Verhalten der Natur gegenber dadurch beeinflusst, wie in der Vergangenheit ber sie gedacht wurde. Vorwissenschaftlich kommt das Naturverstndnis des Menschen vor allem in religisen und mythologischen Formen zum Ausdruck, aber auch</t>
  </si>
  <si>
    <t>europischen Nationen Anthropologie Kulturphilosophie Sozialkunde Philosophie Themen Hinweise/Aspekte/Beispiele Themen Demokratisches Selbstverstndnis Historisch-ideengeschichtliche Beitrge Locke, Hobbes, Rousseau, Montesquieu, Madison Staats- und Rechtsphilosophie Globale Risiken - globale Verantwortung Industriestaaten, Dritte Welt, kologisches Verhalten, Fundamentalismus Ethik Ideologie/Ideologiekritik Erdkunde Philosophie Themen Hinweise/Aspekte/Beispiele Themen Raumanalyse Wandel der Gesellschaft Anthropologie Die Tragfhigkeit der Erde homo oeconomicus, homo faber Masse, Migration Fundamentalismus Anthropologie Ethik Ideologie/Ideologiekritik Mathematik Philosophie Themen</t>
  </si>
  <si>
    <t>der Antike Philosophie der Natur Geschichte der Philosophie Biologie Philosophie Themen Hinweise/Aspekte/Beispiele Themen ...kologie und Umweltschutz Umweltschutz Mensch und Biosphre Natur und Kultur Ethik Anthropologie Philosophie der Natur Informationsverarbeitung und Verhalten Kommunikation Lernen und Gedchtnis Sozialverhalten des Menschen Anthropologie Erkenntnistheorie Evolution und Anthropologie Philosophische Deutungen des Menschen Der Mensch zwischen Freiheit und Norm Gehirn und Geist Anthropologie Ethik Geschichtsphilosophie Knstliche Intelligenz</t>
  </si>
  <si>
    <t>Menschen durch sein Verstndnis von Natur mitbedingt ist, lernen verschiedene Theorien ber das Verhltnis von Mensch und Natur kennen und lernen, sie zu vergleichen, erwerben die Fhigkeit, unterschiedliche Mglichkeiten des Verhaltens gegenber der Natur zu beschreiben, zu erklren, miteinander zu vergleichen und zu beurteilen. Fr den Themenbereich Grundfragen der Philosophie der Erkenntnis sind folgende Ziele verbindlich: Die Schlerinnen und Schler erkennen,</t>
  </si>
  <si>
    <t>begrndet Woran orientiert sich menschliches Handeln Grundfragen der Was soll ich tun Was macht eine Handlung zu einer moralischen Handlung hilosophischen Ethik Wie rechtfertige ich mein Tun Wie werden Handlungen, Verhaltensweisen und Einstellungen moralisch bewertet Wie werden moralische Regeln begrndet Jahrgangsstufe Welche Elemente bentigt man zu Grundfragen der Wie analysiert man ein Satzgebilde Wie analysiert man die Struktur zu Logik Was</t>
  </si>
  <si>
    <t>sprachlichen Elemente und Formen moralischer Argumentationen und Stze und entwickelt Methoden zu ihrer Rechtfertigung. Ethik untersucht und begrndet also nicht nur, was sein soll, sondern berprft auch faktische Handlungs- und Verhaltensweisen daraufhin, welche Wertvorstellungen und Geltungsansprche in ihnen wirksam sind und wie sie fundiert werden. Zentrales Thema der Ethik ist das moralische Handeln: Moralisches Handeln ist Handeln nach Regeln; und Regeln</t>
  </si>
  <si>
    <t>Wrde, Toleranz Ethos, Eudaimonia, Hedone, Utilitt, Wert, Sinn kategorischer Imperativ, Kommunikations-Apriori universaler Geltungsanspruch, Rechtfertigung Themenschwerpunkt : Wie rechtfertige ich mein Tun - Stunden Teilthemen Inhaltsaspekte TT .: Wie werden Handlungen, Verhaltensweisen und Einstellungen moralisch bewertet gute, schlechte, moralisch indifferente Handlung, Widerfahrnis Handlungsziel, -mittel, -konsequenz, -folge Fall, Norm, Wert, Prinzip, Grundsatz Wahrheit, Gott, Freiheit, Gerechtigkeit, Tugend deskriptive, prskriptive, emotive, empfehlende Stze Erklrung,</t>
  </si>
  <si>
    <t>Verantworten Inhalte: Die Unausweichlichkeit, sich entscheiden zu müssen Beispiele aus dem Alltag; besondere Lebenssituationen, zB : Berufswahl, Partnerwahl, Wehrdienst - Wehrdienstverweigerung Faktoren menschlichen Handelns Unterschied zwischen Tier und Mensch, zwischen Verhalten und Handeln; der Menschein bewußt handelndes Wesen oder ein von Gewohnheit bestimmtes Wesen Kräfte und Mächte, die menschliches Handeln in bloßes Verhalten umwandeln; Problem der Handlungsfreiheit; Faktoren des sittlichen Aktes,</t>
  </si>
  <si>
    <t>menschlichen Handelns Unterschied zwischen Tier und Mensch, zwischen Verhalten und Handeln; der Menschein bewußt handelndes Wesen oder ein von Gewohnheit bestimmtes Wesen Kräfte und Mächte, die menschliches Handeln in bloßes Verhalten umwandeln; Problem der Handlungsfreiheit; Faktoren des sittlichen Aktes, z.B .. : Wert, Norm, Ziel, Zukunft; Arbeiten eine besondere Form menschlichen Handelns - Was ist sittliches Handeln Beweggründe, z B.: Angst,</t>
  </si>
  <si>
    <t>Kernthemen: a Der Einzelne und sein Mitmensch Inhalte: Der Mensch als soziales Wesen zB in Ehe und Familie, sozialen Gruppen, Staat Die personalen Beziehungen zwischen den Menschen z B solidarisches Verhalten, Kameradschaft, Freundschaft, liebe; Hörigkeit, Gleichgültigkeit, Feindschaft - Ermöglichung und Begrenzung der eigenen Freiheit und Selbstentfaltung durch den anderen Menschen z.B. bei Persönlichkeitsbildung und Selbstverwirklichung; durch foleranz, Verzicht auf Eigenmächtigkeit, durch</t>
  </si>
  <si>
    <t>lernen, Dinge, die ihm aufgrund ausreichender Sachinformation und gründlicher Überprüfung verändemngswürdig und veränderbar erscheinen, zu ändem, solche, bei denen er das für unmöglich hält, gelassen hinzunehmen Solche Grundhaltungen entsprechen wirklichkeitsgerechtem Verhalten. Im persönlichen, beruflichen, gesellschaftlichen und politischen Bereich darfAndersartigkeit nicht zu Vorurteilen und Aggressionen führen, dürfen Unterschiede nicht Ausgangspunkt für Unterdrückung und Gewaltanwendung sein, sondern Bejahung von Vielfalt und Bereicherung menschlichen</t>
  </si>
  <si>
    <t>es je in einem deutschen Staat gegeben hat Aufgabe des Ethikunterrichts ist es, sowohl denBlickfürdieweltweiteDurchsetzungvonFreiheit zu schärfen, als auch dafür Sorge zu tragen, daß bei der durchaus berechtigten Kritik am Verhalten der Konsum- und Wohlstandsgesellschaft nicht allzu schnell der Blick dafür genommen wird, daß ein Leben in Freiheit - bei noch so vielen Mängeln - immer noch jeder anderen Form menschlicher</t>
  </si>
  <si>
    <t>bei noch so vielen Mängeln - immer noch jeder anderen Form menschlicher Gemeinschaft vorzuziehen ist Die Anfälligkeit derJugendlichen für Ideologien zeigt, daß der Blick für diesen Sachverhalt getrübt ist Soziales Verhalten, rechten Gebrauch von Freiheit zu erlernen, Mißbrauch der Freiheit zu durchschauen und Gefahren von Ideologien zu erkennen, bedeutet Angewiesensein auf Autorität Die Erkenntnis eigenen Ungenügens und mangelnder Kompetenz bedarf der</t>
  </si>
  <si>
    <t>sowie Achtung und Bereitschaft zum Zuhören Erziehung und Zusammenleben nicht möglich sind, gilt auch fü die Autorität des Staates. Im sozialen Rechtsstaat muß ein Grundbestand verbindlich anerkannter Regeln für menschliches Verhalten garantiert werden Der Staat hat das Recht und die Pflicht, Verstöße gegen die gesetzliche Ordnung zu bestrafen, die Gesellschaft vor Kriminalität zu schützen Die Komplexität der einzelnen Straftat erfordert für</t>
  </si>
  <si>
    <t>großes Verantwortungsbewußtsein. Bei Einbeziehung aller psychologischen, sozialen und juristischen Gesichtspunkte ist Strafvollzug grundsätzlich auf Resozialisierung hingeordnet. Lernziele: Zu a: Grundkonsens als Bedingung menschlichen Zusammenlebens L Einsicht in Grundsätze für das Verhalten im gesellschaftlichen Bereich :;. ereitschatt, Gesetze und Gebote nach den ihnen zugrunde liegenden Normen und Motiven zu befragen ;insicht in die Notwendigkeit gemeinsamer sittlicher Grundüberzeugungen und gesetz;ficher Regelungen in einer</t>
  </si>
  <si>
    <t>Voraussetzung zur Entwicklung eines positiven Selbstkonzepts. Auf dieser Grundlage entwickeln sich ein positives Selbstwertgefühl und Selbstvertrauen. Zur personalen Kompetenz gehören ebenfalls Aspekte der Selbstregulierung wie die Fähigkeit, sich situationsangemessen zu verhalten und eigene Lern- und Arbeitsprozesse sachgerecht und konzentriert zu steuern. Sozialkompetenz: Hierbei geht es um eine vielschichtige Handlungskompetenz, die sich im Zusammenspiel verschiedener Fähigkeiten, Fertigkeiten, Motivationen und Einstellungen entfaltet. Grundlage</t>
  </si>
  <si>
    <t>Entscheidungs- und Handlungssituationen erkennen und argumentativ darlegen, die Konsequenzen eigenen und fremden Handelns und Unterlassen beschreiben und bewerten, Entscheidungsspielräume für eigenes Handeln erkennen und im schulischen Umfeld erproben, kulturell geprägtes Verhalten von Menschen verstehen und erklären. erwartungen und nachfolgende Inhaltsfelder stehen in einem korrespondierenden Verhältnis: In der aktiven Auseinandersetltsfelder und deren Zusammenhängen entwickeln die Lernenden anwendungsbezogenes Wissen und Können. Inhaltsfelder Bezüge</t>
  </si>
  <si>
    <t>größere Gemeinschaften, Gesellschaften wahr. Sie versetzen sich in die Lage anderer Empathie, Perspektivenübernahme, erfassen und reflektieren den Stellenwert ihres eigenen Handelns. Rücksichtnahme und Solidarität: Die Lernenden respektieren die Meinungen und Verhaltensweisen anderer, sie sind aufmerksam gegenüber ihren Interaktionspartnern, nehmen Anteil an deren Wohlergehen und zeigen Solidarität. Kooperation und Teamfähigkeit: Die Lernenden bauen tragfähige Beziehungen zu anderen auf, respektieren die bestehenden sozialen</t>
  </si>
  <si>
    <t>von Fremdbestimmung und Selbstbestimmung im eigenen Leben bestimmen Denken in Gegensätzen sich über den Stellenwert von Konsum und Verzicht in einem gelingenden Leben verständigen Kreatives Denken Alternativen zu einem konsumbestimmten Verhalten entwerfen Grundlegende Wissensbestände offene und versteckte Glücksversprechungen z. B. Werbung, Heilslehren, materieller Besitz, virtuelle Welten soziale Netzwerke, Videospiele Sucht und Sehnsucht materielle, ideelle und soziale Bedürfnisse Willensfreiheit Bezüge zu fächerübergreifenden</t>
  </si>
  <si>
    <t>Wandel von Berufsbildern im Zeitalter der digitalen Revolution verpflichtende Kompetenzen für den Schuljahrgang Kompetenzschwerpunkt Verantwortung: Individuelle Verantwortung in sozialen Zusammenhängen individuelle Verantwortung in sozialen Zusammenhängen erkennen und sich entsprechend bewusst verhalten Differenzierendes Wahrnehmen Reichweite und Grenzen von Verantwortung in der globalisierten Welt bestimmen Verstehen und Deuten verantwortliches Handeln als Handeln nach moralischen Grundsätzen verstehen, verschiedene ethische Modelle unterscheiden und in einer</t>
  </si>
  <si>
    <t>Realschule.pdf</t>
  </si>
  <si>
    <t>Entscheidungs- und Handlungssituationen erkennen und argumentativ darlegen, die Konsequenzen eigenen und fremden Handelns und Unterlassens beschreiben und bewerten, Entscheidungsspielräume für eigenes Handeln erkennen und im schulischen Umfeld erproben, kulturell geprägtes Verhalten von Menschen verstehen und erklären. erwartungen und nachfolgende Inhaltsfelder stehen in einem korrespondierenden Verhältnis: In der aktiven Auseinandersetltsfelder und deren Zusammenhängen entwickeln die Lernenden anwendungsbezogenes Wissen und Können. Inhaltsfelder Bezüge</t>
  </si>
  <si>
    <t>Studienstufe</t>
  </si>
  <si>
    <t>werden. Grundlegendes Ziel ist ein sensibler Umgang mit Vielfalt und der Erwerb moralischer Urteilsfähigkeit, verstanden als Fähigkeit, gesellschaftlich vermittelte Probleme und Herausforderungen wahrzunehmen und in einer gegebenen Situation nach angemessenem Verhalten und einer jeweils gerechten, solidarischen und demokratisch fundierten Lösung zu suchen. Beitrag zur Leitperspektive BNE: Folgen gruppenbezogener Menschenfeindlichkeit werden vor dem Hintergrund möglicher kultureller Hürden diskutiert. Die Auffassung, dass Menschengruppen</t>
  </si>
  <si>
    <t>Wissenschaft Zusätzlich im erhöhten Anforderungsniveau: Big Data, Simulationen, Modelle und ihre Anwendungen digitale Ethik Beitrag zur Leitperspektive W: Die Schülerinnen und Schüler reflektieren Charakteristika einer Zukunftsforschung und Werte, die das Verhalten von Individuen, Gruppen und Organisationen verschiedener Fachdisziplinen bestimmen sollten. Sie untersuchen dialogische Formate, die darauf abzielen, gute Bedingungen für den Austausch innerhalb der Wissenschaftsgemeinschaft sowie zwischen Forschung und Öffentlichkeit zu</t>
  </si>
  <si>
    <t>entwickeln begründet Verantwortung für Mensch und Natur. Grundlegendes Ziel ist der Erwerb moralischer Urteilsfähigkeit, verstanden als Fähigkeit, gesellschaftlich vermittelte Probleme und Herausforderungen wahrzunehmen und in einer gegebenen Situation nach angemessenem Verhalten und einer jeweils gerechten Lösung zu suchen. Beitrag zur Leitperspektive BNE: Es werden die existenziellen, ökologischen und ökonomischen Herausforderungen, die eine Transformation unserer Lebensweise notwendig machen, fokussiert. Die Schülerinnen und</t>
  </si>
  <si>
    <t>Transhumanismus Möglichkeiten und Grenzen der Optimierung des Menschen Beitrag zur Leitperspektive W: Die Schülerinnen und Schüler reflektieren das Verhältnis von Technologie und Ethik sowie ihr Verständnis grundlegender Werte, Einstellungen und Verhaltensweisen und entwickeln begründet Verantwortung für Mensch und Natur. Grundlegendes Ziel ist der Erwerb moralischer Urteilsfähigkeit, verstanden als Fähigkeit, gesellschaftlich vermittelte Probleme und Herausforderungen wahrzunehmen und in einer gegebenen Situation nach</t>
  </si>
  <si>
    <t>Menschen für ein instinktgeleitetes Tier oder für ein vernunftbegabtes Wesen hält, für einen Egoisten oder ein Gemeinschaftswesen, für eine Schöpfung Gottes oder ein genetisches Zufallsprodukt, hat Auswirkungen auf das eigene Verhalten und Urteilen und auf die Ziele, die man sich und der Gesellschaft setzt, in der man lebt. Da der Mensch ein gemeinschaftsbildendes Wesen ist, stehen Auffassungen vom Menschen in gesellschaftlichen</t>
  </si>
  <si>
    <t>Berlin</t>
  </si>
  <si>
    <t>in moralisch relevanten Handlungssituationen Wie rechtfertige ich anderen gegenüber moralisch relevante Handlungen Welche moralisch anerkannten Grundlagen gibt es in verschiedenen Gesellschaften Welche ethischen Probleme sollten gesellschaftlich gelöst werden Wieviel unmoralisches Verhalten verkraftet eine Gesellschaft Für welche Handlungen müssen wir uns gesellschaftlich rechtfertigen Begründung der Menschenwürde Goldene Regel Ethik verschiedener Religionen und Weltanschauungen Prinzipien deontologischer, teleologischer und eudämonistischer Ethik, Mitleids- und Tugendethik</t>
  </si>
  <si>
    <t>und selbstbestimmt und verantwortungsvoll handeln können. Somit trägt der Ethikunterricht dazu bei, dass die Schülerinnen und Schüler sich in Konfliktsituationen mit den Beteiligten über den Sinn und moralischen Wert von Verhaltensweisen und unterschiedlichen Normen verständigen, also Menschen in ihrer Diversität akzeptieren und deren Würde anerkennen. Unterschiede zwischen Menschen in ihrem sozialen Stand, ihrer Lern- und Leistungsfähigkeit oder in ihrer kulturellen Zugehörigkeit</t>
  </si>
  <si>
    <t>Aussagen eines Textes in ihrem argumentationslogischen Zusammenhang erläutern die Darstellung von Problemen und Konflikten in medialen Kontexten als Konstruktionen kritisch deuten den Einfluss von Medien auf unsere Wahrnehmung, Wertvorstellungen und Verhaltensweisen mithilfe ausgewählter medientheoretischer Positionen untersuchen und bewerten Bezüge zwischen persönlichen Werten und ethischen Prinzipien erläutern Bezüge zwischen kultureller, religiöser Prägung und ethischen Prinzipien erläutern H Bezüge zwischen persönlichen Werten und</t>
  </si>
  <si>
    <t>Werte und Überzeugungen nachgedacht wird. Bei der Betrachtung aus der gesellschaftlichen Perspektive wird die Relevanz des Themas für das Zusammenleben und den gesellschaftlichen Zusammenhalt untersucht. Ebenso werden individuelle Einstellungen und Verhaltensweisen in Bezug auf gesellschaftliche, historische und kulturelle Einflüsse und Prägungen reflektiert. Bei der Betrachtung aus der ideengeschichtlichen Perspektive kommen Stimmen aus den Wissenschaften zu Wort, die für das Thema relevant</t>
  </si>
  <si>
    <t>Regelschule</t>
  </si>
  <si>
    <t>Inhalt Vorwort Zum Umgang mit dem Lehrplan Themenfelder Hauptphase der gymnasialen Oberstufe Kompetenzerwartungen Anhang Vorwort In unserer Gesellschaft liegen Moral und Glück bzw. Sinn faktisch als gelebte Orientierung an bestehenden Verhaltens-Normen und Vorstellungen verschiedener Art immer schon vor. Ihrem Alter und ihrem erzieherischen Lebensumfeld gemäß verfügen Schülerinnen und Schüler zumeist unreflektiert über ein entsprechendes Wissen und wenden es alltagspraktisch an. Zugleich</t>
  </si>
  <si>
    <t>Hauptschule.pdf</t>
  </si>
  <si>
    <t>Verantwortlichkeit sehen und Verantwortung für sich und andere übernehmen, die Konsequenzen eigenen Handelns und Unterlassens beschreiben und bewerten, Entscheidungsspielräume für eigenes Handeln erkennen und im schulischen Umfeld erproben, kulturell geprägtes Verhalten von Menschen verstehen und erklären. erwartungen und nachfolgende Inhaltsfelder stehen in einem korrespondierenden Verhältnis: In der aktiven Auseinandersetltsfelder und deren Zusammenhängen entwickeln die Lernenden anwendungsbezogenes Wissen und Können. Inhaltsfelder Bezüge</t>
  </si>
  <si>
    <t>biologisches Mängelwesen, das diese biologischen Mängel durch seine geistigen Fähigkeiten ausgleicht, anhand des Textes Der Mensch als Mängelwesen und Prometheus von Arnold Gehlen Unterscheiden von Instinkt und Trieb Gegenüberstellung: tierisches Verhalten vs. menschliches Handeln leiten daraus die Freiheit des Menschen ab, zwischen Handlungsmöglichkeiten zu wählen und überlegte Entscheidungen zu treffen, Arbeit mit Schelers Begriff der Weltoffenheit erklären Bedingungen der Möglichkeit eines</t>
  </si>
  <si>
    <t>z. B. einen Zahlenwert, um daran ihre Einschätzung, z. B. bzgl. der Angemessenheit eines Preises, zu orientieren o Framing: Unterschiedliche Formulierung einer Botschaft - bei gleichem Inhalt - beeinflussen das Verhalten o Priming: Aktivierung einer Erinnerung beeinflusst die Verarbeitung eines neuen Reizes o Abwehrmechanismen nach Freud beschreiben den psychischen Apparat nach Freud und die Wechselwirkung der drei Instanzen, nämlich mithilfe der</t>
  </si>
  <si>
    <t>Inhalt Vorwort Zum Umgang mit dem Lehrplan Themenfelder Einführungsphase der gymnasialen Oberstufe Kompetenzerwartungen Anhang Vorwort In unserer Gesellschaft liegen Moral und Glück bzw. Sinn faktisch als gelebte Orientierung an bestehenden Verhaltens-Normen und Vorstellungen verschiedener Art immer schon vor. Ihrem Alter und ihrem erzieherischen Lebensumfeld gemäß verfügen Schülerinnen und Schüler zumeist unreflektiert über ein entsprechendes Wissen und wenden es alltagspraktisch an. Zugleich</t>
  </si>
  <si>
    <t>Frieden. Inhalte zu den Kompetenzen: Krieg in Filmen und Computerspielen, Heldentum, Ruhm; Erfahrungsberichte von Betroffenen in realen Kriegen gewaltfreie Kommunikation nach M. B. Rosenberg und Metakommunikation Ursachen und Wahrnehmung aggressiver Verhaltensweisen, verbale Deeskalation unerfüllte Bedürfnisse als Auslöser von Wut M. B. Rosenberg; der Empfänger von Nachrichten F. Schulz von Thun, u. a. seine Mitverantwortung für die eigene Wut philosophische Ansätze der</t>
  </si>
  <si>
    <t>leben Kinder in diesem Alter in bestimmten Vorstellungen von sich, von anderen, von ihrer Stellung in der Welt und von der sie umgebenden Wirklichkeit. Sie drücken diese Vorstellungen in ihrem Verhalten aus, sie fassen sie in Bilder, Erzählungen und Begriffe. Sie haben dabei schon erfahren, dass ihre Vorstellungen sich manchmal von denen anderer unterscheiden, sie kennen das Bedürfnis der Mitteilung und</t>
  </si>
  <si>
    <t>Schleswig-Holstein</t>
  </si>
  <si>
    <t>wahr oder falsch sein können. Sie streiten darum, wer Recht hat und was richtig ist. Dies kann sich auf eigene und fremde Einsichten und Erkenntnisse beziehen, aber auch auf ihr Verhalten zueinander und zu den Gemeinschaften und Einrichtungen, in denen sie leben. Sie verfügen über einen immer differenzierteren Umgang mit Sprache und ein sich entwickelndes Bewusstsein davon sowie über eine ihren</t>
  </si>
  <si>
    <t>dem Menschen eigenes Bedürfnis zu deuten Festigkeit und Verlässlichkeit von Vertrauensverhältnissen als Basis für gelingendes Zusammenleben wahrzunehmen und die konstitutive Funktion gegenseitigen Vertrauens als notwendig zu begründen Konsequenzen für das Verhalten von Freunden zu reflektieren und wechselseitige Rechte und Pflichten aus diesem Vertrauensverhältnis abzuleiten und zu beschreiben zwischen konstruktiven und destruktiven Formen der Auseinandersetzung in Freundschaften zu unterscheiden Argumente für Gelingens-</t>
  </si>
  <si>
    <t>Kompetenzen Exemplarische Lerninhalte Die Schülerinnen und Schüler erwerben oder erweitern die Fähigkeit, ihr eigenes Selbst- und Wunschbild differenziert zu beschreiben das Selbstbild als Ausgangspunkt für das eigene Denken, Fühlen und Verhalten zu deuten und zu reflektieren die Beschaffenheit des Selbst im Spannungsfeld von Veränderlichkeit und dem Bedürfnis nach Beständigkeit zu deuten die Bedeutung des eigenen Körpers für das Selbstbild wahrzunehmen Möglichkeiten</t>
  </si>
  <si>
    <t>Handlungen ebenso frei wie auf unterschiedliche Weise gebunden. Auf dieser Basis sind die Bedingungen und Möglichkeiten freien Handelns zu analysieren; ebenso ist zu fragen, inwiefern sich eine Handlung von bloßem Sich-Verhalten unterscheidet. Um die Möglichkeit freien Handelns in der Form einer Handlungsentscheidung als Resultat eines bewussten Abwägens von Gründen und Motiven nachzuweisen, sind die vielfältigen Bedingungen und Einschränkungen der Handlungsfreiheit zu</t>
  </si>
  <si>
    <t>Freundschaft zu formulieren und zusammenzufassen den Begriff Freundschaft im umgangssprachlichen Sinne zu überprüfen und eine tragbare Begriffsbestimmung zu erarbeiten Freundschaft als Bedürfnis des Menschen Konstitutive Bedingungen für Freundschaften Möglichkeiten des Verhaltens in Freundschaftsbeziehungen Unbedingte Freundschaftsgebote Bedingungen des Gelingens oder Misslingens von Freundschaften Probleme in Freundschaften und deren mögliche Überwindung Bedeutung von Vertrauensbeziehungen für den Einzelnen / für die Gesellschaft Arten und</t>
  </si>
  <si>
    <t>Themenbereich naturalistischer kompatibilistischer Theorien in der neueren Determinismusdiskussion vertieft behandelt werden. Themenbezogene Kompetenzen Exemplarische Lerninhalte Die Schülerinnen und Schüler erwerben oder erweitern die Fähigkeit, intentionales Handeln mit anderen Formen menschlichen Verhaltens zu vergleichen und zu analysieren Spielräume und Einschränkungen der Handlungsfreiheit durch gesellschaftliche Normen und Erwartungen sowie materielle Handlungseinschränkungen zu analysieren und zu bewerten den Unterschied von Handlungsfreiheit und Willensfreiheit zu</t>
  </si>
  <si>
    <t>Gefühlen und Handlungsimpulsen wesentliche Begründungsansätze für den Umweltschutz, Konzept der Nachhaltigkeit eine Methode der Fallanalyse Zusammenhänge zwischen modernen Lebensgewohnheiten und Umweltproblemen regional und global, z. B. Plastikgebrauch, Ernährungsweisen, Energieverbrauch umweltbewusstes Verhalten im Alltag, altersgerechte Möglichkeiten des aktiven Natur-, Umwelt- und Tierschutzes Kriterien für den moralischen Status von Mensch und Tier: Vernunftbegabtheit, Empfindungsfähigkeit, z. B. Sprachbegabung, Bewusstsein, u. a. aktuelle Aussagen aus</t>
  </si>
  <si>
    <t>für Mensch und Umwelt erkennen und zur Überwindung soziokultureller und interessenbestimmter Barrieren in Kommunikation und Zusammenarbeit beitragen. Dabei kann Lernenden anhand des Modells nachhaltiger Entwicklung eine Orientierung für das eigene Verhalten vor dem Hintergrund kultureller Vielfalt angeboten werden. W BNE B C D E, Päd Rel PGW F A A A D D R R R Wahlmodul : Glück und Sinn</t>
  </si>
  <si>
    <t>Mausklick auf das jeweilige Symbol werden die Verweise im Browser -detaillierter dargestellt dies wird in der Abbildung nicht veranschaulicht: sowohl individuelle als auch gesellschaftliche Dilemmasituationen Gefangenendilemma, Trittbrettfahrersituation erklären und das Verhalten der Akteure in diesen Situationen bewerten Darstellung der Verweise in der Webansicht Beispiel aus Wirtschaft Grundlagen der Ökonomie Darstellung der Verweise in der Druckfassung In der Druckfassung und in der</t>
  </si>
  <si>
    <t>Gemeinschaftsschule</t>
  </si>
  <si>
    <t>Geschichte</t>
  </si>
  <si>
    <t>der jeweiligen Teilkompetenz dargestellt. Bei Verweisen auf andere Fächer ist zusätzlich das Fächerkürzel dargestellt im Beispiel ETH für Ethik: sowohl individuelle als auch gesellschaftliche Dilemmasituationen Gefangenendilemma, Trittbrettfahrersituation erklären und das Verhalten der Akteure in diesen Situationen bewerten Urteilskompetenz Methodenkompetenz Globale Gütermärkte ETH Grundlagen des Zusammenlebens BNE Werte und Normen in Entscheidungssituationen BTV Wertorientiertes Handeln Gültigkeitsbereich der Verweise Sind Verweise nur durch</t>
  </si>
  <si>
    <t>aber eine gekonnte. Sie verstehen ihr Mundwerk. Ihre dreiste Frechheit, ihr Schnodder-Ton, ihre schlagfertige Unverschämtheit, ihre Selbstironie, ihr harmloser Witz sind entwaffnend. Ein Gentleman auf der Leinwand ist über ihr Verhalten empört. Doch Ringo setzt ihn schachmatt: Gib Küßchen, sagt er mit argloser Tücke. Wer kann da länger sauer sein Die quecksilbrigen Zottel-Knaben sind gewiß Eintagsfliegen des Show-Geschäfts. Lange wird der</t>
  </si>
  <si>
    <t>Republikaner die Bedeutung der Weltwirtschaftskrise und der untauglichen Krisenpolitik Brünings, die immer mehr Wähler in die Arme der radikalen republikfeindlichen Parteien trieb der Aufstieg der NSDAP, ihre Wahlerfolge seit das Verhalten bestimmter Eliten in Wirtschaft und Gesellschaft, die die Republik ablehnten und bereit waren, einem Reichskanzler Hitler die Macht zu übertragen In einem abschließenden Sachurteil müssen die Prüflinge die Argumente gegeneinander</t>
  </si>
  <si>
    <t>Gegner aber sogar noch als Augenweide verlangt, um ihn sich lieber aus nächster Nähe noch gründlich anzuschauen, den er von ferne hat töten lassen wollen - ein um so hartherzigeres Verhalten, wenn er dessen Tod nicht gewollt hat. Tertullian: De spectaculis / Über die Spiele. Übers. und hrsg. K.-W. Weeber, Stuttgart, , ff. B Erwartungshorizont B. Unterrichtliche Voraussetzungen Unterrichtliche Voraussetzung im</t>
  </si>
  <si>
    <t>Zivilisationsparadoxon: Einerseits gäben sich die Römer kultiviert, andererseits hätten eben diese Römer im Amphitheater Freude und Vergnügen bei grausamsten Schauspielen mit tödlichem Ausgang. In einer theologischen Argumentation stellt Tertullian das Verhalten der Heiden Römer dem Ideal des Christen gegenüber, wobei er allein das Christentum im Besitz der Wahrheit und damit als verbindliche Moralinstanz sieht. Aufgabe AFB II Die Prüflinge erstellen auf</t>
  </si>
  <si>
    <t>ausgeführt würden. Sobald diese Kampfregeln aber nicht mehr eingehalten würden, entarteten diese Kämpfe zu einem brutalen Abschlachten, das ausschließlich der Unterhaltung der Massen diene. Derartige Aufführungen förderten grausame und unmenschliche Verhaltensweisen, es drohe Vermassung sowie eine Verrohung der Sitten. Plinius spricht sich für die Abhaltung von Gladiatorenveranstaltungen aus. Die Gladiatorendarbietungen führten die römischen Tugenden wie Tapferkeit, Kampf, Gerechtigkeit, Selbstbeherrschung, Disziplin dem</t>
  </si>
  <si>
    <t>eines inklusiven Schulsystems umgesetzt, die Lernenden sowie Lehrkräfte entlasten. Dazu werden neben dem Unterricht in Regelklassen, eigene Lerngruppen für Lernende mit starken Auffälligkeiten in den Bereichen Sprache oder Lernen oder Verhalten gebildet. In inklusiven Lerngruppen erhalten Lernende eine kooperative und entsprechend ihrer Lernausgangslage eine individuelle Förderung. Die Lernenden der inklusiven Lerngruppen sind einer festen Bezugsklasse in der Grundschule oder in der</t>
  </si>
  <si>
    <t>Regionale Schule</t>
  </si>
  <si>
    <t>und bei der Entfaltung der eigenen sexuellen Identität hilfreich sein. Ziel sexualpädagogischen Handelns sollte es sein, den Kindern und Jugendlichen einen positiven Zugang zur menschlichen Sexualität zu vermitteln, ein verantwortliches Verhalten im Sinne der präventiven Gesundheitsförderung zu stärken und dahingehende Werte und Normen aufzuzeigen. Dabei ist altersgerecht gestaltete Sexualerziehung ein zentraler Beitrag zur Prävention von sexualisierter Gewalt gegen Kinder und Jugendliche.</t>
  </si>
  <si>
    <t>Wohnumfeld. Sie lernen, sich im Straßenverkehr z. B. zu Fuß, mit dem Fahrrad, mit motorisierten Fahrzeugen oder als Mitfahrende in privaten und öffentlichen Verkehrsmitteln umsichtig und sicherheits- und gefahrenbewusst zu verhalten. Sie erweitern ihre motorischen Fertigkeiten sowie ihr Wahrnehmungsund Reaktionsvermögen. Regelwissen, verkehrsspezifische sowie verkehrsrechtliche Kenntnisse befähigen sie, mit zunehmendem Alter flexibel und situationsbezogen zu handeln, Gefahren im Straßenverkehr zu erkennen und</t>
  </si>
  <si>
    <t>der Erinnerungskultur diskutieren Beispiele für Opposition und Widerstand: politisch KPD, SPD, militärisch Kreisauer Kreis, Attentat vom Juli , religiös Bekennende Kirche, gesellschaftlich Swing-Jugend, Weiße Rose Vertiefung, z. B.: Stufen abweichenden Verhaltens nach Detlev Peukert Beispiele für Verankerung in der Erinnerungskultur: institutionalisiertes Gedenken Staatsakt Juli, populäre Medien Graphic Novel, Spielfilm, Social Media RG, z. B.: Diskussion um Straßennamen oder Denkmäler z. B.</t>
  </si>
  <si>
    <t>Weltgesellschaft von uns fordern. Globalgeschichtliche Perspektiven fördern ein Tiefenverständnis für die Entwicklung weltweiter ökonomischer und politischer Strukturen. Sie schaffen einen Zugang zur historischen Dimension der Globalisierung und ermöglichen Einsichten in Verhaltensweisen von Gesellschaften, die sich im Nachhinein als zukunftsfähig oder nicht nachhaltig erweisen. Der Blick zurück zeigt dabei, dass etwa der Umgang mit den natürlichen Lebensgrundlagen bestimmend für den Aufstieg und</t>
  </si>
  <si>
    <t>vor, z. B. temporal, kausal, konsekutiv erweitern ihr Spektrum verfügbarer logischer Verknüpfungen zwischen historischen Sachverhalten, z. B. konditional, konzessiv, final, modal, ... nehmen komplexe logische Verkn fungen zwischen historischen Sac verhalten vor Identität beschreiben Verknüpfungen zwischen Vergangenheit und Gegenwart erläutern die historische Bedingtheit heutiger Phänomene Identität - Alterität entwickeln aus Wissen und Einsic ten über die Vergangenheit Beurte lungsmaßstäbe und Handlungsalt</t>
  </si>
  <si>
    <t>Dabei geht es vor allem um veränderte Betrachtungsweisen von historischen Prozessen. So wird u. a. der Beitrag von Frauen und Männern an der Geschichte in den Blick gerückt, um geschlechtsstereotype Verhaltensweisen und deren Bedingungsfaktoren zu hinterfragen. Auch wird die Frage von Gleichheit und Ungleichheit auf eine breitere, z. B. die ökonomischen Bedingungen der Existenz Wirtschaft und Umwelt einbeziehende Grundlage gestellt. Das</t>
  </si>
  <si>
    <t>die Erkenntnisgewinnung, auf die in diesem Fachlehrplan großer Wert gelegt wurde. Solch ein Ansatz erfordert eine Unterrichtsgestaltung, in der eigene Lernwege bewusst und kritisch-konstruktiv reflektiert werden. So können Einstellungen und Verhaltensweisen gefördert werden, die für eine berufliche Bildung Voraussetzung sind. Entwicklung fachbezogener Kompetenzen Kompetenzbereiche im Fach Geschichte Das Fach Geschichte fördert die Historische Kompetenz der Schülerinnen und Schüler. Diese zeigt sich</t>
  </si>
  <si>
    <t>Sekundarschule</t>
  </si>
  <si>
    <t>besonderer Weise zur Wertevermittlung bei, indem er in seinem Vollzug grundlegende Werte und Normen erlebbar macht: Das Tolerieren abweichender Meinungen, den Umgang mit Konflikten im gewaltfreien Diskurs, das Einüben demokratischer Verhaltensweisen. Darüber hinaus macht er diese Werte und Normen selbst zum Thema, wenn sich die Schülerinnen und Schüler etwa mit der Entstehung der Menschenrechte zur Zeit der Aufklärung oder mit deren</t>
  </si>
  <si>
    <t>uns fordern. Globalgeschichtliche Perspektiven fördern ein Tiefenverständnis für die Entwicklung weltweiter ökonomischer und politischer Strukturen. Sie schaffen einen Zugang zur historischen und zukünftigen Dimension der Globalisierung. Sie ermöglichen Einsichten in Verhaltensweisen von Gesellschaften, die sich im Nachhinein als zukunftsfähig oder nicht nachhaltig erweisen. Der Blick zurück zeigt dabei, dass etwa der Umgang mit den natürlichen Lebensgrundlagen bestimmend für den Aufstieg und</t>
  </si>
  <si>
    <t>Fächerkürzel dargestellt im Beispiel T für Technik: aus ihren Kenntnissen der Mechanik Regeln für sicheres Verhalten im Straßenverkehr ableiten z. B. Sicherheitsgurte aus ihren Kenntnissen der Mechanik Regeln für sicheres Verhalten im Straßenverkehr ableiten z. B. Sicherheitsgurte aus ihren Kenntnissen der Mechanik Regeln für sicheres Verhalten im Straßenverkehr ableiten z. B. Sicherheitsgurte Bewertung Mechanik: Kinematik T Mobilität PG Sicherheit und Unfallschutz</t>
  </si>
  <si>
    <t>Verhalten im Straßenverkehr ableiten z. B. Sicherheitsgurte aus ihren Kenntnissen der Mechanik Regeln für sicheres Verhalten im Straßenverkehr ableiten z. B. Sicherheitsgurte aus ihren Kenntnissen der Mechanik Regeln für sicheres Verhalten im Straßenverkehr ableiten z. B. Sicherheitsgurte Bewertung Mechanik: Kinematik T Mobilität PG Sicherheit und Unfallschutz Bewertung Mechanik: Kinematik T Mobilität PG Sicherheit und Unfallschutz Bewertung Mechanik: Kinematik T Mobilität PG</t>
  </si>
  <si>
    <t>Sachverhalte und Fälle mit Entscheidungscharakter auf der Grundlage von Pro- und Kontra-Argumenten UK , setzen sich mit dem Prozess ihrer Urteilsbildung auseinander UK , bewerten unterschiedliche Handlungsweisen sowie ihr eigenes Verhalten hinsichtlich daraus resultierender räumlicher Folgen UK , bewerten die Aussagekraft und Wirkungsabsicht kontinuierlicher und diskontinuierlicher Texte UK , analysieren die interessengeleitete Setzung und Verbreitung von Themen in Medien UK ,</t>
  </si>
  <si>
    <t>der Katastrophenvorsorge bei Naturrisiken, beurteilen Lösungsstrategien zur Verlangsamung der globalen Erwärmung und zur Sicherung und Finanzierbarkeit der Energieversorgung, erörtern auf lokaler Ebene Vorsorgemaßnahmen vor Extremwetterereignissen, erörtern Lösungsansätze zur Vermeidung klimaschädlichen Verhaltens im Alltag, erörtern die mit Eingriffen von Menschen in geoökologische Kreisläufe verbundenen Chancen und Risiken, beurteilen Maßnahmen zur Erhöhung der Nachhaltigkeit in der Landwirtschaft, erörtern Gestaltungsoptionen für ein nachhaltigeres Konsumverhalten,</t>
  </si>
  <si>
    <t>Potenzial für die Nutzung durch den Menschen, aber auch in ihrer Gefährdung für und durch den Menschen. Eine besondere Berücksichtigung findet der anthropogen verursachte Klimawandel. Die Kenntnis der Klimawirksamkeit bestimmter Verhaltensweisen und Maßnahmen stellt eine wichtige Grundlage dar, um am gesellschaftlichen Diskurs über eine der entscheidenden Zukunftsfragen teilhaben zu können. Dabei werden Möglichkeiten des Erreichens der Klimaschutzziele einerseits und des Ziels</t>
  </si>
  <si>
    <t>Identität darstellen. Entwickeln der Fähigkeit und Bereitschaft, humane und rationale Überzeugungen zu vertreten und die freiheitlich-demokratische Grundordnung mitzugestalten Die Schüler lehnen Missbrauch staatlicher Gewalt ab und wirken menschenverachtenden Einstellungen und Verhaltensweisen in ihrem Umfeld entgegen, gestalten das demokratische Zusammenleben mit, engagieren sich für eine soziale und humane Gesellschaft, setzen sich für die Erhaltung des Friedens ein, streben die Weiterentwicklung ihrer rationalen</t>
  </si>
  <si>
    <t>haben. Entwickeln der Fähigkeit und Bereitschaft, humane und rationale Überzeugungen zu vertreten und die freiheitlich-demokratische Grundordnung mitzugestalten Die Schüler lehnen den Missbrauch staatlicher Gewalt ab und wirken menschenverachtenden Einstellungen und Verhaltensweisen in ihrem Umfeld entgegen, gestalten das demokratische Zusammenleben mit, engagieren sich für eine soziale und humane Gesellschaft. Lernbereich : Politische Ordnungsvorstellungen und politische Partizipation Ustd. Kennen wesentlicher Elemente der Staatsideen</t>
  </si>
  <si>
    <t>zu nutzen, Zeitzeugenbefragungen durchzuführen und die mit mündlichen Geschichtsquellen verbundene Problematik zu beurteilen, unterschiedliche theoretische Ansätze der Fachwissenschaft zur Erkenntnisgewinnung auszuwerten, historische Frage- und Problemstellungen aus abstrakten Quellen wie Traditionen, Verhaltensweisen und Mentalitäten abzuleiten, die Problematik der Historisierung von Vergangenheit zu reflektieren. Entwickeln der Fähigkeit, begründete Urteile über historische Sachverhalte und ihre Deutungen zu bilden Die Schüler erwerben historische Urteilsfähigkeit, indem</t>
  </si>
  <si>
    <t>vom Lernalter sind diese ganz konkreter Natur Weshalb fügen sich Sklaven im alten Ägypten ihrem harten Schicksal oder umfassender und grundsätzlicher Lassen sich aus der Weltwirtschaftskrise nützliche Erkenntnisse für gegenwärtiges Verhalten ziehen. Orientierungskompetente Schülerinnen und Schüler beziehen ihr Denken und Handeln auch auf die Geschichte, indem sie das eigene Weltbild hinterfragen, Selbst- und Fremdbilder reflektieren und sich als Mitgestalter einer interkulturellen</t>
  </si>
  <si>
    <t>von Kultur und Künsten. Sie schätzen diese als Bereicherung des gesellschaftlichen Lebens. Interkulturelle Bildung Medienbildung/Digitale Bildung Interkulturelle Bildung ermöglicht über die Auseinandersetzung mit kulturspezifischen Charakteristika und durch die Entwicklung kultursensiblen Verhaltens den Erwerb interkultureller Kompetenz. Interkulturelle Bildung ist in der offenen und globalisierten Gesellschaft die Basis für ein friedvolles Zusammenleben auf der Grundlage der Menschenwürde und unserer gemeinsamen demokratischen Werte, insbesondere</t>
  </si>
  <si>
    <t>ihrer eigenen Erziehung, Bildung oder Kultur zu hinterfragen. beurteilen historische Jugend- und Erziehungskulturen, indem sie z. B. Leitbilder, die einer Epoche oder einer jugendlichen Gegenkultur zugrunde liegen, überprüfen sowie genderspezifische Verhaltensweisen in historischer Perspektive betrachten. nutzen bei der Verortung einzelner Aspekte aus dem Bereich der Bildung in einem allgemeineren historischen Kontext u. a. die Epochenbezeichnungen Antike, Mittelalter, Neuzeit, Aufklärung, Deutsches Kaiserreich</t>
  </si>
  <si>
    <t>beschreibende und wertende Aussagen unterscheiden, Lösungswege entwickeln und diese auf die Standortgebundenheit des Verfassers bzw. der Autoren hinterfragen, kontroverse Sichtweisen zu einem Thema erkennen und eine eigene Meinung vertreten, interessengebundene Verhaltensweisen mit Blick auf ihre eigene Gegenwart erkennen und diskutieren, sich im Rollenspiel in historische Personen und Situationen hineinversetzen, mit digitalen und traditionellen Informationsquellen zielführend arbeiten, eine gelenkte Recherche durchführen, die</t>
  </si>
  <si>
    <t>einer vorläufigen Bilanz muss er sich selbst fragen, welche Rolle und welche Haltung er einnehmen will und kann, wie er sich gemäß einer realistischen Einschätzung der eigenen Ressourcen und Handlungsspielräume verhalten möchte. Über Unterricht und Schule hinaus muss Orientierungskompetenz dazu beitragen, sich im jeweiligen gesellschaftlichen Umfeld zu positionieren und die eigenen Grenzen und Möglichkeiten im Umgang mit anderen auszuloten. Wenn sich</t>
  </si>
  <si>
    <t>Lebenslagen, Verstädterung LF III. Städtische Lebenswelten n SK: Rolle der Frau, des Mannes, Regenbogenfamilien LF I. Familie in Gesellschaft und Staat n EK: Rolle der Frau in verschiedenen Ländern, generatives Verhalten LF III. Bevölkerungsentwicklung n SK: Tarifkonflikt, Tarifautonomie LF II. Wirtschaft n EK: Arbeitsbedingungen in der Industrie LF I. Rohstoffe und Produktion n EK: Wandel der Berufswelt LF I. Dienstleistungen n</t>
  </si>
  <si>
    <t>Raumplanung n EK: Ursachen und Folgen von Migration, Lebenslagen, Verstädterung LF III. Städtische Lebenswelten n SK: Vielfalt familiärer Lebensformen, Familienpolitik LF I. Familie in Gesellschaft und Staat n EK: generatives Verhalten LF III. Bevölkerungsentwicklung Aspekte/Inhalte n Krieg als Mittel der Politik n Wandel des Kriegscharakters n Wandel der Kriegsarten n Friedensschlüsse und -initiativen Friedensnobelpreise; Friedensbewegung... n Menschenrechte für alle n Entwicklung</t>
  </si>
  <si>
    <t>Frauen vergleichen K n Spuren deutscher Kolonialherrschaft Namibia, Ruanda suchen und erforschen M n Kunst und Mode als Spiegelbild gesellschaftlicher Entwicklung beschreiben und vergleichen M, U n Die Einordnung kirchlichen Verhaltens zwischen Anpassung und Widerstand erörtern U n Gedenkstättenarbeit und/oder Gestaltung des Volkstrauertages planen und durchführen U, U n Herkunft und Absatz von Kolonialwaren erforschen M n Orte der Ideologievermittlung auf</t>
  </si>
  <si>
    <t>Opfer n Umgang mit Fremdem Die Lernenden erwerben Fachkompetenz: Sie stellen durch die Auseinandersetzung mit Lebenssituationen in der Zeit der Weimarer Republik und im Nationalsozialismus Gegenwartsbezüge her. Methodenkompetenz: Sie analysieren Verhaltensweisen von Menschen in der Demokratie und in der Diktatur und bewerten diese M. Kommunikationskompetenz: Sie untersuchen die Lebensbedingungen in unterschiedlichen Gesellschaftsformen und präsentieren ihre Ergebnisse mediengestützt K/. Urteilskompetenz: Sie unterscheiden</t>
  </si>
  <si>
    <t>und in der Diktatur und bewerten diese M. Kommunikationskompetenz: Sie untersuchen die Lebensbedingungen in unterschiedlichen Gesellschaftsformen und präsentieren ihre Ergebnisse mediengestützt K/. Urteilskompetenz: Sie unterscheiden bei ihrer Beurteilung von menschlichen Verhaltensweisen in der Ausgrenzungsgesellschaft zwischen Sach- und Werturteilen U. Leitfragen/Leitgedanken n Wie wandelt sich Herrschaft n Herrschaft für oder über jemanden n Herrschaft: Ausdehnung und Auswirkung Kompetenzen Inhalte Lernfeld II. Die</t>
  </si>
  <si>
    <t>- Demokratie - Sozialismus Nationalsozialismus - Weltdeutungen Stundenansatz: / Grundbegriffe Sendungsbewusstsein, Rassenlehre, Widerstand Basis: n Kennzeichen einer Ideologie n Begründungen und Träger von Ideologien n Auswirkungen von Ideologien auf die Verhaltensweisen von Einzelnen Attraktivität - Anpassung - Widerstand - Emigration n Auseinandersetzungen zwischen Ideologien, z. B. Zweiter Weltkrieg Erweiterung: n Ideologien und ihre Propaganda Vertiefung: n Instrumentalisierung von Kunst, Wissenschaft und</t>
  </si>
  <si>
    <t>die eine Orientierung in Gegenwart und Zukunft ermöglichen. Orientierungskompetenz verhilft auch dazu, sich kritisch reflektierend gegenüber der Funktionalisierung von Geschichte durch Politik sowie gegenüber Angeboten einer breit gefächerten Geschichtskultur zu verhalten und sich in gesellschaftlichen Konflikten und Diskursen positionieren zu können. Die Reflexion eigener Wertvorstellungen und derjenigen historischer Akteure ist ein Gebot wissenschaftlicher Integrität, welche verhindert, dass Werturteile und Sachurteile vermischt</t>
  </si>
  <si>
    <t>Zusammenleben auf der Basis der Menschenwürde und unserer gemeinsamen demokratischen Werte, insbesondere der Grund- und Menschenrechte. Interkulturelle Bildung ermöglicht über die Auseinandersetzung mit kulturspezifischen Charakteristika und durch die Entwicklung kultursensiblen Verhaltens den Erwerb interkultureller Kompetenz. Der Geschichtsunterricht trägt zur interkulturellen Bildung bei, indem die Schülerinnen und Schüler elementare Kenntnisse über andere Kulturen und Religionen sowie deren historische Wurzeln und Entwicklung erwerben.</t>
  </si>
  <si>
    <t>Lernwege und die Ergebnisse ihrer Arbeit. Solch ein Ansatz erfordert eine Unterrichtsgestaltung, in der eigene Lernwege bewusst und kritisch-konstruktiv zum Gegenstand der Diskussion werden. Auf diese Weise werden Einstellungen und Verhaltensweisen gefördert, die zur Berufs- und Studienorientierung beitragen und für ein Studium oder eine vergleichbare berufliche Ausbildung Voraussetzung sind. Allgemeine Hochschulreife Zur Vorbereitung auf ein Studium oder eine vergleichbare berufliche Ausbildung</t>
  </si>
  <si>
    <t>für Stoffe. Basiskonzepte der Physik Materie Die Schülerinnen und Schüler F beschreiben grundlegende Merkmale eines Körpers. Wechselwirkung F beschreiben die grundlegenden Phänomene des Magnetismus. Inhalte Kompetenzerwartungen Die Schülerinnen und Schüler Verhalten in Fachräumen geben die entsprechenden Sicherheitseinrichtungen und Vorschriften an, Maßnahmen bei Unfällen nennen und beachten Maßnahmen der Unfallverhütung zur Vermeidung von Gesundheitsschäden, Gefahrensymbole beachten die jeweiligen Sicherheitsvorschriften auch im Umgang</t>
  </si>
  <si>
    <t>Bio</t>
  </si>
  <si>
    <t>Beziehung zum Körperbau, Atmung o beschreiben die Art der Atmung, Ernährung o beschreiben die Ernährungsweise und setzen sie in Beziehung zu körperlichen Merkmalen z. B. Gebiss, Zahntypen, o beschreiben das Verhalten beim Nahrungserwerb, Sinnesorgane o setzen die Sinnesorgane in Beziehung zur Lebensweise, Körperbedeckung o erklären den Zusammenhang zwischen Körperbedeckung und Lebensweise, Inhalte Kompetenzerwartungen Kommunikation o nennen verschiedene Formen der Verständigung zwischen</t>
  </si>
  <si>
    <t>Lebensweise, Inhalte Kompetenzerwartungen Kommunikation o nennen verschiedene Formen der Verständigung zwischen Tieren sowie zwischen Tieren und Menschen und deuten diese, Fortpflanzung o beschreiben die Form der Fortpflanzung, o beschreiben das Verhalten bei der Aufzucht ihrer Jungen, Wirbeltierklassen stellen die Ergebnisse ihres gewählten Wirbeltieres anhand einer Präsentation dar, vergleichen und dokumentieren Gemeinsamkeiten und Unterschiede verschiedener Wirbeltiere, unterscheiden anhand von Gemeinsamkeiten und Unterschieden</t>
  </si>
  <si>
    <t>Pubertät, geben an, dass die Entwicklung individuell unterschiedlich verläuft, unterscheiden zwischen primären und sekundären Geschlechtsmerkmalen, beschreiben die psychischen Veränderungen, die während der Pubertät auftreten und deren Folgen, kommunizieren über geschlechtstypische Verhaltensweisen und Rollenbilder von Jungen und Mädchen in verschiedenen Sozialformen, Geschlechtsorgane beschreiben anhand einfacher Modelle und Abbildungen Bau und Lage der männlichen und weiblichen Geschlechtsorgane, beschreiben die Funktion der einzelnen Organe,</t>
  </si>
  <si>
    <t>Anwendung und geben ihre Sicherheit an, kommunizieren über die Vereinbarkeit von Familie und Beruf sowie ihre Zukunftsvorstellungen Inhalte Kompetenzerwartungen beschreiben Formen des Zusammenlebens von Eltern und Kindern, Sexualität deuten veränderte Verhaltensweisen zum anderen Geschlecht im Zusammenhang mit den Veränderungen im eigenen Körper z. B. Liebe, Freundschaft, Zärtlichkeit, nehmen vorurteilsfrei Stellung zu verschiedenen Formen der Sexualität, diskutieren Fragen im Zusammenhang mit Vorurteilen</t>
  </si>
  <si>
    <t>Haltungen sich selbst gegenüber. Die Schülerinnen und Schüler sollen Vertrauen in die eigenen Fähigkeiten und die Wirksamkeit des eigenen Handelns entwickeln. Sie sollen lernen, die eigenen Fähigkeiten realistisch einzuschätzen, ihr Verhalten zu reflektieren und mit Kritik angemessen umzugehen. Ebenso sollen sie lernen, eigene Meinungen zu vertreten und Entscheidungen zu treffen. Motivationale Einstellungen beschreiben die Fähigkeiten und Bereitschaften, sich für Dinge einzusetzen</t>
  </si>
  <si>
    <t>angemessener Weise zu lösen. Soziale Kompetenzen sind erforderlich, um mit anderen Menschen angemessen umgehen und zusammenarbeiten zu können. Dazu zählen die Fähigkeiten, erfolgreich zu kooperieren, sich in Konflikten konstruktiv zu verhalten sowie Toleranz, Empathie und Respekt gegenüber anderen zu zeigen. Die in der nachfolgenden Tabelle genannten überfachlichen Kompetenzen sind jahrgangsübergreifend zu verstehen, d.h., sie werden anders als die fachlichen Kompetenzen in</t>
  </si>
  <si>
    <t>Tieren oder Samenpflanzen, beschreiben die Fortpflanzung bei Tieren und Samenpflanzen, nutzen Messvorschriften, entwickeln Messvorschriften z. B. Reaktionsgeschwindigkeit, Körpertemperatur, Körpergewicht, Baumhöhe, Volumen eines Kiesels, nennen eigene Handlungsmöglichkeiten für nachhaltiges und gesundheitsbewusstes Verhalten .. erläutern eigene Handlungsmöglichkeiten für nachhaltiges und gesundheitsbewusstes Verhalten .. Mindestanforderungen am Ende der Jahrgangsstufe Erhöhte Anforderungen am Ende der Jahrgangsstufe S Kompetenzerwartungen zum Basiskonzept Information und Kommunikation Die Schülerinnen</t>
  </si>
  <si>
    <t>Samenpflanzen, nutzen Messvorschriften, entwickeln Messvorschriften z. B. Reaktionsgeschwindigkeit, Körpertemperatur, Körpergewicht, Baumhöhe, Volumen eines Kiesels, nennen eigene Handlungsmöglichkeiten für nachhaltiges und gesundheitsbewusstes Verhalten .. erläutern eigene Handlungsmöglichkeiten für nachhaltiges und gesundheitsbewusstes Verhalten .. Mindestanforderungen am Ende der Jahrgangsstufe Erhöhte Anforderungen am Ende der Jahrgangsstufe S Kompetenzerwartungen zum Basiskonzept Information und Kommunikation Die Schülerinnen und Schüler... nennen Reizspezifität und Reizschwellen als natürliche Leistungsgrenzen</t>
  </si>
  <si>
    <t>unterschiedliche Lautstärken und Tonhöhen einfachen Schwingungsbildern zu, beschreiben Schallausbreitung mithilfe eines einfachen Teilchenmodells, nennen das Gehirn als Ort, in dem Wahrnehmung entsteht. beschreiben, dass Wahrnehmung im Gehirn entsteht und dass Verhalten durch Informationsverarbeitung erzeugt wird. Erkenntnisgewinnungskompetenz Erkenntnisgewinnungskompetenz zeigt sich in der Kenntnis von naturwissenschaftlichen Denk- und Arbeitsweisen und der Fähigkeit, diese zu beschreiben, zu erklären, für Erkenntnisprozesse zu nutzen und deren</t>
  </si>
  <si>
    <t>Fachbegriffe die Art, die Beobachtung, die Beschreibung, die Bewegung, das Embryo, die Entwicklung, die Erklärung, das Experiment, die Reizbarkeit, das Skelett, der Stoffwechsel, die Umwelt, die Variable, die Vererbung, das Verhalten, die Vermutung, das Wachstum, die Wirbelsäule Fachinterne Bezüge Luft und Wasser Stoffwechsel und Entwicklung Vielfalt des Lebens Kennzeichen des Lebendigen Bau, Fortpflanzung und Bedeutung der Samenpflanzen Die fünf Klassen der</t>
  </si>
  <si>
    <t>wobei das Basiskonzept Wechselwirkung zur Anwendung kommt. Kompetenzen Fachbegriffe die Amplitude, die Frequenz, die Hypothese, der Lichtstrahl, das Modell, die Ordnung, die Reaktion, die Schwingung, das Sinnesorgan, der Vergleich, das Verhalten, die Welle Fachinterne Bezüge Pflanzen - Tiere Lebensräume / Von den Sinnen zum Messen Schall und Hören Experimente zur Ausbreitung des Schalls Schallgeschwindigkeit experimentell bestimmen Funktionsmodelle des Ohrs Optional: Experiment</t>
  </si>
  <si>
    <t>und Umweltverhalten sowohl fachliche Grundlagen, als auch lebenspraktische Fertigkeiten angebahnt. Anforderungen des Alltags werden unter ökonomischen, aber vor allem auch unter ökologischen und gesundheitsrelevanten Kriterien betrachtet und führen zu nachhaltigem Verhalten und Handeln in der Schule, aber auch darüber hinaus. Das Fach Biologie trägt in besonderem Maße zur Umweltbildung als Teil der Bildung für Nachhaltige Entwicklung im Sinne eines ressourcenschonenden nachhaltigen</t>
  </si>
  <si>
    <t>Laborgeräte, deren Bezeichnungen und sachgerechte Verwendung z. B. Reagenzglas, Petrischale, Erlenmeyerkolben, Präparierwanne, Präparierbesteck einfache Messgeräte, deren Bezeichnungen und sachgerechte Verwendung z. B. Thermometer, Meterstab, Stoppuhr, Waage Umgang mit lebenden Organismen, Verhalten in der Natur; ggf. Materialien zum Halten und Pflegen von Lebewesen in der Schule und zuhause z. B. Käfig, Glas, Aquarium Lichtmikroskop: Aufbau und sachgerechter Umgang, Verwendung von Fertigpräparaten, Herstellung</t>
  </si>
  <si>
    <t>Beispiele z. B. vollkommene Verwandlung bei Amphibien, Entwicklung eines Kükens zu beschreiben. beobachten Beispiele innerartlicher und zwischenartlicher Kommunikation bei Wirbeltieren - auch am Original - und zeigen die Bedeutung von Verhalten z. B. Sozialverhalten, Balzverhalten, Brutverhalten, Gruppenbildung etwa für das Überleben oder eine erfolgreiche Fortpflanzung auf. ordnen Wirbeltiere anhand charakteristischer Merkmale den verschiedenen Wirbeltierklassen zu und gewinnen dadurch einen Überblick über</t>
  </si>
  <si>
    <t>Wirbeltieren unter verschiedenen Aspekten z. B. Fortbewegung, Körperoberfläche, Temperaturregulation, Atmung, Reproduktion, Überwinterungsstrategien Vergleich mit Strukturen und Funktionen technischer Entwicklungen, Bionik z. B. Körperformen, Flügel Fortpflanzung, ggf. Entwicklung ausgewählte Beispiele von Verhalten z. B. Wanderungen, Balz-, Brut-, Revierverhalten, Überwinterung, Tarnung, Sozialverhalten, Gruppenbildung ausgewählte heimische Vertreter, Überblick über die Vielfalt der heimischen Fauna, ggf. Bedrohung und Schutz Kompetenzerwartungen Die Schülerinnen und Schüler ...</t>
  </si>
  <si>
    <t>in die Natur und den sich dadurch verändernden abiotischen Faktoren her. Aus den damit verbundenen Auswirkungen auf die Lebensgemeinschaft entwickeln sie Schutzmaßnahmen oder vollziehen diese nach und reflektieren ihr eigenes Verhalten. Inhalte zu den Kompetenzen: Überblick über den Lebensraum: Beschreibung der Lage und der Umgebung des Lebensraums; Unterscheidung: Wildnis versus Kulturlandschaft; Geschichte und Zukunft des Ökosystems Biotische und abiotische Umweltfaktoren: Biotop:</t>
  </si>
  <si>
    <t>abiotische Faktoren im Überblick, Zusammenwirken, ggf. jahreszeitliche Veränderungen; Biozönose: kennzeichnende Tier- und Pflanzenarten, Angepasstheiten, ökologische Nische, Zeigerorganismen; Insekten als wichtiger Bestandteil einer Lebensgemeinschaft: Grundbauplan, Körperbau im Überblick, Angepasstheiten, Schutz, ggf. Verhalten, ggf. Vielfalt Ökosystem als System: Nahrungsbeziehungen: Nahrungsnetze, Nahrungsketten, Nahrungspyramide, biologisches Gleichgewicht; funktionelle Gliederung eines Ökosystems: Produzenten, Konsumenten, Destruenten Stoffkreislauf; Bedeutung und Gefährdung des Ökosystems: Nutzung, Bedrohung und Schutz durch den</t>
  </si>
  <si>
    <t>Beschreibungen. Dadurch kennzeichnen sie Angepasstheiten und zeigen gleichzeitig auf, wie Lebewesen in einem Ökosystem vergesellschaftet sind. beschreiben Angepasstheiten von Insekten an das Leben im Ökosystem, der Entwicklung sowie ggf. des Verhaltens. Dadurch erlangen sie einen Einblick in die Schönheit und Vielfalt dieser Tiergruppe, bauen Vorbehalte ab und entwickeln statt dessen ihr gegenüber eine schützende Haltung. erschließen schematische Darstellungen von Räuber-Beutebeziehungen eines</t>
  </si>
  <si>
    <t>B. Weinherstellung; Rolle als Destruenten in Stoffkreisläufen, ggf. Darmflora Kompetenzerwartungen Die Schülerinnen und Schüler ... stellen verschiedene Formen der äußeren Abwehr des Körpers dar und erkennen dadurch die Bedeutung gesundheitsbewussten Verhaltens. zeigen mithilfe mikroskopischer Präparate bzw. Abbildungen wichtige feste und flüssige Blutbestandteile auf und stellen ggf. durch Untersuchungen einen Zusammenhang zu deren Funktion her. Auf dieser Grundlage erschließen sie sich komplexere</t>
  </si>
  <si>
    <t>Natur. Ein besonderes Augenmerk des Biologieunterrichts liegt auf der aktiven Gesundheitsvorsorge. Aus den Kenntnissen von Bau und Funktion des eigenen Körpers leiten die Schülerinnen und Schüler Maßnahmen zur Vermeidung gesundheitsgefährdender Verhaltensweisen ab. Die Erkenntnis der Notwendigkeit von Bewegung und Sport sind ebenso wie das Wissen um Familien- und Sexualerziehung Technische Bildung Werteerziehung eine ausgewogene Ernährung die Grundpfeiler einer gesunden Lebensführung. Ein</t>
  </si>
  <si>
    <t>Basis der Gesundheitsprävention. Alltagsbezogener und sinnstiftender Unterricht trägt zur Persönlichkeitsstärkung der Schülerinnen und Schüler bei. So bewältigen sie die Anforderungen des Alltags. Sie erkennen, dass ihre Zufriedenheit nicht von bestimmten Verhaltensweisen oder Substanzen abhängt. All dies hilft ihnen, ein eigenverantwortliches, sinnerfülltes Leben zu führen. Im Rahmen des Biologieunterrichts begleitet die Familien- und Sexualerziehung den psychischen und physischen Entwicklungsprozess der Kinder und</t>
  </si>
  <si>
    <t>Entscheidungen; B reflektieren Folgen von Entscheidungen für die Natur, das Individuum und die Gesellschaft; B reflektieren den Prozess der Bewertung in Bezug auf das Ergebnis und das Verfahren; B bewerten Verhaltensweisen zur Erhaltung der eigenen Gesundheit und Maßnahmen nachhaltiger Entwicklung aus verschiedenen, auch fachübergreifenden Perspektiven. Basiskonzepte Der Beschreibung und Erklärung von biologischen Sachverhalten liegen fachspezifische Gemeinsamkeiten zugrunde, die sich in Form</t>
  </si>
  <si>
    <t>Zahlreiche Themen geben Anlass, Sachverhalte unter biologischen und außerfachlichen Gesichtspunkten zu bewerten. Die Schülerinnen und Schüler bewerten die gesellschaftlichen Auswirkungen menschlichen Handelns und werden dadurch in die Lage versetzt, ihr Verhalten an der Verantwortung gegenüber sich selbst und der Mitwelt auszurichten. Die Entwicklung von biologischen Erkenntnissen sowie neuen Technologien und Produktionsverfahren, deren Anwendungen immer auch Auswirkungen auf die komplexen Systeme der</t>
  </si>
  <si>
    <t>zwischen genetischem Material, Genprodukten und Merkmal: Genmutationen Genetik menschlicher Erkrankungen: Familienstammbäume, Gentest und Beratung, Gentherapie Entstehung und Entwicklung des Lebens Synthetische Evolutionstheorie: Mutation, Rekombination, Selektion, Variation, Gendrift, adaptiver Wert von Verhalten, Kosten-Nutzen-Analyse, reproduktive Fitness, Koevolution, Abgrenzung von nicht-naturwissenschaftlichen Vorstellungen Stammbäume und Verwandtschaft: Artbildung, Biodiversität, populationsgenetischer Artbegriff, Isolation, molekularbiologische Homologien, ursprüngliche und abgeleitete Merkmale Sachkompetenz Die Schülerinnen und Schüler erläutern vergleichend die</t>
  </si>
  <si>
    <t>Genetik menschlicher Erkrankungen: Familienstammbäume, Gentest und Beratung, Gentherapie Krebs: Krebszellen, Onkogene und Anti-Onkogene, personalisierte Medizin Entstehung und Entwicklung des Lebens Synthetische Evolutionstheorie: Mutation, Rekombination, Selektion, Variation, Gendrift, adaptiver Wert von Verhalten, Kosten-Nutzen-Analyse, reproduktive Fitness, Koevolution, Abgrenzung von nicht-naturwissenschaftlichen Vorstellungen Stammbäume und Verwandtschaft: Artbildung, Biodiversität, populationsgenetischer Artbegriff, Isolation, molekularbiologische Homologien, ursprüngliche und abgeleitete Merkmale Sozialverhalten bei Primaten: exogene und endogene Ursachen, Fortpflanzungsverhalten</t>
  </si>
  <si>
    <t>in variablen Situationen erfolgreich und verantwortungsvoll genutzt werden können. Sie sind Grundlage für die Befähigung, sich in beruflichen, gesellschaftlichen und privaten Situationen sachgerecht durchdacht sowie individuell und sozial verantwortlich zu verhalten. Sach-, Methoden-, Selbst- und Sozial-kompetenz bedingen einander, durchdringen bzw. ergänzen sich gegenseitig und stehen in keinem hierarchischen Verhältnis zueinander. Sachkompetenz umfasst die Fähigkeit, Aufgaben bzw. Probleme mithilfe fachlicher Kenntnisse und</t>
  </si>
  <si>
    <t>Hypophyse, Hoden, Eierstöcke Ablauf des Menstruationszyklus - Grundzüge der vorgeburtlichen Entwicklung Zygote, Embryo, Fetus beschreiben und Maßnahmen zur Gesunderhaltung der Schwangeren sowie des ungeborenen Kindes ableiten - Sexualität als natürliches Verhalten kennzeichnen sowie Varianten des biologischen Geschlechts männlich, weiblich, intergeschlechtlich, Geschlechtsidentitäten z. B. cis, trans und sexuelle Orientierungen z. B. heterosexuell, homosexuell, bisexuell erläutern - Möglichkeiten zur Schwangerschaftsverhütung beurteilen - Maßnahmen</t>
  </si>
  <si>
    <t>erfolgt in geeigneten Lernsituationen: Die Lernenden können - individuell und in kooperativen Lernformen arbeiten und in diesem Kontext Lernziele formulieren und ihre Lernergebnisse einschätzen Verhaltensregeln festlegen bzw. einhalten und das Verhalten reflektieren Verantwortung für das eigene Lernen übernehmen zielstrebig lernen Hilfe annehmen und geben - mit Erfolgen und Misserfolgen angemessen umgehen - mit Konflikten angemessen umgehen - ihre Meinung begründet einbringen</t>
  </si>
  <si>
    <t>Die Lernenden können - individuell und in kooperativen Lernformen arbeiten und in diesem Kontext Lernziele formulieren, Lernprozesse strukturieren, ihre Lernergebnisse einschätzen bzw. Schlussfolgerungen ziehen Verhaltensregeln festlegen und einhalten sowie ihr Verhalten reflektieren Verantwortung für das eigene Lernen übernehmen zielstrebig lernen Hilfe annehmen und geben - mit Erfolgen und Misserfolgen angemessen umgehen ohne sich durch Misserfolge demotivieren bzw. vom Ziel abbringen zu</t>
  </si>
  <si>
    <t>allem hinsichtlich ihrer Zuverlässigkeit sachkritisch zu prüfen Sachverhalte zu bewerten sich einen eigenen Standpunkt zu bilden und diesen begründet zu vertreten verantwortungsvoll zu entscheiden bzw. zu handeln sowie Entscheidungen und Verhalten kritisch zu reflektieren Zusammenhang zwischen der modernen Lebensweise des Menschen und dem anthropogen bedingten Klimawandel, ökologische Nachhaltigkeit, Gentechnik und Anwendungen, Pränataldiagnostik, Widerlegung des Konzepts menschliche Rassen die Biologie als empirische</t>
  </si>
  <si>
    <t>Lymphe beschreiben - die Regulierung des Blutzuckerspiegels erläutern Regelkreis, Zusammenspiel von Insulin und Glukagon - Maßnahmen zur Gesunderhaltung erläutern: bedarfsangepasste z. B. bzgl. Alter, Aktivität Ernährung ballaststoffreiche Ernährung Prävention essgestörten Verhaltens an einem Beispiel Bewertung der Kennzeichnung von Lebensmitteln z. B. Lebensmittelampel Atmungssystem fakultativ Die Lernenden können - Bau und Funktion der Atmungsorgane beschreiben: Bestandteile des Atmungssystems Atembewegungen Gasaustausch - die</t>
  </si>
  <si>
    <t>Entscheidungen reflektieren, B Folgen von Entscheidungen für die Natur, das Individuum und die Gesellschaft reflektieren B den Prozess der Bewertung in Bezug auf das Ergebnis und das Verfahren reflektieren B Verhaltensweisen zur Erhaltung der eigenen Gesundheit und Maßnahmen nachhaltiger Entwicklung aus verschiedenen, auch fachübergreifenden Perspektiven, bewerten Der Erwerb der Kompetenzen erfolgt an konkreten Inhalten. Die in den Bildungsstandards verbindlich vorgegebenen Inhalte</t>
  </si>
  <si>
    <t>Gruppen einteilen - Ernährung, Atmung, Fortpflanzung und Entwicklung erläutern - den Zusammenhang zwischen Körperbau, Angepasstheit an ihren Lebensraum und Schutzmaßnahmen am Beispiel von Wirbeltieren und Samenpflanzen ableiten - Maßnahmen bzw. Verhaltensweisen zur Gesunderhaltung des Menschen Ernährung, Bewegung ableiten bzw. begründen - naturwissenschaftliche bzw. fachspezifische Methoden angeleitet anwenden: Beschreiben, Vergleichen, Ordnen, Erläutern, Begründen und Bewerten ausgewählter biologischer Sachverhalte Durchführen und Auswerten von</t>
  </si>
  <si>
    <t>und geistigem Eigentum kennen und berücksichtigen, Diskussionen, Foren, Teamarbeit u. a. sachkritisch durchführen. Kompetenzbereich Bewerten Auf der Grundlage solider Fachkenntnisse entwickeln Schülerinnen und Schüler ein Wissensnetz, das sie befähigt, das Verhalten des Menschen gegenüber sich selbst, anderen Personen, Organismen und der Umwelt zu bewerten sowie Fremd- und Eigenurteile zu begründen und somit Denkweisen zu üben. Sie entwickeln Wertschätzung für eine intakte</t>
  </si>
  <si>
    <t>Massentierhaltung herstellen und ethische Fragestellungen mithilfe digitaler Medien diskutieren Grundlegende Wissensbestände - Kennzeichen von Lebewesen: Stoffwechsel, Bewegung, Reizbarkeit, Wachstum, Fortpflanzung und Entwicklung - Bestimmen von Lebewesen - körperlicher Bau, Ernährung, Verhalten, Abstammung - artgerechte Haltung von Tieren aus dem Erfahrungsbereich der Schülerinnen und Schüler - Bau und Funktion der Bestandteile von Lebewesen, geschlechtliche und ungeschlechtliche Fortpflanzung, Entwicklung und Entwicklungsbedingungen - Angepasstheit</t>
  </si>
  <si>
    <t>B. Werbung versus gesunde Lebensweise - biologische Phänomene erklären und Alltagsvorstellungen dazu in Beziehung setzen z. B. Immunisierung/Immunität, Homosexualität - Statistiken zu verschiedenen Erkrankungen u. Ä. auswerten Bewerten - sexuelles Verhalten des Menschen unter biologischen und ethischen Gesichtspunkten bewerten z. B. Schwangerschaftsverhütung, Schwangerschaftsabbruch, Aids - Zusammenhang zwischen ungesunder Lebensweise z. B. falsche Ernährung, Alkohol- und Nikotinmissbrauch, Impfmüdigkeit und möglichen Erkrankungen sowie</t>
  </si>
  <si>
    <t>herstellen sowie Folgeerscheinungen auf die eigene Lebenswelt übertragen und bewerten - Maßnahmen und Verhaltensweisen zur Erhaltung der eigenen Gesundheit und zur sozialen Verantwortung beurteilen - Einfluss der Umwelt auf eigenes Verhalten beurteilen - Aussagen von Werbung unter dem Aspekt einer gesunden Lebensweise diskutieren und bewerten Grundlegende Wissensbestände Reizbarkeit als Kennzeichen aller Organismen z. B. Reiz-Reaktionskette Bau und Funktion ausgewählter Sinnesorgane und</t>
  </si>
  <si>
    <t>Lebewesen und ihre Veränderung erkunden / - Phänomene der Mikrobiologie beobachten und darstellen - System und Systemebenen am Beispiel des Menschen unter Einbeziehung seiner Umwelt erklären / - Grundlagen des Verhaltens anwenden - Wechselwirkungen zwischen Organismen und Umwelt erläutern - Vererbungsvorgänge als Merkmal des Lebens darstellen und deren Gesetzmäßigkeiten anwenden - Grundlagen der Evolution interpretieren Diese Kompetenzschwerpunkte sind verbindlicher Gegenstand im</t>
  </si>
  <si>
    <t>von Lebensführung und Gesundheit z. B. Immunisierung, Aids Bezüge zu fächerübergreifenden Themen Sicher und gesund durch den Straßenverkehr Luft, Wasser und Boden als natürliche Lebensgrundlage Schuljahrgänge / Kompetenzschwerpunkt: Grundlagen des Verhaltens anwenden Fachwissen anwenden - Reizbarkeit als Kennzeichen aller Organismen erläutern z. B. ReizReaktionskette - verschiedene Nervensysteme in Bau, Funktion und Leistung vergleichen - Zusammenhänge zwischen Struktur und Funktion ausgewählter Sinnesorgane</t>
  </si>
  <si>
    <t>der digitalen Welt Eine derartige Auseinandersetzung bewirkt, dass sich bei Schülerinnen und Schülern nicht nur Interessen entwickeln, die berufliche Vorstellungen unterstützen und Freizeitaktivitäten prägen, sondern es können auch Einstellungen und Verhaltensweisen herausgebildet werden, die für die berufliche Bildung Voraussetzung sind. Berufsvorbereitung und Ausbildungsreife Der Biologieunterricht vermittelt den Lernenden darüber hinaus Einblicke in biologische Berufsfelder, z. B. im Bereich des Gesundheitswesens, der</t>
  </si>
  <si>
    <t>auf ihren sachlichen und ideologischen Gehalt, treffen Entscheidungen sachgerecht, selbstbestimmt und verantwortungsbewusst. Am Ende des Schuljahrgangs können die Schülerinnen und Schüler biologische Sachverhalte in einem neuen Bewertungskontext erklären, Maßnahmen und Verhaltensweisen zur Erhaltung der eigenen Gesundheit und zur sozialen Verantwortung beurteilen, Fremdperspektiven entwickeln und andersartige Entscheidungen tolerieren, eigenständig zu biologischen Problemen der Gesellschaft und des eigenen Lebens Stellung nehmen, Nachhaltigkeit verschiedener</t>
  </si>
  <si>
    <t>Verhaltensäußerungen verschiedener Organismen beurteilen - Zusammenhang zwischen Drogen-, Medienkonsum z. B. Computer, Computerspiele und Smartphones und Sucht herstellen sowie Folgeerscheinungen auf die eigene Lebenswelt übertragen und bewerten - Maßnahmen und Verhaltensweisen zur Erhaltung der eigenen Gesundheit und zur sozialen Verantwortung beurteilen - Einfluss der Umwelt auf eigenes Verhalten beurteilen - Aussagen von Werbung unter dem Aspekt einer gesunden Lebensweise diskutieren und</t>
  </si>
  <si>
    <t>verschiedener Einstellungen gefördert. Prävention und Gesundheitsförderung PG Traditionell kommt dem Fach Biologie eine wichtige Rolle bei den Themen Prävention und Gesundheitsförderung zu. Darunter wird nicht nur die Vermeidung von gesundheitsschädlichem Verhalten, sondern auch die Stärkung von Resilienz verstanden. Der Mensch selbst ist Gegenstand des Biologieunterrichts. Dies trägt dazu bei, dass sich Kinder und Jugendliche altersangemessen mit ihrem Körper auseinandersetzen, und fördert</t>
  </si>
  <si>
    <t>Sek 1</t>
  </si>
  <si>
    <t>verschiedenen Zellen eine übergeordnete Funktion ermöglicht wird. Sie verstehen, wie über das Schlüssel-Schloss-Prinzip Kommunikation ermöglicht wird. Sie erkennen die individuelle und gesellschaftliche Bedeutung von Impfungen und die Notwendigkeit, durch geeignetes Verhalten zur Gesunderhaltung des Körpers beizutragen. Die Schülerinnen und Schüler können G M E den Bau und die Vermehrung von Bakterien und Viren beschreiben den Bau und die Vermehrung von Bakterien</t>
  </si>
  <si>
    <t>Rollenverhalten in partnerschaftlichen Beziehungen kritisch hinterfragen, Maßnahmen zur Erhaltung der eigenen Gesundheit in Bezug auf Ernährung oder Bewegung beschreiben und begründen, den Einfluss von äußeren und inneren Faktoren auf das Verhalten, die Gesundheit und die Leistungsfähigkeit beurteilen, Handlungsoptionen in ethischer Verantwortung in Bezug auf Erbkrankheiten sowie gentechnische Veränderungen von Pflanzen und Tieren bewerten. Herz-Kreislaufsystem, individuelles Ernährungs- und Bewegungsverhalten Züchtung und Haltung</t>
  </si>
  <si>
    <t>und Interessen geleiteten Aussagen andererseits, beurteilen die Bedeutung von naturwissenschaftlichen Kenntnissen für Anwendungsbereiche und Berufsfelder, zeigen an lebensweltbezogenen Fragestellungen die Chancen und Grenzen naturwissenschaftlicher Sichtweisen auf, beurteilen verschiedene Maßnahmen und Verhaltensweisen zur Erhaltung der eigenen Gesundheit und der anderer Lebewesen. Überfachliche Kompetenzen: ersonale Kompetenz: Selbstkonzept ozialkompetenz: Gesellschaftliche Verantwortung, Rücksichtsnahme und Solidarität Basiskonzepte: Struktur und Funktion System Entwicklung Inhaltsfelder: Informationsfluss im Organismus</t>
  </si>
  <si>
    <t>Gesundheitsförderung Ein besonderes Augenmerk des Biologieunterrichts liegt auf der aktiven Gesundheitsfürsorge. Aus den Kenntnissen von Bau und Funktion des eigenen Körpers leiten die Schülerinnen und Schüler Maßnahmen zur Vermeidung gesundheitsgefährdender Verhaltensweisen ab. Die Erkenntnis der Notwendigkeit von Bewegung und Sport sind ebenso wie das Wissen um eine ausgewogene Ernährung die Grundpfeiler einer gesunden Lebensführung. Ein vertieftes Verständnis von Hygiene erweitert die</t>
  </si>
  <si>
    <t>Wissen um die Entstehung von Suchtverhalten leiten die Schülerinnen und Schüler sinnvolle Strategien zur Persönlichkeitsstärkung ab, um die Anforderungen des Alltags bewältigen zu können und ihre Zufriedenheit nicht von bestimmten Verhaltensweisen oder Substanzen abhängig zu machen. All dies hilft ihnen, ein eigenverantwortliches, sinnerfülltes Leben zu führen. Kulturelle Bildung Naturwissenschaften prägen unsere Gesellschaft und bilden heute einen wesentlichen Teil unserer kulturellen Identität.</t>
  </si>
  <si>
    <t>Sie liefern vertiefende Erläuterungen zu Kompetenzen und weisen auf konkrete Bezüge zu Basiskonzepten hin. Die Operatoren geben eine Hilfestellung für die unterrichtliche Planung. Operatoren formulieren eindeutige Arbeitsanweisungen und damit beschreibbares Verhalten der Lernenden und sind als verbindlich anzusehen. Sie sind im Anhang aufgelistet und umschrieben und beruhen auf der einheitlichen Operatorenliste der KMK für die naturwissenschaftlichen Fächer, die auch der Formulierung</t>
  </si>
  <si>
    <t>auf die Bedeutung für evolutive Prozesse an. b Wiederholend auf Parasitismus, Symbiose und Räuber-Beute Beziehungen eingehen und auf evolutive Prozesse beziehen. Hier können die ultimaten Ursachen betont werden. E Das Verhalten von Tieren ist Ergebnis von Evolution. Die Schülerinnen und Schüler a proximate Ursachen, ultimate Ursachen a erläutern an Beispielen, dass Verhalten proximate und ultimate Ursachen hat, a siehe Erläuterungen im</t>
  </si>
  <si>
    <t>Hier können die ultimaten Ursachen betont werden. E Das Verhalten von Tieren ist Ergebnis von Evolution. Die Schülerinnen und Schüler a proximate Ursachen, ultimate Ursachen a erläutern an Beispielen, dass Verhalten proximate und ultimate Ursachen hat, a siehe Erläuterungen im Vorwort auf S. sowie im Anhang b adaptiver Wert, reproduktive Fitness b beschreiben an einem Beispiel den adaptiven Wert von Verhalten</t>
  </si>
  <si>
    <t>Verhalten proximate und ultimate Ursachen hat, a siehe Erläuterungen im Vorwort auf S. sowie im Anhang b adaptiver Wert, reproduktive Fitness b beschreiben an einem Beispiel den adaptiven Wert von Verhalten und die Bedeutung für die reproduktive Fitness, b z. B. die Verteidigung der Brutkolonie von Lachmöwen gegen Fressfeinde, Lernprozesse beim Fressen der giftigen Aga-Kröte c Kosten-Nutzen-Analyse c beurteilen das Verhalten</t>
  </si>
  <si>
    <t>Verhalten und die Bedeutung für die reproduktive Fitness, b z. B. die Verteidigung der Brutkolonie von Lachmöwen gegen Fressfeinde, Lernprozesse beim Fressen der giftigen Aga-Kröte c Kosten-Nutzen-Analyse c beurteilen das Verhalten eines Organismus nach einer Kosten-Nutzen-Analyse. siehe b c Die Bildungsstandards geben den Begriff der Kosten-Nutzen-Analyse klar vor. In der Wissenschaft wird dieser jedoch präzise verstanden und erfordert ein aufwendiges Verfahren,</t>
  </si>
  <si>
    <t>diesen Stellung. Informationsverarbeitung Biologie GK Leitperspektive Das Themenfeld Informationsverarbeitung beinhaltet umfassende Bezüge zu allen Basiskonzepten und ermöglicht eine abschließende Vernetzung der im Laufe der Hauptphase erworbenen Kompetenzen. Nachdem das menschliche Verhalten aus ökologischer und evolutionsbiologischer Perspektive betrachtetet wurde, werden nun die zellulären Prozesse untersucht, welche dieses Verhalten steuern. Da die Weiterleitung von Informationen auf elektrischem bzw. chemischem Weg erfolgt und nicht</t>
  </si>
  <si>
    <t>ermöglicht eine abschließende Vernetzung der im Laufe der Hauptphase erworbenen Kompetenzen. Nachdem das menschliche Verhalten aus ökologischer und evolutionsbiologischer Perspektive betrachtetet wurde, werden nun die zellulären Prozesse untersucht, welche dieses Verhalten steuern. Da die Weiterleitung von Informationen auf elektrischem bzw. chemischem Weg erfolgt und nicht nur Energie, sondern ein komplexes Zusammenwirken von Zellen und Organsystemen erfordert, spielen hierbei die Basiskonzepte Stoff-</t>
  </si>
  <si>
    <t>ab K unterscheiden zwischen Alltags- und Fachsprache grundsätzlicher/übergeordneter Standard K erklären Sachverhalte aus ultimater und proximater Sicht, ohne dabei unangemessene finale Begründungen zu nutzen E a erläutern an Beispielen, dass Verhalten proximate und ultimate Urs chen hat K unterscheiden zwischen funktionalen und kausalen Erklärungen E a stellen Koevolution als wechselseitigen Anpassungsprozess zweier Arten an einem Beispiel dar K nutzen geeignete Darstellungsformen</t>
  </si>
  <si>
    <t>politischer und sozialer Perspektive Begriffe, die gemäß der BiStas einzuführen sind Biologie GK Funktionale vs. kausale Erklärungen Funktionale Erklärungen beziehen sich auf die Funktion, welche eine bestimmte Struktur oder ein Verhalten erklären; häufig sind dies z. B. Struktur-Funktions-Zusammenhänge bei Angepasstheiten. Kausale Erklärungen beziehen sich auf die Ursache, die einem bestimmten Verhalten bzw. einer Lebensäußerung zu Grunde liegt; dies können endogene und</t>
  </si>
  <si>
    <t>sich auf die Funktion, welche eine bestimmte Struktur oder ein Verhalten erklären; häufig sind dies z. B. Struktur-Funktions-Zusammenhänge bei Angepasstheiten. Kausale Erklärungen beziehen sich auf die Ursache, die einem bestimmten Verhalten bzw. einer Lebensäußerung zu Grunde liegt; dies können endogene und exogene Ursachen sein. Beispiel : Kausal: Der Buchfink singt, weil das Überschreiten einer bestimmten Tageslänge im Frühjahr zusammen mit dem</t>
  </si>
  <si>
    <t>Turgordruck, das Stoma öffnet sich. Funktional: Das Öffnen der Spaltöffnungen ermöglicht den Gasaustausch für die Fotosynthese. Proximate und ultimate Erklärungen Proximate Erklärungen beziehen sich auf den unmittelbaren Grund für ein Verhalten bzw. Phänomen. Beispiel: Das Fell des Eisbären hat keine Pigmente und sieht deshalb weiß aus. Ultimate Erklärungen beziehen sich darauf, wie ein Verhalten bzw. Phänomen im Laufe der Evolution entstanden</t>
  </si>
  <si>
    <t>sich auf den unmittelbaren Grund für ein Verhalten bzw. Phänomen. Beispiel: Das Fell des Eisbären hat keine Pigmente und sieht deshalb weiß aus. Ultimate Erklärungen beziehen sich darauf, wie ein Verhalten bzw. Phänomen im Laufe der Evolution entstanden ist. Beispiel: Im Laufe der Stammesgeschichte hatten Bären mit weißem Fell einen Selektionsvorteil gegenüber Bären mit dunklem Fell und konnten sich erfolgreicher vermehren.</t>
  </si>
  <si>
    <t>situationsgerechten Beantwortung biologischer Fragestellungen. formulieren unter Nutzung fachwissenschaftlicher Erkenntnisse der Biologie systematisch und begründet Handlungsoptionen, wenden dabei Entscheidungsstrategien an und reflektieren über getroffene Entscheidungen. beurteilen die Folgen von Maßnahmen und Verhaltensweisen für die eigene Gesundheit und die Gesundheit anderer, um auch unter Einbezug gesellschaftlicher Perspektiven bewusste wertorientierte Entscheidungen für die Gesunderhaltung treffen zu können z. B. Impfungen. Inhalte zu den Kompetenzen:</t>
  </si>
  <si>
    <t>Lernbereich : Ökosystem Mensch ca. Std. Kompetenzerwartungen Die Schülerinnen und Schüler ... beschreiben Wechselbeziehungen zwischen dem Menschen und anderen Lebewesen, die auf und im menschlichen Körper leben, um Maßnahmen und Verhaltensweisen für eine gesundheitsbewusste Lebensführung abzuleiten. unterscheiden bakterielle und virale Infektionen, beschreiben an ausgewählten Beispielen deren Verlauf und beurteilen Möglichkeiten und Grenzen des Infektionsschutzes und der Therapie. erläutern körpereigene unspezifische sowie</t>
  </si>
  <si>
    <t>Schädigung des Menschen z. B. durch Abgabe von Giftstoffen, Angepasstheiten an den Menschen als Ökosystem z. B. anaerober Stoffwechsel bei Darmbakterien Viren als Krankheitserreger: Bau und lytischer Vermehrungszyklus von Viren Verhaltensweisen zur Vermeidung einer Infektion: Übertragungswege von Krankheitserregern, Hygiene und Körperpflege, gezielte Schutzmaßnahmen u. a. gegen HIV unspezifische Abwehr einer Infektion: Haut und Schleimhäute Symbionten, Magensäure, Leukocyten, antimikrobielle Proteine, Entzündungsreaktion spezifische</t>
  </si>
  <si>
    <t>Aquarianer Körpergliederung, Körperbedeckung - Fortbewegung Arbeiten mit der Lupe und zeichnerisches Darstellen Betrachten von Schuppen Kiemen - Atmung Fried- und Raubfische - Ernährung Fortpflanzung und Entwicklung geschlechtliche Fortpflanzung äußere Befruchtung Verhalten Verhaltensbeobachtungen Paarungs- und Schwarmverhalten, Wanderfische, Fortpflanzungsverhalten Beurteilen von Maßnahmen zum Gewässerschutz Bedeutung NSG und LSG Umweltamt, andere Verbände Bildung für nachhaltige Entwicklung Nahrungsketten Differenzierung: Nahrungsnetze Reinhaltung der Gewässer und Artenschutz</t>
  </si>
  <si>
    <t>Artenschutz GEO, Kl. , LB Kennen von EF am Beispiel der Fische Lernkompetenz Begriffsverständnis: EF EF als Lernhilfe EF Vielfalt Vorhandensein von Gemeinsamkeiten und Unterschieden in den Merkmalen Bau, Funktion, Verhalten von Lebewesen sowie deren Lebensräumen EF Bau und Funktion Zusammenhänge zwischen dem Bau von Körperteilen und Organen und deren entsprechenden Aufgaben Lernbereich : Lurche und Kriechtiere - Wirbeltiere in ihren</t>
  </si>
  <si>
    <t>Bestimmungsschlüsseln, typische Merkmale Differenzierung: Bestimmen von Kriechtiere Körperbedeckung, Körpertemperatur Lebensraum wechselwarme Tiere, Feuchtlufttier, Trockenlufttier Atmung - Lebensraum Befruchtungsarten - Lebensraum äußere, innere Befruchtung Hinführung EF Fortpflanzung Gestaltwandel Lurche - Lebensräume Verhalten Krötenwanderung, Beutefangverhalten Übertragen der Kenntnisse zum Gewässerschutz auf den Schutz der Lebensräume von Lurchen und Kriechtieren Planspiele Bildung für nachhaltige Entwicklung GEO, Kl. , LB Kennen des EF Angepasstheit Lernkompetenz</t>
  </si>
  <si>
    <t>Experimentieren Vergleich Ergebnis mit Vermutungen Wahlbereich : Heim- und Nutztiere Kennen von Heim- und Nutztieren Exkursion: Bauernhof, Zoo, Tierpark, Tierheim Bildung für nachhaltige Entwicklung Betrachten und Beobachten von Tieren Erscheinungsbild, Verhalten Haltung und Nutzung von Tieren durch den Menschen artgerechte Tierhaltung, Tierschutzgesetz Ergebnispräsentation Steckbriefe, Fotos, Portfolio, Poster Wahlbereich : Verhaltensweisen Einblicke gewinnen in angeborene und erworbene Verhaltensweisen Bewusstsein für individuelle Stärken</t>
  </si>
  <si>
    <t>Die Schüler beschreiben den Bau und die Funktionen von Organen und Organsystemen des eigenen Körpers. Unter dem Gesichtspunkt der eigenen Gesundheit bewerten sie verschiedene Verhaltensweisen und Umweltbedingungen. Sie lernen das Verhalten als Ergebnis von Erlerntem und Angeborenem kennen. Entwickeln eines verständigen Umgangs mit der Fachsprache Die Schüler veranschaulichen Daten und Informationen mit sprachlichen und bildlichen Gestaltungsmitteln. Lernbereich : Bau und Funktionen</t>
  </si>
  <si>
    <t>Gesundheitsamt, Beratungsstellen Kennen von sexuell übertragbare Krankheiten Hepatitis, AIDS Bundeszentrale für gesundheitliche Aufklärung, Aidshilfe Differenzierung: Syphilis, Tripper GE, Kl. , LB Bildung für nachhaltige Entwicklung Kennen der Phasen der Individualentwicklung Verhalten als Ergebnis von Angeborenem und Erworbenem Nachahmung tierische und menschliche Verhaltensweisen Zusammenhang Verhalten - Umweltbedingungen Lernverhalten lebenslanges Lernen Kennen von Nährstoffgruppen, weitere Bestandteile der Nahrung und deren Bedeutung Zusammenarbeit mit</t>
  </si>
  <si>
    <t>Aidshilfe Differenzierung: Syphilis, Tripper GE, Kl. , LB Bildung für nachhaltige Entwicklung Kennen der Phasen der Individualentwicklung Verhalten als Ergebnis von Angeborenem und Erworbenem Nachahmung tierische und menschliche Verhaltensweisen Zusammenhang Verhalten - Umweltbedingungen Lernverhalten lebenslanges Lernen Kennen von Nährstoffgruppen, weitere Bestandteile der Nahrung und deren Bedeutung Zusammenarbeit mit anderen naturwissenschaftlichen Fächern beim Protokollieren PH, Kl. , LB Methodenkompetenz: bewusste Ernährung Ernährung</t>
  </si>
  <si>
    <t>dar und beschreiben deren Auswirkungen auf den menschlichen Körper. Entwickeln eines Grundverständnisses für den eigenen Körper und die Rolle des Menschen in der Natur Die Schüler erkennen, dass sie ihr Verhalten steuern können und die Verantwortung für ihr Verhalten tragen. Sie beurteilen verschiedene Verhaltensweisen hinsichtlich ihrer Auswirkungen auf sich selbst und ihr Umfeld. Ihnen ist bekannt, dass Drogenmissbrauch zu Suchtverhalten und</t>
  </si>
  <si>
    <t>Körper. Entwickeln eines Grundverständnisses für den eigenen Körper und die Rolle des Menschen in der Natur Die Schüler erkennen, dass sie ihr Verhalten steuern können und die Verantwortung für ihr Verhalten tragen. Sie beurteilen verschiedene Verhaltensweisen hinsichtlich ihrer Auswirkungen auf sich selbst und ihr Umfeld. Ihnen ist bekannt, dass Drogenmissbrauch zu Suchtverhalten und zu einer Zerstörung des Körpers und der Persönlichkeit</t>
  </si>
  <si>
    <t>deren Lebensräume einem ständigen Wandel unterliegen. Entwickeln eines Grundverständnisses für den eigenen Körper und die Rolle des Menschen in der Natur Die Schüler beschreiben und erklären Unterschiede im Bau und Verhalten von Menschen als Folgen der biologischen und kulturellen Evolution. Die Schüler bewerten an Beispielen Chancen und Risiken von biologischen Forschungen sowie der immer weiter zunehmenden Eingriffe des Menschen in die</t>
  </si>
  <si>
    <t>Körperbau, Lebensweise Überblick über Entwicklungsetappen Entwicklungslinien, Stammbäume, territoriale Ausbreitung überwiegende genetische Gemeinsamkeiten aller Menschen - Artzugehörigkeit Angepasstheit an klimatische Verhältnisse Antirassismus als Gebot des Humanismus kulturelle Evolution - Sprache, Kulturen Verhalten g g Beurteilen der Folgen menschlicher Eingriffe in Ökosysteme Wechselwirkung zwischen Biosphäre und den anderen Sphären der Erde Stoffkreislauf und Energiefluss Umweltschutz, Verhalten regionale Gegebenheiten beachten Umweltamt, Museum. Experten befragen</t>
  </si>
  <si>
    <t>des Humanismus kulturelle Evolution - Sprache, Kulturen Verhalten g g Beurteilen der Folgen menschlicher Eingriffe in Ökosysteme Wechselwirkung zwischen Biosphäre und den anderen Sphären der Erde Stoffkreislauf und Energiefluss Umweltschutz, Verhalten regionale Gegebenheiten beachten Umweltamt, Museum. Experten befragen Bildung für nachhaltige Entwicklung INF, Kl. , LB GEO, Kl. , LB VK Gesundheit und Soziales, LB Recherche und Präsentation mit digitalen und</t>
  </si>
  <si>
    <t>wesentliche Voraussetzung für ein Verständnis von Schlüsselproblemen unserer Zeit und damit für den Anspruch auf Selbst- und Mitbestimmung in der Gesellschaft. Das Fach Biologie leistet einen Beitrag zum Verständnis des Verhaltens von Lebewesen und der Rolle des Menschen in der Natur. Es setzt sich mit Fragen der Achtung und des Schutzes des Lebendigen sowie positiven Gesundheitsstrategien auseinander. Darüber hinaus trägt die</t>
  </si>
  <si>
    <t>Wirbeltiere in ihren Lebensräumen Ustd. Lernbereich : Säugetiere - Wirbeltiere in ihren Lebensräumen Ustd. Lernbereiche mit Wahlcharakter Wahlbereich : Vom Probieren zum Experimentieren Wahlbereich : Heim- und Nutztiere Wahlbereich : Verhaltensweisen Klassenstufe Lernbereich : Samenpflanzen Ustd. Lernbereich : Pflanzenfamilien Ustd. Lernbereich : Sporenpflanzen und Pilz Ustd. Lernbereich : Mikroskopie, Zellen und einzellige Lebewesen Ustd. Lernbereich : Wirbellose Tiere in ihren Lebensräumen</t>
  </si>
  <si>
    <t>Schüler beschreiben an Vertretern der Wirbeltiere deren Fortpflanzung und Entwicklung. Beim Vergleichen der Wirbeltiergruppen erwerben sie erste Vorstellungen zu stammesgeschichtlichen Entwicklungen. Die Schüler stellen an Beispielen die Bedeutung der beobachteten Verhaltensweisen dar und beschreiben deren Anpassungswert für die Organismen. Entwickeln eines Grundverständnisses für den eigenen Körper und die Rolle des Menschen in der Natur Die Schüler können den Zusammenhang zwischen dem</t>
  </si>
  <si>
    <t>mit der Lupe und zeichnerisches Darstellen Körpertemperatur gleichwarme Tiere Anpassungserscheinungen einfache Flugmodelle Körperbau - Fliegen Körperform, Körperbedeckung, Skelett Schnabelform - Nahrung Atmung Fortpflanzung und Entwicklung innere Befruchtung, Bau Hühnerei typische Verhaltensweisen Verhaltensbeobachtungen Revier- und Balzverhalten, Nestbau- und Brutpflegeverhalten, Prägung Bedeutung und Schutz der Vögel Glieder in Nahrungsnetzen, Heimtiere, Nutztiere Bildung für nachhaltige Entwicklung Kennen des EF Fortpflanzung Lernkompetenz geschlechtliche und ungeschlechtliche</t>
  </si>
  <si>
    <t>Körpertemperatur Lebensraum gleichwarme Tiere Betrachten von Fellproben mit der Lupe Skelett - Lebensraum Gliedmaßenskelett Gebiss - Nahrung Lungen - Landleben Kennen der Fortpflanzung der Säugetiere innere Befruchtung Einblick gewinnen in Verhaltensweisen der Säugetiere Hinführung EF Information Exkursion: Bauernhof, Tierpark, Zoo vorurteilsfreies Beobachten eines Säugetieres Revierverhalten, Rangordnungsverhalten, Aggressionsverhalten, Imponieren Sich zum Erhalt von Lebensräumen und dem Schutz bedrohter Säugetierarten positionieren Bedeutung zoologischer</t>
  </si>
  <si>
    <t>in den Evolutionsgedanken Wirbeltiere Mensch zunehmende Unabhängigkeit vom Wasser Fossilien, Übergangsformen Anwenden verhaltensbiologischer Kenntnisse Medienbildung Werteorientierung Bildung für nachhaltige Entwicklung artgerechte Haltung von Tieren Formen des Zusammenlebens, Haustiere, Tiertransporte menschliche Verhaltensweisen Kindchenschema, Werbung p Kennen von Möglichkeiten zur Untersuchung biologischer Phänomene Vogelflug, Spuren und Fährten, Wärmeregulation Federn/Fell Nutzung von Bestimmungsliteratur und von digitalen Medien problemhafte Aufgabenstellung Vermutungen aufstellen praktisches Arbeiten Beobachten,</t>
  </si>
  <si>
    <t>Tierheim Bildung für nachhaltige Entwicklung Betrachten und Beobachten von Tieren Erscheinungsbild, Verhalten Haltung und Nutzung von Tieren durch den Menschen artgerechte Tierhaltung, Tierschutzgesetz Ergebnispräsentation Steckbriefe, Fotos, Portfolio, Poster Wahlbereich : Verhaltensweisen Einblicke gewinnen in angeborene und erworbene Verhaltensweisen Bewusstsein für individuelle Stärken und Schwächen Beispiel Mensch Prägung und Nachahmung Lernverhalten Ziele Entwickeln naturwissenschaftlicher Denk- und Arbeitsweisen zum Erschließen biologischer Phänomene Die</t>
  </si>
  <si>
    <t>Beobachten von Tieren Erscheinungsbild, Verhalten Haltung und Nutzung von Tieren durch den Menschen artgerechte Tierhaltung, Tierschutzgesetz Ergebnispräsentation Steckbriefe, Fotos, Portfolio, Poster Wahlbereich : Verhaltensweisen Einblicke gewinnen in angeborene und erworbene Verhaltensweisen Bewusstsein für individuelle Stärken und Schwächen Beispiel Mensch Prägung und Nachahmung Lernverhalten Ziele Entwickeln naturwissenschaftlicher Denk- und Arbeitsweisen zum Erschließen biologischer Phänomene Die Schüler kennen Zellen als Grundbausteine der Lebewesen</t>
  </si>
  <si>
    <t>von Insekten beschreiben sie Entwicklungsformen von Lebewesen. Entwickeln eines Grundverständnisses für den eigenen Körper und die Rolle des Menschen in der Natur Die Schüler beschreiben an bekannten Sachverhalten Auswirkungen von Verhaltensweisen des Menschen auf Pflanzen und Wirbellose. Sie wissen um die Verantwortung des Menschen für den Erhalt der Natur. Die Schüler kennen Möglichkeiten, um sich vor Krankheitserregern zu schützen. Entwickeln eines</t>
  </si>
  <si>
    <t>: Beobachten und Untersuchen wirbelloser Tiere Anwenden der Arbeitstechniken Beobachten und Untersuchen auf eine weitere Gruppe der wirbellosen Tiere Naturobjekte, Filme, Bilder, Modelle Formenvielfalt und Schönheit Weichtiere, Spinnentiere, Krebstiere typische Verhaltensweisen Ziele Entwickeln naturwissenschaftlicher Denk- und Arbeitsweisen zum Erschließen biologischer Phänomene Die Schüler übertragen ihre Kenntnisse zu den Erschließungsfeldern auf den Menschen. Beim Übertragen von Erschließungsfeldern auf weitere Lerninhalte festigen und</t>
  </si>
  <si>
    <t>Rolle des Menschen in der Natur Die Schüler beschreiben den Bau und die Funktionen von Organen und Organsystemen des eigenen Körpers. Unter dem Gesichtspunkt der eigenen Gesundheit bewerten sie verschiedene Verhaltensweisen und Umweltbedingungen. Sie lernen das Verhalten als Ergebnis von Erlerntem und Angeborenem kennen. Entwickeln eines verständigen Umgangs mit der Fachsprache Die Schüler veranschaulichen Daten und Informationen mit sprachlichen und bildlichen</t>
  </si>
  <si>
    <t>, LB Bau und Funktion der Geschlechtsorgane Bedeutung von Sexualität und Fortpflanzung Vergleich Mensch - Tier Problematik des sexuellen Missbrauchs, Prävention Sexuelle Vielfalt Menstruationszyklus Kl. , LB Schwangerschaft und Geburt Verhaltensweisen während der Schwangerschaft Gesunderhaltung und Hygiene der Geschlechtsorgane Kennen von Möglichkeiten der Empfängnisverhütung Gesundheitsamt, Beratungsstellen Kennen von sexuell übertragbare Krankheiten Hepatitis, AIDS Bundeszentrale für gesundheitliche Aufklärung, Aidshilfe Differenzierung: Syphilis, Tripper</t>
  </si>
  <si>
    <t>gesundheitliche Aufklärung, Aidshilfe Differenzierung: Syphilis, Tripper GE, Kl. , LB Bildung für nachhaltige Entwicklung Kennen der Phasen der Individualentwicklung Verhalten als Ergebnis von Angeborenem und Erworbenem Nachahmung tierische und menschliche Verhaltensweisen Zusammenhang Verhalten - Umweltbedingungen Lernverhalten lebenslanges Lernen Kennen von Nährstoffgruppen, weitere Bestandteile der Nahrung und deren Bedeutung Zusammenarbeit mit anderen naturwissenschaftlichen Fächern beim Protokollieren PH, Kl. , LB Methodenkompetenz: bewusste</t>
  </si>
  <si>
    <t>der Lebewesen Die Schüler lernen, dass biologische Systeme dynamisch sind. Sie erkennen, dass der Mensch sich als biologisches und gesellschaftliches Wesen entwickelt. Die Schüler stellen an Beispielen die Bedeutung von Verhaltensweisen dar und beschreiben deren Auswirkungen auf den menschlichen Körper. Entwickeln eines Grundverständnisses für den eigenen Körper und die Rolle des Menschen in der Natur Die Schüler erkennen, dass sie ihr</t>
  </si>
  <si>
    <t>den eigenen Körper und die Rolle des Menschen in der Natur Die Schüler erkennen, dass sie ihr Verhalten steuern können und die Verantwortung für ihr Verhalten tragen. Sie beurteilen verschiedene Verhaltensweisen hinsichtlich ihrer Auswirkungen auf sich selbst und ihr Umfeld. Ihnen ist bekannt, dass Drogenmissbrauch zu Suchtverhalten und zu einer Zerstörung des Körpers und der Persönlichkeit führen kann. Entwickeln eines verständigen</t>
  </si>
  <si>
    <t>Knochen ausglühen/Säureeinwirkung Gelenke Arten, allgemeiner Bau, Funktionsmodell Muskulatur Mikroskopieren von Muskelzellen SPO, Kl. - , LB Fitness Kennen der Zellatmung als energieliefernden Vorgang Wortgleichung, Bedingungen, Zellbestandteil Beurteilen der Auswirkungen verschiedener Verhaltensweisen auf das Stütz- und Bewegungssystem Gesundheitsbewusstsein, Einschätzung der eigenen Lebensweise Notwendigkeit körperlicher Betätigung Körperhaltung, Übergewicht, Koordinationsfähigkeit, inneres Wohlbefinden Risiken bei Über- und Fehlbelastung Leistungssport, einseitige Belastungen, Computerarbeitsplätze Maßnahmen zur Ersten</t>
  </si>
  <si>
    <t>Bau und Funktion von Nervenzellen Hormonsystem Überblick Hormondrüsen Regulationswirkung eines Hormons Wirkungsweise von Geschlechtshormonen, Wachstumshormonen, Blutzuckerhormonen Kennen des Zusammenwirkens von Sinnesorganen und Nervensystem Reflexbogen Differenzierung: Regelkreis DE: Reflexe Beurteilen von Verhaltensweisen zum Schutz und zur Erhaltung der Gesundheit Gruppenarbeit/Partnerarbeit Kommunikationsfähigkeit: Vertreten eigener Standpunkte Bildung für nachhaltige Entwicklung Sinnesorgane PH, Kl. , LB Nervensystem - Drogenmissbrauch, Suchtverhalten Jugendschutzgesetz Gesundheitsamt, Drogenberatungsstelle Hormonsystem -</t>
  </si>
  <si>
    <t>Kl. , LB GEO, Kl. , LB VK Gesundheit und Soziales, LB Recherche und Präsentation mit digitalen und traditionellen Medien Nutzung von EF Nutzung von Lernsoftware und Datenbanken Beurteilen menschlicher Verhaltensweisen hinsichtlich der Ausbreitung von Krankheiten Massentourismus, hygienische Bedingungen, Seuchen, Bedeutung WHO Bildung für nachhaltige Entwicklung Einblick in Berufsbilder mit dem Grundlagenschwerpunkt Biologie gewinnen Beherrschen biologischer Arbeitstechniken Anfertigen von mikroskopischen Frischpräparaten</t>
  </si>
  <si>
    <t>Verantwortlichkeit ihr gegenüber zu entwickeln und zu zeigen, bedeutet aktiv für sie eintreten zu müssen. Indem wir darauf achten im Umgang mit der Natur Ressourcen zu schonen und aus unserem Verhalten auftretende Schäden zu minimieren treten wir für das Wohlergehen des Menschen und den Erhalt der Natur um ihrer selbst willen ein. Die Einnahmen unterschiedlicher Perspektiven, das Kennenlernen fremder, andersartiger Meinungsbildungen</t>
  </si>
  <si>
    <t>fachsprachlichen Texten und von Bildern in strukturierter sprachlicher Darstellung. Biologische Sachverhalte werden in verschiedenen Kontexten erkannt und bewertet. Schwerpunkte sind dabei nicht nur die eigene Gesundheit, sondern auch das verantwortungsbewusste Verhalten im sozialen Kontext und gegenüber der Umwelt. Die Lernenden wis unterscheiden zwischen naturwissenschaftlich belegbaren Fakten und Prozessen einerseits und Interessen geleiteten Aussagen andererseits, beurteilen die Bedeutung von naturwissenschaftlichen Kenntnissen für</t>
  </si>
  <si>
    <t>Hypothesen und Untersuchungen zu sinnesphysiologischen Phänomenen Kommunikation Interpretation von Beobachtungen, Abbildungen und Daten sinnesphysiologischer Versuche Diskussion von tierischen und menschlichen Verhaltensweisen Bewertung Bewertung von äußeren und inneren Faktoren auf das Verhalten, die Gesundheit und die Leistungsfähigkeit fe / zusätzlich dazu nach Abschluss der Jahrgangsstufe / ezüge zu Kompetenzbereichen Inhaltliche Schwerpunkte Bezüge zu Kompetenzbereichen Funktionsteilung im Organismus kenntnisgewinnung nung, Durchführung und Auswerg</t>
  </si>
  <si>
    <t>Einrichtungen mmunikation chreibung persönlicher Standpunkn angemessener Weise Erweiterung fachlicher Grundlagen: - Hormone - biologische Grundlagen der Empfängnis und Empfängnisverhütung - Reproduktionsmedizin - Schwangerschaftsabbruch Heterosexuelle und homosexuelle Partnerschaften Einflüsse auf sexuelles Verhalten, Rollenverhalten Verantwortung für das eigene Sexualverhalten Seelisch-körperliche Selbstbestimmung Kommunikation Erläuterung biologischer Grundlagen zur Empfängnis und Empfängnisverhütung Darlegung eigener Intentionen und Haltungen bezüglich partnerschaftlichen Verhaltens Bewertung Beurteilung von Maßnahmen zur Erhaltung</t>
  </si>
  <si>
    <t>in ethischer Verantwortung die Veränderungen während der Pubertät. Kenntnisse zur Bedeutung von Eizelle und uchtungsvorgang, zur Entwicklung des Embryos/Fetus und des Kindes sowie zu Methoverhütung bilden die fachlichen Grundlagen selbstbestimmten Verhaltens. Diese werden ekte der Reproduktionsmedizin und des Schwangerschaftsabbruchs erweitert. Neben rpunkten stehen auch Partnerschaft und Familie im Zentrum. Kommunikation Angemessene Formulierung eigener Standpunkte auf Basis biologischer Grundlagen Bewertung Beurteilung von</t>
  </si>
  <si>
    <t>und homosexuelle Partnerschaften Einflüsse auf sexuelles Verhalten, Rollenverhalten Verantwortung für das eigene Sexualverhalten Seelisch-körperliche Selbstbestimmung Kommunikation Erläuterung biologischer Grundlagen zur Empfängnis und Empfängnisverhütung Darlegung eigener Intentionen und Haltungen bezüglich partnerschaftlichen Verhaltens Bewertung Beurteilung von Maßnahmen zur Erhaltung der physischen und psychischen Gesundheit und der Gesundheit anderer Abwägung und Bewertung von Handlungsoptionen und -folgen in Bezug auf ein individuelles, selbstbestimmtes, partnerschaftliches und</t>
  </si>
  <si>
    <t>und Interessen geleiteten Aussagen andererseits, beurteilen die Bedeutung von naturwissenschaftlichen Kenntnissen für Anwendungsbereiche und Berufsfelder, zeigen an lebensweltbezogenen Fragestellungen die Chancen und Grenzen naturwissenschaftlicher Sichtweisen auf, beurteilen verschiedene Maßnahmen und Verhaltensweisen zur Erhaltung der eigenen Gesundheit und der anderer Lebewesen, gen bewerten Risiken und Konsequenzen der eigenen Lebensweise und der anderer Menschen in sozialer Verantwortung, bewerten Risiken und Sicherheitsmaßnahmen bei Experimenten,</t>
  </si>
  <si>
    <t>Sinnesorganen Auge oder Ohr werfen Fragen zum Gesundheitsschutz auf. swege werden auch durch die Wirkung der Hormone als Botenstoffe deutlich. Beispiele Erkenntnisgewinnung Arbeiten mit physiologischen Modellen Beobachten, Beschreiben und ezifischen Verhaltensweisen aus der Tierwelt illustrieren die Kommunikation zwischen emente der menschlichen Kommunikation zeigen sich im Zusammenhang mit sozialen nd dem Sexualverhalten. Vergleichen von Phänomenen und Vorgängen Unterscheidung von Ursache und Wirkung</t>
  </si>
  <si>
    <t>geeigneter Form gen ökologischer Beziehungen zeigen Vernetzungen verschiedener Ökosysteme. In diewerden die Gründe für deren Gefährdung durch Eingriffe des Menschen ersichtlich. Veranschaulichung von Daten mit angemessenen Gestaltungsmitteln Bewertung Beurteilung von Verhaltensweisen hinsichtlich der Nachhaltigkeit Nutzung fachlicher Konzepte Vernetzung zu auf- und abbauenden Stoffwechselprozessen e, Fotosynthese und Atmung verdeutlichen Prozesse der Stoff- und Energieumwandlung esse unterliegen Regelmechanismen. Neben der Körpertemperatur und der</t>
  </si>
  <si>
    <t>die beteiligten Strukzwischen Organismen wird mit einfachen Beispielen zu intra- und interspezifischen s der Tierwelt beschrieben. Erkenntnisgewinnung Beobachtung, Beschreibung und Vergleich von Reiz-ReaktionsMechanismen Unterscheidung zwischen Ursache und Wirkung Analyse von Verhaltensweisen und ihrer Wirkung Kommunikation Erläutern Originale oder naturgetreue Abbildungen Organismus zeigt sich an den Organsystemen, Organen und ihren spezifischen Funktion ermöglichen spezielle physiologische Prozesse, die erst in ihrem Zusammenwirken die</t>
  </si>
  <si>
    <t>der Jahrgangsstufe / ezüge zu Kompetenzbereichen Inhaltliche Schwerpunkte Bezüge zu Kompetenzbereichen Informationsfluss im Organismus und zwischen Organismen kenntnisgewinnung bachtung, Beschreibung und Verch von Reiz-Reaktionschanismen bei Tier und Mensch alyse von Verhaltensweisen bei us- oder Nutztieren mmunikation essatengerechte und sachgerechte chreibung und Erläuterung von haltensweisen Verhaltensweisen von Tieren: intra- und interspezifisch des Menschen: soziale Verhaltensweisen, Sexualverhalten Leistungsstärke, Belastbarkeit und Gesundheitsschutz von Sinnesorganen</t>
  </si>
  <si>
    <t>und zwischen Organismen kenntnisgewinnung bachtung, Beschreibung und Verch von Reiz-Reaktionschanismen bei Tier und Mensch alyse von Verhaltensweisen bei us- oder Nutztieren mmunikation essatengerechte und sachgerechte chreibung und Erläuterung von haltensweisen Verhaltensweisen von Tieren: intra- und interspezifisch des Menschen: soziale Verhaltensweisen, Sexualverhalten Leistungsstärke, Belastbarkeit und Gesundheitsschutz von Sinnesorganen anhand von Auge oder Ohr Auslösung der Erregung und Erregungsweiterleitung zum Gehirn gebunden an</t>
  </si>
  <si>
    <t>Reiz-Reaktionschanismen bei Tier und Mensch alyse von Verhaltensweisen bei us- oder Nutztieren mmunikation essatengerechte und sachgerechte chreibung und Erläuterung von haltensweisen Verhaltensweisen von Tieren: intra- und interspezifisch des Menschen: soziale Verhaltensweisen, Sexualverhalten Leistungsstärke, Belastbarkeit und Gesundheitsschutz von Sinnesorganen anhand von Auge oder Ohr Auslösung der Erregung und Erregungsweiterleitung zum Gehirn gebunden an Zellstrukturen in einfacher Form Hormone als Botenstoffe im Organismus</t>
  </si>
  <si>
    <t>in einfacher Form Hormone als Botenstoffe im Organismus Erkenntnisgewinnung Arbeit mit Modellen zur Funktionsweise der Sinnesorgane Beobachtung, Beschreibung und Vergleich von Phänomenen und Vorgängen bei der Informationsverarbeitung und bei ausgewählten Verhaltensweisen Ursache und Wirkung von Funktionseinschränkungen der Sinnesorgane Entwicklung von Fragestellungen, Hypothesen und Untersuchungen zu sinnesphysiologischen Phänomenen Kommunikation Interpretation von Beobachtungen, Abbildungen und Daten sinnesphysiologischer Versuche Diskussion von tierischen und menschlichen</t>
  </si>
  <si>
    <t>Ursache und Wirkung von Funktionseinschränkungen der Sinnesorgane Entwicklung von Fragestellungen, Hypothesen und Untersuchungen zu sinnesphysiologischen Phänomenen Kommunikation Interpretation von Beobachtungen, Abbildungen und Daten sinnesphysiologischer Versuche Diskussion von tierischen und menschlichen Verhaltensweisen Bewertung Bewertung von äußeren und inneren Faktoren auf das Verhalten, die Gesundheit und die Leistungsfähigkeit fe / zusätzlich dazu nach Abschluss der Jahrgangsstufe / ezüge zu Kompetenzbereichen Inhaltliche Schwerpunkte Bezüge</t>
  </si>
  <si>
    <t>rteilung lokaler Auswirkungen von griffen des Menschen in den Lesraum von Organismen Erweiterung der Artenkenntnis Vernetzung verschiedener Ökosysteme Begründungszusammenhänge der Gefährdung von Ökosystemen durch Eingriffe des Menschen Bewertung Beurteilung von Verhaltensweisen hinsichtlich der Nachhaltigkeit Nutzung fachlicher Konzepte Vernetzung zu auf- und abbauenden Stoffwechselprozessen wie Fotosynthese und Atmung Stoffwechsel und Regelmechanismen kenntnisgewinnung chführung von physiologischen ersuchungen zu einem Stoffwechrozess mmunikation wicklung von</t>
  </si>
  <si>
    <t>und Interessen geleiteten Aussagen andererseits, beurteilen die Bedeutung von naturwissenschaftlichen Kenntnissen für Anwendungsbereiche und Berufsfelder, zeigen an lebensweltbezogenen Fragestellungen die Chancen und Grenzen naturwissenschaftlicher Sichtweisen auf, beurteilen verschiedene Maßnahmen und Verhaltensweisen zur Erhaltung der eigenen Gesundheit und der anderer Lebewesen, Abwägen und bewerten von Handlungsfolgen auf Natur und Gesellschaft bewerten Risiken und Konsequenzen der eigenen Lebensweise und der anderer Menschen in</t>
  </si>
  <si>
    <t>von Alltagskontexten mit naturwissenschaftlichen Kenntnissen ftlich belegbaren Fakten und Prozessen einerseits und Interessen geleiteten Aussagen andererseits, nschaftlichen Kenntnissen für Anwendungsbereiche und Berufsfelder, lungen die Chancen und Grenzen naturwissenschaftlicher Sichtweisen auf, Verhaltensweisen zur Erhaltung der eigenen Gesundheit und der anderer Lebewesen, Abwägen von und bewerten Handlungsfolgen auf Natur und Gesellschaft eigenen Lebensweise und der anderer Menschen in sozialer Verantwortung, hmen bei Experimenten,</t>
  </si>
  <si>
    <t>sexuellen Identitäten. RELIGION, WERTE UND NORMEN ben Grundaspekte der sexutpflanzung, Schwangerschaft fängnisverhütung beim Meneiden zwischen geschlechtliungeschlechtlicher FortpflanBlütenpflanzen. beschreiben Methoden der Empfängnisverhütung und der Verhütung von sexuell übertragbaren Erkrankungen. erörtern verantwortliches Verhalten in der Sexualpartnerschaft. RELIGION, WERTE UND NORMEN erklären menschliche Fortpflanzung unter hormonellen Aspekten. erörtern rechtliche und ethische Aspekte des Schwangerschaftsabbruchs. RELIGION, WERTE UND NORMEN erklären die Meiose und ihre Bedeutung</t>
  </si>
  <si>
    <t>Entscheidungen; B. reflektieren Folgen von Entscheidungen für die Natur, das Individuum und die Gesellschaft; B. reflektieren den Prozess der Bewertung in Bezug auf das Ergebnis und das Verfahren; B. bewerten Verhaltensweisen zur Erhaltung der eigenen Gesundheit und Maßnahmen nachhaltiger Entwicklung aus verschiedenen - auch fachübergreifenden - Perspektiven. Anforderungen Inhaltsbezogene Anforderungen Mindestanforderungen für den ersten allgemeinbildenden Schulabschluss ESA Mindestanforderungen für den mittleren</t>
  </si>
  <si>
    <t>den ersten allgemeinbildenden Schulabschluss ESA Mindestanforderungen für den mittleren Schulabschluss MSA Mindestanforderungen für den Übergang in die Studienstufe am Ende der Jahrgangsstufe gewichten Handlungsoptionen für Entscheidungen zu bewertungsrelevanten Sachverhalten, bewerten Verhaltensweisen zur Erhaltung der eigenen Gesundheit und Maßnahmen nachhaltiger Entwicklung. benennen Bewertungskriterien ausgehend von Sachinformationen, Werten und Normen, treffen Entscheidungen auf der Grundlage von Handlungsoptionen und Bewertungskriterien, nennen Folgen von Entscheidungen</t>
  </si>
  <si>
    <t>benennen Bewertungskriterien ausgehend von Sachinformationen, Werten und Normen, treffen Entscheidungen auf der Grundlage von Handlungsoptionen und Bewertungskriterien, nennen Folgen von Entscheidungen für die Natur, das Individuum und die Gesellschaft, bewerten Verhaltensweisen zur Erhaltung der eigenen Gesundheit und Maßnahmen nachhaltiger Entwicklung aus verschiedenen Perspektiven. benennen Bewertungskriterien ausgehend von Sachinformationen, Werten und Normen, entwickeln Handlungsoptionen für Entscheidungen zu bewertungsrelevanten Sachverhalten, treffen Entscheidungen auf</t>
  </si>
  <si>
    <t>Normen, entwickeln Handlungsoptionen für Entscheidungen zu bewertungsrelevanten Sachverhalten, treffen Entscheidungen auf der Grundlage von Handlungsoptionen und Bewertungskriterien, nennen Folgen von Entscheidungen für die Natur, das Individuum und die Geselklschaft, bewerten Verhaltensweisen zur Erhaltung der eigenen Gesundheit und Maßnahmen nachhaltiger Entwicklung aus verschiedenen - auch fachübergreifenden - Perspektiven. Inhalte Die folgende Tabelle gibt einen Überblick über die Themenfelder und die dazugehörigen Themen</t>
  </si>
  <si>
    <t>in variablen Situationen erfolgreich und verantwortungsvoll genutzt werden können. Sie sind Grundlage für die Befähigung, sich in beruflichen, gesellschaftlichen und privaten Situationen sachgerecht durchdacht sowie individuell und sozial verantwortlich zu verhalten. Sach-, Methoden-, Selbstund Sozialkompetenz bedingen einander, durchdringen bzw. ergänzen sich gegenseitig und stehen in keinem hierarchischen Verhältnis zueinander. Sachkompetenz umfasst die Fähigkeit, Aufgaben bzw. Probleme mithilfe fachlicher Kenntnisse und Fertigkeiten</t>
  </si>
  <si>
    <t>allem hinsichtlich ihrer Zuverlässigkeit sachkritisch zu prüfen Sachverhalte zu bewerten sich einen eigenen Standpunkt zu bilden und diesen begründet zu vertreten verantwortungsvoll zu entscheiden bzw. zu handeln sowie Entscheidungen und Verhalten kritisch zu reflektieren Zusammenhang zwischen der modernen Lebensweise des Menschen und dem anthropogen bedingten Klimawandel, ökologische Nachhaltigkeit, Beeinflussung der Stabilität von Ökosystemen durch Veränderung der Struktur- und Artenvielfalt, Gentechnik und</t>
  </si>
  <si>
    <t>einschätzen bzw. daraus entsprechende Handlungsoptionen ableiten Entwicklung von Selbstvertrauen die Arbeit des Einzelnen in der Gruppe reflektieren und die Arbeitsergebnisse der gemeinsamen Arbeit einschätzen Verhaltensregeln festlegen bzw. einhalten und das Verhalten reflektieren die Realisierbarkeit von Arbeitsaufgaben einschätzen Verantwortung für das eigene Lernen und für den Lernprozess der Gruppe übernehmen sowie positiven Einfluss auf die Gruppe nehmen ihre Fachkompetenz anwenden sowie eigenverantwortlich</t>
  </si>
  <si>
    <t>allem hinsichtlich ihrer Zuverlässigkeit sachkritisch zu prüfen Sachverhalte zu bewerten sich einen eigenen Standpunkt zu bilden und diesen begründet zu vertreten verantwortungsvoll zu entscheiden bzw. zu handeln sowie Entscheidungen und Verhalten kritisch zu reflektieren Ökosystemmanagement, Maßnahmen zum Erhalt der Biodiversität, anthropogene Beeinflussung von Ökosystemen, Pro- und Contra-Aussagen zu Anwendungen der Gentechnik, Organ- und Gewebetransplantation, Drogen als Nervengifte mit Suchtpotenzial, Einsatz von</t>
  </si>
  <si>
    <t>Lymphe beschreiben - die Regulierung des Blutzuckerspiegels erläutern Regelkreis, Zusammenspiel von Insulin und Glukagon - Maßnahmen zur Gesunderhaltung erläutern: bedarfsangepasste z. B. bzgl. Alter, Aktivität Ernährung ballaststoffreiche Ernährung Prävention essgestörten Verhaltens an einem Beispiel Bewertung der Kennzeichnung von Lebensmitteln z. B. Lebensmittelampel Atmungssystem Die Lernenden können - Bau und Funktion der Atmungsorgane beschreiben: Bestandteile des Atmungssystems Atembewegungen Gasaustausch in der Lunge</t>
  </si>
  <si>
    <t>und Schüler sowie Lehrkräfte entlasten. Dazu werden neben dem Unterricht in Regelklassen eigene Lerngruppen für Schülerinnen und Schüler mit starken Auffälligkeiten in den Bereichen Sprache oder Lernen oder Auffälligkeiten im Verhalten gebildet. In inklusiven Lerngruppen erhalten Schülerinnen und Schüler eine kooperative Förderung. Dabei sind sie Schülerinnen und Schüler einer regulären Grundschulklasse oder einer regulären Klasse der weiterführenden allgemeinbildenden Schule Bezugsklasse. In</t>
  </si>
  <si>
    <t>Schülerinnen und Schüler erfassen biologische Fragestellungen in verschiedenen Kontexten. Sie erkennen Probleme und Interessenkonflikte, entwickeln Lösungsansätze, diskutieren Konsequenzen und beurteilen diese. Sie begründen Verhaltensweisen einer gesunden Lebensführung, hinterfragen ihr persönliches Verhalten und leiten Schlussfolgerungen für die eigene Lebensweise und zur sozialen und ökologischen Verantwortung ab. Die Schülerinnen und Schüler beurteilen die Auswirkungen menschlicher Eingriffe in Ökosysteme und bewerten Lebensräume unter den</t>
  </si>
  <si>
    <t>die Verknüpfung von Inhalten und prozessbezogenen Kompetenzen: S: Vielfalt der Pilze beschreiben E: am Beispiel der Pilze die Biodiversität erkennen K: die Bedeutung der Pilze als Krankheitserreger diskutieren B: eigenes Verhalten unter gesundheitsrelevanten und sozialen Aspekten reflektieren Ernährung des Menschen PG BO ca. Unterrichtsstunden Verbindliche Inhalte Hinweise und Anregungen Du bist, was du isst Zweck der Ernährung Zusammensetzung der Nahrung im</t>
  </si>
  <si>
    <t>- biologische Sachverhalte prüfen und beurteilen Die Schülerinnen und Schüler erfassen biologische Fragestellungen in verschiedenen Kontexten. Sie erkennen Probleme und Interessenkonflikte, entwickeln Lösungsansätze, diskutieren Konsequenzen und beurteilen diese. Sie begründen Verhaltensweisen einer gesunden Lebensführung, hinterfragen ihr persönliches Verhalten und leiten Schlussfolgerungen für die eigene Lebensweise und zur sozialen und ökologischen Verantwortung ab. Die Schülerinnen und Schüler beurteilen die Auswirkungen menschlicher Eingriffe</t>
  </si>
  <si>
    <t>begründen sie ihren eigenen Standpunkt. Sie beurteilen Informationen aus verschiedenen Quellen hinsichtlich ihrer Glaubwürdigkeit und Objektivität. Die Schülerinnen und Schüler unterscheiden zwischen naturwissenschaftlichen und ethischen Aussagen, beurteilen verschiedene Maßnahmen und Verhaltensweisen zur Erhaltung der eignen Gesundheit und zur sozialen Verantwortung, erörtern Handlungsoptionen einer umwelt- und naturverträglichen Teilhabe im Sinne der Nachhaltigkeit, beschreiben und beurteilen die Haltung von Heim- und Nutztieren, beschreiben</t>
  </si>
  <si>
    <t>Meinungsbildung bei. Zahlreiche Themen geben Anlass, Sachverhalte unter biologischen und außerfachlichen Gesichtspunkten zu bewerten. Die Lernenden bewerten die gesellschaftlichen Auswirkungen menschlichen Handelns und werden dadurch in die Lage versetzt, ihr Verhalten an der Verantwortung gegenüber sich selbst und der Mitwelt auszurichten. Die Entwicklung von biologischen Erkenntnissen sowie neuen Technologien und Produktionsverfahren, deren Anwendungen immer auch Auswirkungen auf die komplexen Systeme der</t>
  </si>
  <si>
    <t>Merkmale N Belege für die Evolution: molekularbiologische -Homologien N Grundlegende Prinzipien der Evolution: Rekombination, Mutation, Selektion, Verwandtschaft, Variation, Fitness, Isolation, Drift, Artbildung, Biodiversität, Koevolution, populationsgenetischer Artbegriff N adaptiver Wert von Verhalten: reproduktive Fitness, Kosten-Nutzen-Analyse N Synthetische Evolutionstheorie, Abgrenzung von nicht-naturwissenschaftlichen Vorstellungen N Evolution des Menschen: Ursprung, Fossilgeschichte, Stammbäume und Verbreitung des heutigen Menschen N Kulturelle Evolution: Werkzeuggebrauch, Sprachentwicklung N Sozialverhalten bei</t>
  </si>
  <si>
    <t>Besonderheiten im Grundbauplan, bei der Fortpflanzung und im Stoffwechsel beschreiben. erklären die Bedeutung von Mikroorganismen beim Lebensmittelverderb anhand des Stoffwechsels, der Fortpflanzung und der Ausbreitung von Mikroorganismen und leiten daraus Verhaltensweisen zur Lebensmittelhygiene ab. erklären die Wirkungsweise verschiedener Konservierungsmethoden und vergleichen die Auswirkung dieser Methoden auf die Lebensmittelqualität. Inhalte zu den Kompetenzen: Bakterien Bau einer prokaryotischen Zelle: Zellwand, Membran, Speicherung der</t>
  </si>
  <si>
    <t>abhängige Variable, Bezeichnung von Messgröße, Größensymbol und Einheit Quellen: v. a. Schulbuch, populärwissenschaftliche Literatur und altersgemäße digitale Medien Gesundheitsbewusstsein und Verantwortung: z. B. Gesundheitsvorsorge, Stressbewältigung, Suchtgefahren, verantwortungsvoller Umgang mit Sexualität, Verhalten während der Schwangerschaft; Nachhaltigkeit soziale, ökologische und ökonomische Gesichtspunkte, Schutz der biologischen Vielfalt B Lernbereich : Informationsaufnahme, verarbeitung und Reaktion beim Menschen ca. Std. Kompetenzerwartungen Die Schülerinnen und Schüler ...</t>
  </si>
  <si>
    <t>Austausch von Stoffen durch die Plazenta Empfängnisregulation: verschiedene Methoden mit gesundheitlichen und ethischen Aspekten ungewollte Schwangerschaft, Schwangerschaftsabbruch, unerfüllter Kinderwunsch Schutz vor sexuell übertragbaren Erkrankungen u. a. HIV-Infektion B Lernbereich : Verhalten - genetisch bedingt und erlernt ca. Std. Kompetenzerwartungen Die Schülerinnen und Schüler ... beobachten und vergleichen einfache Verhaltensweisen auch mithilfe von Attrappenversuchen, um sie als Ergebnis des Zusammenwirkens von inneren</t>
  </si>
  <si>
    <t>von der anderer Lebewesen ab. Inhalte zu den Kompetenzen: Zusammenwirken von reaktionsauslösenden Reizen und inneren Faktoren z. B. beim Beutefangverhalten, Balzverhalten, bei der Brutpflege; Attrappenversuche Hinweise für überwiegend genetisch bedingtes Verhalten, KasparHauser-Experimente, Prägung klassische Konditionierung, operante Konditionierung; ggf. Lernfähigkeit des Menschen, höhere Lernleistungen B Lernbereich : Suchtgefahren und Gesundheit ca. Std. Kompetenzerwartungen Die Schülerinnen und Schüler ... erläutern die Grenze zwischen</t>
  </si>
  <si>
    <t>Entwicklung ab und erörtern Handlungsoptionen, indem sie vorgegebene Pro- und Kontra-Argumente z. B. zum Einkaufsverhalten oder zur Transportmittelnutzung auswerten, um bewusste, wertorientierte Entscheidungen treffen zu können. wägen Folgen von eigenen Verhaltensweisen sowie Verhaltensweisen anderer für die eigene Gesundheit und die Gesundheit anderer ab, um bewusste, wertorientierte Entscheidungen für die Gesunderhaltung z. B. des Gehörs treffen zu können. Inhalte zu den Kompetenzen:</t>
  </si>
  <si>
    <t>und erörtern Handlungsoptionen, indem sie vorgegebene Pro- und Kontra-Argumente z. B. zum Einkaufsverhalten oder zur Transportmittelnutzung auswerten, um bewusste, wertorientierte Entscheidungen treffen zu können. wägen Folgen von eigenen Verhaltensweisen sowie Verhaltensweisen anderer für die eigene Gesundheit und die Gesundheit anderer ab, um bewusste, wertorientierte Entscheidungen für die Gesunderhaltung z. B. des Gehörs treffen zu können. Inhalte zu den Kompetenzen: naturwissenschaftlicher Erkenntnisweg</t>
  </si>
  <si>
    <t>Kontexten sowie in Partnerschaften in geeigneter Sprache und respektvoll über Sexualität und begegnen medial vermittelter sexueller Belästigung und Gewalt sowie der unterschwelligen Bedrohung durch sexualisierten, abwertenden Sprachgebrauch angemessen. bewerten unterschiedliche Verhaltensweisen im Hinblick auf die sexuelle Selbstbestimmung, die Achtung von persönlicher Würde und freier Selbstentfaltung und stellen Rollen- und Körperbilder und die Sexualisierung von Alltagsthemen in den Medien infrage. charakterisieren psychische</t>
  </si>
  <si>
    <t>zu können. Dabei erkennen sie den Einfluss der Medien auf eigene Vorstellungen von Sexualität und Schönheit. beschreiben den Menstruationszyklus und erklären dessen Steuerung durch das Zusammenspiel verschiedener Hormone. bewerten verschiedene Verhaltensweisen im Vorfeld und während der Schwangerschaft im Hinblick auf mögliche gesundheitliche Folgen für das Kind. erklären die Wirkungsweise verschiedener Methoden der Empfängnisregulation, um deren Vor- und Nachteile abzuwägen und so</t>
  </si>
  <si>
    <t>Kinderwunsch Schutz vor sexuell übertragbaren Erkrankungen u. a. HIV-Infektion B Lernbereich : Verhalten - genetisch bedingt und erlernt ca. Std. Kompetenzerwartungen Die Schülerinnen und Schüler ... beobachten und vergleichen einfache Verhaltensweisen auch mithilfe von Attrappenversuchen, um sie als Ergebnis des Zusammenwirkens von inneren Faktoren und reaktionsauslösenden Reizen zu beschreiben. beurteilen auf der Grundlage von Daten aus Verhaltensbeobachtungen, ob eine Verhaltensweise v.</t>
  </si>
  <si>
    <t>zu beschreiben. beurteilen auf der Grundlage von Daten aus Verhaltensbeobachtungen, ob eine Verhaltensweise v. a. auf genetisch bedingten oder erworbenen Anteilen beruht. planen Experimente zur Konditionierung, um die Beeinflussbarkeit von Verhaltensweisen durch Umwelteinflüsse zu ermitteln, und grenzen ggf. die Lernfähigkeit des Menschen von der anderer Lebewesen ab. Inhalte zu den Kompetenzen: Zusammenwirken von reaktionsauslösenden Reizen und inneren Faktoren z. B. beim</t>
  </si>
  <si>
    <t>sind dadurch für die Gefahren einer Sucht sensibilisiert. erklären die Bedeutung von Lebenskompetenzen für eine starke Persönlichkeit, die die Anforderungen des Alltags bewältigen kann und ihre Zufriedenheit nicht von bestimmten Verhaltensweisen oder Substanzen abhängig macht, um Strategien für die eigene Persönlichkeitsentwicklung ableiten zu können. Inhalte zu den Kompetenzen: Genuss, Gewöhnung, Missbrauch, Abhängigkeit; verschiedene Suchtformen stoffgebundene z. B. Alkoholsucht, nicht stoffgebundene z.</t>
  </si>
  <si>
    <t>einfache Verhaltensweisen auch mithilfe von Attrappenversuchen, um sie als Ergebnis des Zusammenwirkens von inneren Faktoren und reaktionsauslösenden Reizen zu beschreiben. beurteilen auf der Grundlage von Daten aus Verhaltensbeobachtungen, ob eine Verhaltensweise v. a. auf genetisch bedingten oder erworbenen Anteilen beruht. planen Experimente zur Konditionierung, um die Beeinflussbarkeit von Verhaltensweisen durch Umwelteinflüsse zu ermitteln, und grenzen ggf. die Lernfähigkeit des Menschen von</t>
  </si>
  <si>
    <t>Sek 2</t>
  </si>
  <si>
    <t>Evolution homologe Organe analoge Organe Übergangsformen Nachtigall-Sprosser, Fitis-Zilpzalp, Esel-Pferd Chimärenbildung: Löger, Schiege, Maultier z. B. Birkenspanner Industriemelanismus Würdigung der wissenschaftlichen Leistungen MD evolutionäre Bedeutung der biogenetischen Grundregel adaptiver Wert von Verhalten in Bezug auf reproduktive Fitness z. B. Kuckuck, Löwen molekularbiologische Homologien Homologiekriterien Archaeopteryx, Schnabeltier zusätzlich für den Leistungskurs Selektion Formen: transformierend, disruptiv, stabilisierend Isolation Formen: geographische, ökologische, fortpflanzungsbiologische Evolutionstheorien Darwinismus</t>
  </si>
  <si>
    <t>Mensch-Menschenaffe unter morphologischen, anatomischen, ethologischen und molekularbiologischen Gesichtspunkten Soziokulturelle Evolution des Menschen Beginn bei den Hominiden ursprüngliche und abgeleitete Merkmale Die Entwicklung von Tradition ist mit einzubeziehen. adaptiver Wert von Verhalten in Bezug auf Kosten-Nutzen-Analysen Stillen, Aufzucht der Jungen zusätzlich für den Leistungskurs Ursprung des modernen Menschen Aufrechter Gang Out-of-Africa-Theory Hirnvolumina Evolution der Intelligenz Sprachentwicklung und Kommunikation Sozialverhalten bei Primaten in</t>
  </si>
  <si>
    <t>Bakterien und Resistenzen von Pflanzenschädlingen gegen Pestizide Evolution - Leben ist in ständigem Wandel Biologie LK Inhalte / Basisbegriffe Verbindliche Kompetenzerwartungen Vorschläge und Hinweise E Arten verändern sich E Das Verhalten von Tieren ist Ergebnis von Evolution. Die Schülerinnen und Schüler a erworbenes Verhalten, angeborenes Verhalten a beschreiben an Beispielen, dass Verhalten angeboren oder erworben sein kann, a z. B. das</t>
  </si>
  <si>
    <t>Wandel Biologie LK Inhalte / Basisbegriffe Verbindliche Kompetenzerwartungen Vorschläge und Hinweise E Arten verändern sich E Das Verhalten von Tieren ist Ergebnis von Evolution. Die Schülerinnen und Schüler a erworbenes Verhalten, angeborenes Verhalten a beschreiben an Beispielen, dass Verhalten angeboren oder erworben sein kann, a z. B. das Scheinputzen verschiedener Entenarten und der Gesang von schallisoliert aufgezogenen Buchfinken, Ritualisierung, Kaspar-Hauser-Experimente vgl.</t>
  </si>
  <si>
    <t>LK Inhalte / Basisbegriffe Verbindliche Kompetenzerwartungen Vorschläge und Hinweise E Arten verändern sich E Das Verhalten von Tieren ist Ergebnis von Evolution. Die Schülerinnen und Schüler a erworbenes Verhalten, angeborenes Verhalten a beschreiben an Beispielen, dass Verhalten angeboren oder erworben sein kann, a z. B. das Scheinputzen verschiedener Entenarten und der Gesang von schallisoliert aufgezogenen Buchfinken, Ritualisierung, Kaspar-Hauser-Experimente vgl. Erklärung im</t>
  </si>
  <si>
    <t>Vorschläge und Hinweise E Arten verändern sich E Das Verhalten von Tieren ist Ergebnis von Evolution. Die Schülerinnen und Schüler a erworbenes Verhalten, angeborenes Verhalten a beschreiben an Beispielen, dass Verhalten angeboren oder erworben sein kann, a z. B. das Scheinputzen verschiedener Entenarten und der Gesang von schallisoliert aufgezogenen Buchfinken, Ritualisierung, Kaspar-Hauser-Experimente vgl. Erklärung im Vorwort auf S. sowie im Anhang</t>
  </si>
  <si>
    <t>verschiedener Entenarten und der Gesang von schallisoliert aufgezogenen Buchfinken, Ritualisierung, Kaspar-Hauser-Experimente vgl. Erklärung im Vorwort auf S. sowie im Anhang b erklären, dass nach neuen Erkenntnissen der Epigenetik auch erworbenes Verhalten vererbt werden kann, c proximate Ursachen, ultimate Ursachen, kausale Ursachen, funktionale Ursachen c erläutern an Beispielen, dass Verhalten proximate und ultimate Ursachen hat und unterscheiden kausale und funktionale Erklärungen für</t>
  </si>
  <si>
    <t>im Anhang b erklären, dass nach neuen Erkenntnissen der Epigenetik auch erworbenes Verhalten vererbt werden kann, c proximate Ursachen, ultimate Ursachen, kausale Ursachen, funktionale Ursachen c erläutern an Beispielen, dass Verhalten proximate und ultimate Ursachen hat und unterscheiden kausale und funktionale Erklärungen für Verhalten, d adaptiver Wert, reproduktive Fitness d beschreiben an einem Beispiel den adaptiven Wert von Verhalten und die</t>
  </si>
  <si>
    <t>vererbt werden kann, c proximate Ursachen, ultimate Ursachen, kausale Ursachen, funktionale Ursachen c erläutern an Beispielen, dass Verhalten proximate und ultimate Ursachen hat und unterscheiden kausale und funktionale Erklärungen für Verhalten, d adaptiver Wert, reproduktive Fitness d beschreiben an einem Beispiel den adaptiven Wert von Verhalten und die Bedeutung für die reproduktive Fitness, d, e zum Beispiel die Verteidigung der Brutkolonie</t>
  </si>
  <si>
    <t>Beispielen, dass Verhalten proximate und ultimate Ursachen hat und unterscheiden kausale und funktionale Erklärungen für Verhalten, d adaptiver Wert, reproduktive Fitness d beschreiben an einem Beispiel den adaptiven Wert von Verhalten und die Bedeutung für die reproduktive Fitness, d, e zum Beispiel die Verteidigung der Brutkolonie von Lachmöwen gegen Fressfeinde, Lernprozesse beim Fressen der giftigen AgaKröte Die Bildungsstandards geben den Begriff</t>
  </si>
  <si>
    <t>vor. In der Wissenschaft wird dieser jedoch präzise verstanden und erfordert ein aufwendiges Verfahren, das von den Schülerinnen und Schülern so nicht zu leisten ist. e Kosten-Nutzen-Analyse e beurteilen das Verhalten eines Organismus nach einer Kosten-Nutzen-Analyse. Evolution - Leben ist in ständigem Wandel Biologie LK Inhalte / Basisbegriffe Verbindliche Kompetenzerwartungen Vorschläge und Hinweise E Stammesgeschichte und Verwandtschaft E Gleiche Merkmale können</t>
  </si>
  <si>
    <t>Positionen und nehmen zu diesen Stellung. Evolution - Leben ist in ständigem Wandel Biologie LK Inhalte / Basisbegriffe Verbindliche Kompetenzerwartungen Vorschläge und Hinweise E Die Evolution des Menschen E Das Verhalten von Menschenaffen ähnelt dem Verhalten des Menschen. Die Schülerinnen und Schüler a Paarbindungen, Haremsgruppen, gemischte Männchen- und Weibchen-Gruppen, Familienstrukturen, Egoismus, Altruismus, Aggression, Rangordnung a beschreiben unterschiedliche Formen des Zusammenlebens bei</t>
  </si>
  <si>
    <t>Stellung. Evolution - Leben ist in ständigem Wandel Biologie LK Inhalte / Basisbegriffe Verbindliche Kompetenzerwartungen Vorschläge und Hinweise E Die Evolution des Menschen E Das Verhalten von Menschenaffen ähnelt dem Verhalten des Menschen. Die Schülerinnen und Schüler a Paarbindungen, Haremsgruppen, gemischte Männchen- und Weibchen-Gruppen, Familienstrukturen, Egoismus, Altruismus, Aggression, Rangordnung a beschreiben unterschiedliche Formen des Zusammenlebens bei Menschenaffen, b endogene Ursachen, exogene</t>
  </si>
  <si>
    <t>unterschiedliche Formen des Zusammenlebens bei Menschenaffen, b endogene Ursachen, exogene Ursachen b analysieren Verhaltensmuster hinsichtlich endogener und exogener Ursachen, b endogen: z. B. physiologische Ursachen wie Hunger, exogen: z. B. Verhalten von Konkurrenten c Kontaktaufnahme, Paarungsverhalten, Balzverhalten, Elternaufwand für die Nachkommen, reproduktive Fitness c beschreiben das Fortpflanzungsverhalten von Menschenaffen und vergleichen es mit dem Menschen. Evolution - Leben ist in ständigem</t>
  </si>
  <si>
    <t>der Menschenaffen Orang-Utan, Gorilla, Schimpanse. Evolution - Leben ist in ständigem Wandel Biologie LK Inhalte / Basisbegriffe Verbindliche Kompetenzerwartungen Vorschläge und Hinweise E Die Evolution des Menschen E Ähnlichkeiten im Verhalten und Aussehen von Menschenaffen und Menschen lassen auf eine stammesgeschichtliche Nähe schließen. Die Schülerinnen und Schüler a Out-of-Africa-Theorie, Ausbreitungsweg a schließen von der Analyse der Mitochondrien-DNA auf die Wanderungsbewegungen von</t>
  </si>
  <si>
    <t>genetischer Unterschiede Informationsverarbeitung Biologie LK Leitperspektive Das Themenfeld Informationsverarbeitung beinhaltet umfassende Bezüge zu allen Basiskonzepten und ermöglicht eine abschließende Vernetzung der im Laufe der Hauptphase erworbenen Kompetenzen. Nachdem das menschliche Verhalten aus ökologischer und evolutionsbiologischer Perspektive betrachtetet wurde, werden nun die zellulären Prozesse untersucht, welche dieses Verhalten steuern. Da die Weiterleitung von Informationen auf elektrischem bzw. chemischem Weg erfolgt und nicht</t>
  </si>
  <si>
    <t>ab K unterscheiden zwischen Alltags- und Fachsprache grundsätzlicher/übergeordneter Standard K erklären Sachverhalte aus ultimater und proximater Sicht, ohne dabei unangemessene finale Begründungen zu nutzen E c erläutern an Beispielen, dass Verhalten proximate und ultimate Ursachen hat ... K unterscheiden zwischen funktionalen und kausalen Erklärungen E c E a ... und unterscheiden kausale und funktionale Erklärungen für Verhalten stellen Koevolution als wechselseitigen</t>
  </si>
  <si>
    <t>erläutern an Beispielen, dass Verhalten proximate und ultimate Ursachen hat ... K unterscheiden zwischen funktionalen und kausalen Erklärungen E c E a ... und unterscheiden kausale und funktionale Erklärungen für Verhalten stellen Koevolution als wechselseitigen Anpassungsprozess zweier Arten an einem Beispiel dar K nutzen geeignete Darstellungsformen für biologische Sachverhalte und überführen diese ineinander Ö b c untersuchen auf der Grundlage von</t>
  </si>
  <si>
    <t>ökologischer, ökonomischer, politischer und sozialer Perspektive Begriffe, die gemäß der Bildungsstandards einzuführen sind Funktionale vs. kausale Erklärungen Funktionale Erklärungen beziehen sich auf die Funktion, welche eine bestimmte Struktur oder ein Verhalten erklären; häufig sind dies z. B. Struktur-Funktions-Zusammenhänge bei Angepasstheiten. Kausale Erklärungen beziehen sich auf die Ursache, die einem bestimmten Verhalten bzw. einer Lebensäußerung zu Grunde liegt; dies können endogene und</t>
  </si>
  <si>
    <t>wenige Informationen langfristig gespeichert. b limbisches System, Hippocampus, Mandelkern Amygdala, Angst b beurteilen die evolutionsbiologische Bedeutung des limbischen Systems, b Erinnern und somit Vermeiden gefährlicher Erfahrungen und positives Verstärken überlebenswichtiger Verhaltensweisen vgl. Basiskonzept Steuerung und Regelung c Motivationen, Lernstrategien, Memorierungstechniken c ermitteln anhand geeigneter Tests Einflussfaktoren auf das persönliche Lernen unter verschiedenen Versuchsbedingungen und stellen ihre Ergebnisse grafisch dar, c mögliche</t>
  </si>
  <si>
    <t>aus Informationen zu Aufbau und Vermehrung von Viren und Bakterien Hygienemaßnahmen ableiten und einhalten. K, K Bewertung Die Schülerinnen und Schüler können ... auf der Basis biologischer Erkenntnisse ihr persönliches Verhalten gegenüber sich selbst und Mitmenschen in Bezug auf Infektionskrankheiten hinterfragen und Entscheidungen zu ihrem Verhalten begründen. B die erweiterte Auffassung von Gesundheit der Weltgesundheitsorganisation erläutern und zur Erhaltung der eigenen</t>
  </si>
  <si>
    <t>K Bewertung Die Schülerinnen und Schüler können ... auf der Basis biologischer Erkenntnisse ihr persönliches Verhalten gegenüber sich selbst und Mitmenschen in Bezug auf Infektionskrankheiten hinterfragen und Entscheidungen zu ihrem Verhalten begründen. B die erweiterte Auffassung von Gesundheit der Weltgesundheitsorganisation erläutern und zur Erhaltung der eigenen Gesundheit berücksichtigen. B Inhaltsfeld Sexualerziehung gemäß den Richtlinien für die Sexualerziehung in Nordrhein-Westfalen Inhaltliche Schwerpunkte</t>
  </si>
  <si>
    <t>Tiere kriteriengeleitet mittels einfacher Bestimmungsschlüssel bestimmen. UF die Prinzipien der Fortpflanzung bei Pflanzen und Tieren vergleichen und Gemeinsamkeiten erläutern. UF Erkenntnisgewinnung Die Schülerinnen und Schüler können ... aufgrund von Beobachtungen Verhaltensweisen in tierischen Sozialverbänden unter dem Aspekt der Kommunikation beschreiben. E kriteriengeleitet Keimung oder Wachstum von Pflanzen beobachten und dokumentieren und Schlussfolgerungen für optimale Keimungs- oder Wachstumsbedingungen ziehen. E, E, K,</t>
  </si>
  <si>
    <t>Entscheidungen; B. reflektieren Folgen von Entscheidungen für die Natur, das Individuum und die Gesellschaft; B. reflektieren den Prozess der Bewertung in Bezug auf das Ergebnis und das Verfahren; B. bewerten Verhaltensweisen zur Erhaltung der eigenen Gesundheit und Maßnahmen nachhaltiger Entwicklung aus verschiedenen - auch fachübergreifenden - Perspektiven. Anforderungen Inhaltsbezogene Anforderungen Mindestanforderungen für den Übergang in die Studienstufe am Ende der Jahrgangsstufe</t>
  </si>
  <si>
    <t>Werte in normativen Aussagen, die bewertungsrelevante Sachverhalte betreffen, beurteilen Argumente über bewertungsrelevante Sachverhalte, entwickeln Handlungsoptionen für Entscheidungen zu bewertungsrelevanten Sachverhalten, treffen Entscheidungen auf der Grundlage von Handlungsoptionen und Bewertungskriterien, bewerten Verhaltensweisen zur Erhaltung der eigenen Gesundheit und Maßnahmen nachhaltiger Entwicklung aus verschiedenen - auch fachübergreifenden - Perspektiven. Inhalte Die folgende Tabelle gibt einen Überblick über die Themenfelder und die dazugehörigen Themen</t>
  </si>
  <si>
    <t>verschiedenen Zellen eine übergeordnete Funktion ermöglicht wird. Sie verstehen, wie über das Schlüssel-Schloss-Prinzip Kommunikation ermöglicht wird. Sie erkennen die individuelle und gesellschaftliche Bedeutung von Impfungen und die Notwendigkeit, durch geeignetes Verhalten zur Gesunderhaltung des Körpers beizutragen. Die Schülerinnen und Schüler können den Bau und die Vermehrung von Bakterien und Viren beschreiben den Verlauf einer Infektionskrankheit beschreiben Infektionsbarrieren und Mechanismen der angeborenen</t>
  </si>
  <si>
    <t>und Rekombination, Selektion, Isolation, Gendrift den biologischen Artbegriff erklären und Artbildungsprozesse erläutern allopatrische und sympatrische Artbildung Koevolution als wechselseitigen Anpassungsprozess zweier Arten an einem Beispiel darstellen den adaptiven Wert von Verhalten an einem Beispiel begründen Kosten-Nutzen-Analyse zum Beispiel bei Gruppenbildung, Egoismus, Altruismus, Aggression Erkenntnisgewinnung , , Kommunikation , Evolution Genetik Biomoleküle und molekulare Genetik Die Schülerinnen und Schüler können Stammesgeschichte und</t>
  </si>
  <si>
    <t>Beispiel darstellen Erkenntnisgewinnung , , Kommunikation , Evolution Genetik Biomoleküle und molekulare Genetik proximate und ultimate Erklärungen unterscheiden unter anderem an Beispielen des Sozialverhaltens von Primaten den adaptiven Wert von Verhalten an einem Beispiel begründen Kosten-Nutzen-Analyse zum Beispiel bei Gruppenbildung, Egoismus, Altruismus, Aggression Erkenntnisgewinnung , , Kommunikation , Stammesgeschichte und Verwandtschaft Merkmale kriteriengeleitet als homolog oder nicht homolog identifizieren und Konvergenzen</t>
  </si>
  <si>
    <t>nennen die prozentualen Anteile der Luftbestandteile, Verbrennung beschreiben die Verbrennung als eine Stoffumwandlung unter Flammenerscheinung, beschreiben Bedingungen für die Entstehung von Bränden, erläutern Methoden der Brandbekämpfung, beschreiben und erklären ihr Verhalten bei Feueralarm in der Schule, recherchieren und referieren zum Thema Brandschutz, Oxidation und Reduktion beschreiben die Oxidation als chemischen Vorgang, bei dem sich Sauerstoff mit einem anderen Stoff verbindet, überprüfen</t>
  </si>
  <si>
    <t>von den legalen Suchtmitteln Alkohol und Nikotin ausgehenden Gefahren, referieren über die gesetzlichen Regelungen zum Jugendschutz, beschreiben Nicht-stoffgebundene Abhängigkeiten als Suchterkrankungen und nennen Beispiele, erörtern Handlungsoptionen zur Prävention von süchtigem Verhalten. Basisbegriffe Hygiene, Vorbeugung, Diagnose Bakteriell verursachte Krankheiten: Tuberkulose, Lungenentzündung, Scharlach, Keuchhusten, Borreliose Essigsäurebakterien Milchsäurebakterien Basisbegriffe Einfrieren, Trocknen, Pasteurisieren, Sterilisieren, Zuckern, Salzen, Säuern Krankheiten, die durch Viren verursacht werden: Grippe, Herpes,</t>
  </si>
  <si>
    <t>Austausch von Körperflüssigkeiten Weiße Blutkörperchen, Antikörper, Lymphknoten Immunisierung Sexuell übertragbare Krankheiten: Syphilis, Tripper, Hepatitis, Herpes, Aids Legale Suchmittel: Alkohol, Nikotin; illegale Suchtmittel Drogen: Cannabis, Haschisch, Heroin, Ecstasy, Kokain, Crack Süchtiges Verhalten: Internet, Spielsucht Hinweise - Anknüpfung an das Themenfeld Erwachsen werden des Lehrplans Klassenstufe / - Definition der WHO: Gesundheit ist ein Zustand vollkommenen körperlichen sozialen und geistigen Wohlbefindens. - Richtlinien</t>
  </si>
  <si>
    <t>Schülerinnen und Schüler sowie Lehrkräfte entlasten. Dazu werden neben dem Unterricht in Regelklassen eigene Lerngruppen für Schülerinnen und Schüler mit starken Auffälligkeiten in den Bereichen Sprache, Lernen oder Auffälligkeiten im Verhalten gebildet. In inklusiven Lerngruppen erhalten Schülerinnen und Schüler eine kooperative Förderung. Dabei sind sie Schülerinnen und Schüler einer regulären Grundschulklasse oder einer regulären Klasse der weiterführenden allgemeinbildenden Schule Bezugsklasse. In</t>
  </si>
  <si>
    <t>Schülerinnen und Schüler erfassen biologische Fragestellungen in verschiedenen Kontexten. Sie erkennen Probleme und Interessenkonflikte, entwickeln Lösungsansätze, diskutieren Konsequenzen und beurteilen diese. Sie begründen Verhaltensweisen einer gesunden Lebensführung, hinterfragen ihr persönliches Verhalten kritisch und leiten Schlussfolgerungen für die eigene Lebensweise und zur sozialen und ökologischen Verantwortung ab. Die Schülerinnen und Schüler beurteilen die Auswirkungen menschlicher Eingriffe in Ökosysteme und bewerten Lebensräume unter</t>
  </si>
  <si>
    <t>Kenntnisse, reflektieren die Bedeutung lebender Systeme für gegenwärtige und zukünftige Lebenssituationen, erörtern Handlungsoptionen einer umwelt- und naturverträglichen Teilhabe im Sinne der Nachhaltigkeit, unterscheiden naturwissenschaftliche und ethische Aussagen, reflektieren ihr eigenes Verhalten gegenüber der Umwelt, reflektieren ihr eigenes Verhalten unter gesundheitsrelevanten Aspekten und unter dem Aspekt der sozialen Verantwortung, beschreiben und beurteilen Erkenntnisse und Methoden in ausgewählten aktuellen Bezügen etwa zu Medizin,</t>
  </si>
  <si>
    <t>gegenwärtige und zukünftige Lebenssituationen, erörtern Handlungsoptionen einer umwelt- und naturverträglichen Teilhabe im Sinne der Nachhaltigkeit, unterscheiden naturwissenschaftliche und ethische Aussagen, reflektieren ihr eigenes Verhalten gegenüber der Umwelt, reflektieren ihr eigenes Verhalten unter gesundheitsrelevanten Aspekten und unter dem Aspekt der sozialen Verantwortung, beschreiben und beurteilen Erkenntnisse und Methoden in ausgewählten aktuellen Bezügen etwa zu Medizin, Bio- oder Gentechnik unter Berücksichtigung gesellschaftlich verhandelbarer</t>
  </si>
  <si>
    <t>den Bau und das Vorkommen von Hefepilzen und Bakterien beschreiben E: am Beispiel der Pilze die Biodiversität erklären K: mit Hilfe der Mikroskopie Strukturen der Pilze adressatengerecht präsentieren B: eigenes Verhalten unter gesundheitsrelevanten Aspekten und unter dem Aspekt der sozialen Verantwortung reflektieren Ernährung des Menschen PG ca. Unterrichtsstunden Verbindliche Inhalte Hinweise und Anregungen Du bist, was du isst Zweck der Ernährung</t>
  </si>
  <si>
    <t>Sachverhalte mediengestützt und zielgruppenorientiert. B Bewertungskompetenz Die Schülerinnen und Schüler erfassen biologische Fragestellungen in verschiedenen Kontexten. Sie erkennen Probleme und Interessenkonflikte, entwickeln Lösungsansätze, diskutieren Konsequenzen und beurteilen diese. Sie begründen Verhaltensweisen einer gesunden Lebensführung, hinterfragen ihr persönliches Verhalten kritisch und leiten Schlussfolgerungen für die eigene Lebensweise und zur sozialen und ökologischen Verantwortung ab. Die Schülerinnen und Schüler beurteilen die Auswirkungen menschlicher</t>
  </si>
  <si>
    <t>und Schüler ... Verbindliche Fachinhalte Jahrgangsstufen / Sek. I - IK Informationsaufnahme ist die Grundlage für Kommunikation. beschreiben die Informationsaufnahme als Grundlage für die Reaktion von Lebewesen auf ihre Umwelt. Verhalten eines Wirbeltieres Jahrgangsstufen - Sek. I - IK Sinnesorgane ermöglichen die Aufnahme von Information. beschreiben die Aufnahme von Information durch Sinnesorgane. Sinnesorgane bei Wirbeltieren als Rezeptoren für Reize aus der</t>
  </si>
  <si>
    <t>Betriebsstoffe Blut äußere Atmung Produzenten, Konsumenten, Destruenten Kohlenstoffkreislauf Energiefluss Fotosynthese Zellatmung anthropogener Einfluss auf lokaler und globaler Ebene Nachhaltigkeitsdreieck Reflexion der persönlichen Lebensweise Information und Kommunikation IK Sinnesorgane bei Wirbeltieren Verhalten eines Wirbeltieres Steuerung des Wachstums bei Pflanzen Kommunikation an Beispielen aus der Tier- und Pflanzenwelt Kommunikation auf zelluläre Ebene Kommunikation auf der Ebene der Organe Hormon-, Nerven-, Immunsystem Kommunikation auf</t>
  </si>
  <si>
    <t>Parthenogenese Fortführung der Tabelle Grundlegende Zusammenhänge des Basiskonzepts Inhaltsbezogene Kompetenzen Die Schülerinnen und Schüler ... Verbindliche Fachinhalte OS - R Die Partnerwahl basiert auf genetischer Disposition. beschreiben und erklären artspezifisches Verhalten bei der Partnerfindung und beim Paarungsverhalten. Partnerfindung durch: Lockstoffe akustische Verfahren Balz sexuelle Selektion Paarungssysteme MHC-System beschreiben und erklären die unterschiedlichen Fortpflanzungsstrategien im weiblichen und männlichen Geschlecht. weibliches Investment in</t>
  </si>
  <si>
    <t>Arten mit der synthetischen Evolutionstheorie. Artbegriff Isolationsmechanismen allopatrische und sympatrische Artbildung Genfluss adaptive Radiation OS - VA Verhaltensweisen können mit Hilfe von proximaten und ultimaten Ursachen erklärt werden. erklären das Verhalten von Tieren, indem sie zwischen proximaten und ultimaten Ursachen von Verhalten unterscheiden. proximate und ultimate Ursachen Kosten-Nutzen-Analyse von Verhalten OS - VA Die Variabilität und Angepasstheit des Menschen beruht auf</t>
  </si>
  <si>
    <t>Genfluss adaptive Radiation OS - VA Verhaltensweisen können mit Hilfe von proximaten und ultimaten Ursachen erklärt werden. erklären das Verhalten von Tieren, indem sie zwischen proximaten und ultimaten Ursachen von Verhalten unterscheiden. proximate und ultimate Ursachen Kosten-Nutzen-Analyse von Verhalten OS - VA Die Variabilität und Angepasstheit des Menschen beruht auf der Leistungsfähigkeit seines Gehirns. begründen die menschliche Anpassungsfähigkeit mit der Leistungsfähigkeit</t>
  </si>
  <si>
    <t>mit Hilfe von proximaten und ultimaten Ursachen erklärt werden. erklären das Verhalten von Tieren, indem sie zwischen proximaten und ultimaten Ursachen von Verhalten unterscheiden. proximate und ultimate Ursachen Kosten-Nutzen-Analyse von Verhalten OS - VA Die Variabilität und Angepasstheit des Menschen beruht auf der Leistungsfähigkeit seines Gehirns. begründen die menschliche Anpassungsfähigkeit mit der Leistungsfähigkeit seines Gehirns. Bau und Leistungen des menschlichen Gehirns</t>
  </si>
  <si>
    <t>Ebene der Organismen Phänotyp, Genotyp Modifikation Rekombination Mutation Anpassungsmechanismen des menschlichen Immunsystems Proteinbiosynthese Polyphänie, Polygenie Mutationsarten Rekombination von Allelen durch Gentechnik Selektion Migration reproduktive Fitness proximate und ultimate Ursachen von Verhalten Kosten-Nutzen-Analyse von Verhalten Bau und Leistungen des menschlichen Gehirns Basiskonzepte Fachinhalte Sekundarstufe I Fachinhalte Oberstufe VA - Zelluläre Ebene Gen und Allel Genom Rekombination von Allelen durch Meiose und Zygotenbildung</t>
  </si>
  <si>
    <t>Phänotyp, Genotyp Modifikation Rekombination Mutation Anpassungsmechanismen des menschlichen Immunsystems Proteinbiosynthese Polyphänie, Polygenie Mutationsarten Rekombination von Allelen durch Gentechnik Selektion Migration reproduktive Fitness proximate und ultimate Ursachen von Verhalten Kosten-Nutzen-Analyse von Verhalten Bau und Leistungen des menschlichen Gehirns Basiskonzepte Fachinhalte Sekundarstufe I Fachinhalte Oberstufe VA - Zelluläre Ebene Gen und Allel Genom Rekombination von Allelen durch Meiose und Zygotenbildung VA - Molekulare</t>
  </si>
  <si>
    <t>globaler Einfluss Sek. I - SE Nachhaltigkeit bedeutet, ein Ökosystem zu nutzen, ohne die Existenzgrundlage des Menschen zu zerstören. erklären Nachhaltigkeit als die Bewahrung der natürlichen Regenerationsfähigkeit der Biosphäre. beschreiben Verhaltensweisen, die ein Ökosystem nutzen, ohne die Existenz Nachhaltigkeitsdreieck Anwendungen auf die persönliche Lebensweise der Lernenden Tabelle II Information und Kommunikation IK Grundlegende Zusammenhänge des Basiskonzepts Inhaltsbezogene Kompetenzen Die Schülerinnen und</t>
  </si>
  <si>
    <t>Form wieder abgeben. Produzenten Konsumenten Destruenten OS - SE Die Energiemenge, die ein Organismus Individuum in Lebensprozesse investieren kann, ist beschränkt. beschreiben unterschiedliche Strategien der Energienutzung bei Organismen. Kosten-Nutzen-Analyse auf Verhaltensweisen anwenden OS - SE Autotrophe und heterotrophe Organismen nutzen unterschiedliche Prozesse des Energieumsatzes. unterscheiden zwischen Assimilation und Dissimilation. Assimilation als aufbauender Stoffwechselprozess Dissimilation als abbauender Stoffwechselprozess OS - SE Autotrophe</t>
  </si>
  <si>
    <t>Arten beruht auf der Isolation von Teilpopulationen. beschreiben und erklären die Entstehung von Arten mit der synthetischen Evolutionstheorie. Artbegriff Isolationsmechanismen allopatrische und sympatrische Artbildung Genfluss adaptive Radiation OS - VA Verhaltensweisen können mit Hilfe von proximaten und ultimaten Ursachen erklärt werden. erklären das Verhalten von Tieren, indem sie zwischen proximaten und ultimaten Ursachen von Verhalten unterscheiden. proximate und ultimate Ursachen Kosten-Nutzen-Analyse</t>
  </si>
  <si>
    <t>Populationsebene Produzenten, Konsumenten, Destruenten Kohlenstoffkreislauf und Energiefluss Nachhaltigkeit Produzenten, Konsumenten, Destruenten Kohlenstoffkreislauf, Stickstoffkreislauf Nahrungsnetze Trophiestufen SE - Ebene der Organismen Anwendungen des Nachhaltigkeitsgedanken auf die persönliche Lebensweise Kosten-Nutzen-Analyse anwenden auf Verhaltensweisen SE - Zelluläre Ebene Fotosynthese und Zellatmung Assimilation als aufbauender Stoffwechselprozess Dissimilation als abbauender Stoffwechselprozess Glykolyse vereinfacht Gärung vereinfacht Citratzyklus vereinfacht Endoxidation vereinfacht SE - Molekulare Ebene keine Fachinhalte NAD,</t>
  </si>
  <si>
    <t>räumliche Strukturen am Beispiel eines Ökosystems Steuerung und Regelung SR intra- und interspezifische Beziehungen dichte- und dichteunabhängige Faktoren Lotka-Volterra Regeln topdown- / bottom-up-Kontrolle Stoff- und Energieumwandlung SE Kosten-Nutzen-Analyse anwenden auf Verhaltensweisen Produzenten, Konsumenten, Destruenten Nahrungsnetze, Trophiestufen, Energiefluss Leitbild Nachhaltigkeit Naturschutz: Erhalt der Biodiversität Information und Kommunikation IK Mimikry, Mimese Variabilität und Angepasstheit VA Angepasstheit an Umweltfaktoren Variationsbreite physiologische und ökologische Potenz</t>
  </si>
  <si>
    <t>fachsprachlichen Texten und von Bildern in strukturierter sprachlicher Darstellung. Biologische Sachverhalte werden in verschiedenen Kontexten erkannt und bewertet. Schwerpunkte sind dabei nicht nur die eigene Gesundheit, sondern auch das verantwortungsbewusste Verhalten im sozialen Kontext und gegenüber der Umwelt. Die Lernenden unterscheiden zwischen naturwissenschaftlich belegbaren Fakten und Prozessen einerseits und Interessen geleiteten Aussagen andererseits, beurteilen die Bedeutung von naturwissenschaftlichen Kenntnissen für Anwendungsbereiche</t>
  </si>
  <si>
    <t>Hypothesen und Untersuchungen zu sinnesphysiologischen Phänomenen Kommunikation Interpretation von Beobachtungen, Abbildungen und Daten sinnesphysiologischer Versuche Diskussion von tierischen und menschlichen Verhaltensweisen Bewertung Bewertung von äußeren und inneren Faktoren auf das Verhalten, die Gesundheit und die Leistungsfähigkeit fe / zusätzlich dazu nach Abschluss der Jahrgangsstufe ezüge zu Kompetenzbereichen Inhaltliche Schwerpunkte Bezüge zu Kompetenzbereichen Funktionsteilung im Organismus kenntnisgewinnung nung, Durchführung und Auswerg von</t>
  </si>
  <si>
    <t>Einrichtungen mmunikation chreibung persönlicher Standpunkn angemessener Weise Erweiterung fachlicher Grundlagen: - Hormone - biologische Grundlagen der Empfängnis und Empfängnisverhütung - Reproduktionsmedizin - Schwangerschaftsabbruch Heterosexuelle und homosexuelle Partnerschaften Einflüsse auf sexuelles Verhalten, Rollenverhalten Verantwortung für das eigene Sexualverhalten seelisch-körperliche Selbstbestimmung Kommunikation Erläuterung biologischer Grundlagen zur Empfängnis und Empfängnisverhütung Darlegung eigener Intentionen und Haltungen bezüglich partnerschaftlichen Verhaltens Bewertung Beurteilung von Maßnahmen zur Erhaltung</t>
  </si>
  <si>
    <t>in ethischer Verantwortung die Veränderungen während der Pubertät. Kenntnisse zur Bedeutung von Eizelle und uchtungsvorgang, zur Entwicklung des Embryos/Fetus und des Kindes sowie zu Methoverhütung bilden die fachlichen Grundlagen selbstbestimmten Verhaltens. Diese werden kte der Reproduktionsmedizin und des Schwangerschaftsabbruchs erweitert. Neben punkten stehen auch Partnerschaft und Familie im Zentrum. Kommunikation Angemessene Formulierung eigener Standpunkte auf Basis biologischer Grundlagen Bewertung Beurteilung von</t>
  </si>
  <si>
    <t>und homosexuelle Partnerschaften Einflüsse auf sexuelles Verhalten, Rollenverhalten Verantwortung für das eigene Sexualverhalten seelisch-körperliche Selbstbestimmung Kommunikation Erläuterung biologischer Grundlagen zur Empfängnis und Empfängnisverhütung Darlegung eigener Intentionen und Haltungen bezüglich partnerschaftlichen Verhaltens Bewertung Beurteilung von Maßnahmen zur Erhaltung der physischen und psychischen Gesundheit und der Gesundheit anderer Abwägung und Bewertung von Handlungsoptionen und -folgen in Bezug auf ein individuelles, selbstbestimmtes, partnerschaftliches und</t>
  </si>
  <si>
    <t>Sinnesorganen Auge oder Ohr werfen Fragen zum Gesundheitsschutz auf. swege werden auch durch die Wirkung der Hormone als Botenstoffe deutlich. Beispiele Erkenntnisgewinnung Arbeiten mit physiologischen Modellen Beobachten, Beschreiben und ezifischen Verhaltensweisen aus der Tierwelt illustrieren die Kommunikation zwischen mente der menschlichen Kommunikation zeigen sich im Zusammenhang mit sozialen d dem Sexualverhalten. Vergleichen von Phänomenen und Vorgängen Unterscheidung von Ursache und Wirkung</t>
  </si>
  <si>
    <t>verschiedener Ökosysteme. In diewerden die Gründe für deren Gefährdung durch Eingriffe des Menschen ersichtlich. Kommunikation Darstellung von Zusammenhängen in geeigneter Form Veranschaulichung von Daten mit angemessenen Gestaltungsmitteln Bewertung Beurteilung von Verhaltensweisen hinsichtlich der Nachhaltigkeit Nutzung fachlicher Konzepte Vernetzung zu auf- und abbauenden Stoffwechselprozessen e, Fotosynthese und Atmung verdeutlichen Prozesse der Stoff- und Energieumwandlung esse unterliegen Regelmechanismen. Neben der Körpertemperatur und der</t>
  </si>
  <si>
    <t>Abschluss der Jahrgangsstufe ezüge zu Kompetenzbereichen Inhaltliche Schwerpunkte Bezüge zu Kompetenzbereichen Informationsfluss im Organismus und zwischen Organismen kenntnisgewinnung bachtung, Beschreibung und Verch von Reiz-Reaktionschanismen bei Tier und Mensch alyse von Verhaltensweisen bei us- oder Nutztieren mmunikation essatengerechte und sachgerechte chreibung und Erläuterung von haltensweisen Verhaltensweisen von Tieren: intra- und interspezifisch des Menschen: soziale Verhaltensweisen, Sexualverhalten Leistungsstärke, Belastbarkeit und Gesundheitsschutz von Sinnesorganen</t>
  </si>
  <si>
    <t>Ursache und Wirkung von Funktionseinschränkungen der Sinnesorgane Entwicklung von Fragestellungen, Hypothesen und Untersuchungen zu sinnesphysiologischen Phänomenen Kommunikation Interpretation von Beobachtungen, Abbildungen und Daten sinnesphysiologischer Versuche Diskussion von tierischen und menschlichen Verhaltensweisen Bewertung Bewertung von äußeren und inneren Faktoren auf das Verhalten, die Gesundheit und die Leistungsfähigkeit fe / zusätzlich dazu nach Abschluss der Jahrgangsstufe ezüge zu Kompetenzbereichen Inhaltliche Schwerpunkte Bezüge zu</t>
  </si>
  <si>
    <t>Organismen Erweiterung der Artenkenntnis Vernetzung verschiedener Ökosysteme Begründungszusammenhänge der Gefährdung von Ökosystemen durch Eingriffe des Menschen Veranschaulichung und Präsentation von im Sachzusammenhang adäquaten Daten mit angemessenen Gestaltungsmitteln Bewertung Beurteilung von Verhaltensweisen hinsichtlich der Nachhaltigkeit Nutzung fachlicher Konzepte Vernetzung zu auf- und abbauenden Stoffwechselprozessen wie Fotosynthese und Atmung Stoffwechsel und Regelmechanismen kenntnisgewinnung chführung von physiologischen ersuchungen zu einem Stoffwechrozess mmunikation wicklung von</t>
  </si>
  <si>
    <t>von Alltagskontexten mit naturwissenschaftlichen Kenntnissen ftlich belegbaren Fakten und Prozessen einerseits und Interessen geleiteten Aussagen andererseits, nschaftlichen Kenntnissen für Anwendungsbereiche und Berufsfelder, lungen die Chancen und Grenzen naturwissenschaftlicher Sichtweisen auf, Verhaltensweisen zur Erhaltung der eigenen Gesundheit und der anderer Lebewesen, Abwägen und bewerten von Handlungsfolgen auf Natur und Gesellschaft eigenen Lebensweise und der anderer Menschen in sozialer Verantwortung, hmen bei Experimenten,</t>
  </si>
  <si>
    <t>und die Bedeutung des Nervensystems erläutern. UF, UF die Bedeutung der Haut als Sinnesorgan darstellen und Schutzmaßnehmen gegen Gefahren wie UV-Strahlen erläutern. UF, B das Aussehen von Gegenständen mit dem Verhalten von Licht an ihren Oberflächen Reflexion, Absorption erläutern. UF, UF Schattenbildung, Mondphasen und Finsternisse sowie Spiegelungen mit der geradlinigen Ausbreitung des Lichts erklären. UF, UF, E Schwingungen als Ursache von</t>
  </si>
  <si>
    <t>in wesentlichen Bestandteilen beschreiben. UF am Beispiel unterschiedlicher Phänomene Wirkungen von Kräften beschreiben und erläutern. UF das physikalische Verständnis von Kräften von einem umgangssprachlichen Verständnis unterscheiden. UF, UF das richtige Verhalten beim Heben und Tragen unter Berücksichtigung anatomischer Aspekte veranschaulichen. UF den Weg der Nahrung im menschlichen Körper beschreiben und die an der Verdauung beteiligten Organe benennen. UF die Transportfunktion des</t>
  </si>
  <si>
    <t>von Strömen und Spannungen erläutern. UF den grundlegenden Aufbau und die Funktionsweise von Batterien, Akkumulatoren und Brennstoffzellen beschreiben. UF, UF, UF Erkenntnisgewinnung Die Schülerinnen und Schüler können ... Hypothesen zum Verhalten von Strömen und Spannungen in vorgegebenen Schaltungen formulieren, begründen und experimentell überprüfen. E, E Variablen identifizieren, von denen die Größe des Widerstands in einer Schaltung abhängt. E Spannungen und Stromstärken</t>
  </si>
  <si>
    <t>und lösen jeweils spezifische Reaktionen und Verhaltensweisen aus. Auf der Systemebene der Organismen wird dies deutlich bei der Reizaufnahme, der Erregungsleitung und Verarbeitung im Gehirn. Hierbei spielen Gedächtnis, Lernvorgänge und Verhalten eine wichtige Rolle. Schülerinnen und Schüler können darüber eigenes Lernen besser verstehen und gegebenenfalls beeinflussen. Der Leitgedanke der Reaktion auf bestimmte Signale findet sich auch auf der zellulären Ebene bei</t>
  </si>
  <si>
    <t>Oberflächenvergrößerung, Blutkreislauf, menschliches Skelett, Gegenspielerprinzip Basiskonzept Entwicklung Baustoffe, Gefahren des Rauchens Umgang mit Fachwissen Die Schülerinnen und Schüler können ... Skelett und Bewegungssystem in wesentlichen Bestandteilen beschreiben. UF das richtige Verhalten beim Heben und Tragen unter Berücksichtigung anatomischer Aspekte veranschaulichen. UF den Weg der Nahrung im menschlichen Körper beschreiben und die an der Verdauung beteiligten Organe benennen. UF die Transportfunktion des</t>
  </si>
  <si>
    <t>K die Bedeutung eigener Beiträge für Arbeitsergebnisse einer Gruppe einschätzen und erläutern u. a. bei Untersuchungen, Recherchen, Präsentationen. K Bewertung Die Schülerinnen und Schüler können ... die Angemessenheit des eigenen Verhaltens im Straßenverkehr u. a. Sicherheitsabstände, Einhalten von Geschwindigkeitsvorschriften und Anschnallpflicht reflektieren und beurteilen. B, B Argumente für und gegen bemannte Raumfahrt nennen und dazu einen eigenen Standpunkt vertreten. B Inhaltsfeld</t>
  </si>
  <si>
    <t>Leben in extremen Lebensräumen beschreiben. UF die Angepasstheit von Tieren bzw. Pflanzen und ihren Überdauerungsformen an extreme Lebensräume erläutern. UF Erkenntnisgewinnung Die Schülerinnen und Schüler können ... aufgrund von Beobachtungen Verhaltensweisen in tierischen Sozialverbänden unter dem Aspekt der Kommunikation beschreiben. E Vermutungen zur Angepasstheit bei Tieren u. a. zu ihrer Wärmeisolation begründen und Experimente zur Überprüfung planen und durchführen. E, E,</t>
  </si>
  <si>
    <t>Schüler können ... aufgrund eines Energiediagramms eine chemische Reaktion begründet als exotherme oder endotherme Reaktion einordnen. K Verfahren des Feuerlöschens mit Modellversuchen demonstrieren. K Gefahrstoffsymbole und Gefahrstoffhinweise adressatengerecht erläutern und Verhaltensweisen im Umgang mit entsprechenden Stoffen beschreiben. K Recherchen zu naturwissenschaftlich-technischen Verfahrensweisen z. B. zu Möglichkeiten der Nutzung und Gewinnung von Metallen und ihren Legierungen in verschiedenen Quellen durchführen und Ergebnisse</t>
  </si>
  <si>
    <t>Berücksichtigung eigener Wertvorstellungen Entscheidungen zur eigenen Lebensplanung treffen zu können. Information und Regulation Auf den verschiedenen Systemebenen biologischer Systeme werden Signale erkannt und ausgetauscht und lösen jeweils spezifische Reaktionen und Verhaltensweisen aus. Auf der Systemebene der Organismen wird dies deutlich bei der Reizaufnahme, der Erregungsleitung und Verarbeitung im Gehirn. Hierbei spielen Gedächtnis, Lernvorgänge und Verhalten eine wichtige Rolle. Schülerinnen und Schüler</t>
  </si>
  <si>
    <t>und benennen und deren Funktionen erläutern. UF das Prinzip der Fortpflanzung bei Pflanzen und Tieren vergleichen und Gemeinsamkeiten erläutern. UF Erkenntnisgewinnung Die Schülerinnen und Schüler können ... aufgrund von Beobachtungen Verhaltensweisen in tierischen Sozialverbänden unter dem Aspekt der Kommunikation beschreiben. E kriteriengeleitet Keimung oder Wachstum von Pflanzen beobachten und dokumentieren und Schlussfolgerungen für optimale Keimungs- oder Wachstumsbedingungen ziehen. E, E, K,</t>
  </si>
  <si>
    <t>fördert die Fähigkeiten zur Abstraktion, zum Perspektivwechsel und zum logischen sowie vernetzten Denken. Er versetzt die Lernenden in die Lage, Auswirkungen menschlichen Handelns zu erfassen, zu bewerten und ihr eigenes Verhalten zu reflektieren. Biologie als Perspektive für die berufliche Orientierung Der Unterricht in der gymnasialen Oberstufe vermittelt eine vertiefte Allgemeinbildung, allgemeine Studierfähigkeit sowie wissenschaftspropädeutische Bildung. Die Naturwissenschaften bilden die Basis für</t>
  </si>
  <si>
    <t>Drift, Artbildung, Biodiversität, Koevolution, populationsgenetischer Artbegriff erläutern die Wirkung von Evolutionsfaktoren auf die Entstehung und Veränderung von Arten erläutern Koevolution als Ergebnis der Selektion durch Konkurrenz IB Adaptiver Wert von Verhalten: reproduktive Fitness, Kosten-Nutzen-Analyse werten Verhalten mit Hilfe einer Kosten-Nutzen-Analyse aus und leiten daraus die reproduktive Fitness ab IB Synthetische Evolutionstheorie, Abgrenzung von nicht-naturwissenschaftlichen Vorstellungen beschreiben, erläutern und vergleichen verschiedene Evolutionstheorien</t>
  </si>
  <si>
    <t>Artbegriff erläutern die Wirkung von Evolutionsfaktoren auf die Entstehung und Veränderung von Arten erläutern Koevolution als Ergebnis der Selektion durch Konkurrenz IB Adaptiver Wert von Verhalten: reproduktive Fitness, Kosten-Nutzen-Analyse werten Verhalten mit Hilfe einer Kosten-Nutzen-Analyse aus und leiten daraus die reproduktive Fitness ab IB Synthetische Evolutionstheorie, Abgrenzung von nicht-naturwissenschaftlichen Vorstellungen beschreiben, erläutern und vergleichen verschiedene Evolutionstheorien L K Zusätzlich im eN</t>
  </si>
  <si>
    <t>Reproduktionsmedizin Grundlagen der Immunbiologie Allergien und Autoimmunerkrankungen Diagnostische Verfahren Leitthemen mit Pflicht- und Wahlpflichtbausteinen Unterrichtsstunden GF LF Leitthema Entstehung und Entwicklung des Lebens Pflichtbausteine Abstammung und Verwandtschaft Entstehung von Biodiversität Verhalten als Ergebnis von Evolution - Verhaltensökologie Fachliche Verfahren und biologische Denk- und Arbeitsweisen Wahlpflichtbausteine Chemische und präbiologische Evolution Erdgeschichte Lebewesen erobern Land und Luft Fossilien Evolutionäre Entwicklungsbiologie Evo-Devo Computergestützte Phylogenetik</t>
  </si>
  <si>
    <t>der Informationsverarbeitung Stress Emotionen und Motivation Schmerz Sucht Erkrankungen des Nervensystems Chronobiologie Signalverarbeitung und Bewegung bei Pflanzen und Einzellern Spezielle Sinnesleistungen bei Tieren Kommunikation und Sprache Neuroethik und -philosophie Psychoneuroimmunologie Verhalten Geschichte der Verhaltensforschung Stundenansätze insgesamt: Tab. : Übersicht der Leitthemen mit Pflicht- und Wahlpflichtbausteinen Leben und Energie Mit der Entstehung, Differenzierung und Spezialisierung von Zellen als kleinste sich selbst erhaltende</t>
  </si>
  <si>
    <t>und neuen Arten führen, ebenso wie die Regeln, nach denen Organismen, inklusive des Menschen, interagieren und Sozialsysteme bilden, besondere Bedeutung in der Forschung. Bei der Betrachtung des adaptiven Wertes von Verhalten stehen die reproduktive Fitness und die Kosten-Nutzen-Analyse im Zentrum. Ein biologisches Phänomen kann erst dann umfassend erklärt werden, wenn sowohl die Frage nach den Mechanismen als auch die Frage nach</t>
  </si>
  <si>
    <t>Er bestimmt durch sein aktives Handeln die Faktoren der zukünftigen Selektion mit und übernimmt damit Verantwortung im Sinne einer nachhaltigen Entwicklung. Leitthema Entstehung und Entwicklung des Lebens Abstammung und Verwandtschaft Verhalten als Ergebnis von Evolution - Verhaltensökologie Chemische und Präbiologische Evolution Fossilien Experimentelle Evolutionsforschung Tarnen, Warnen, Täuschen Erdgeschichte Evolutionäre Entwicklungsbiologie Evo-Devo Angewandte Evolutionsbiologie Eigenes Thema Lebewesen erobern Land und Luft Computergestützte</t>
  </si>
  <si>
    <t>Selektion Hinweise, Anregungen und mögliche thematische Anknüpfungen - z. B. Antibiotikaresistenzen Mögliche Vertiefungen und Vernetzungen - Leitthema , Pflichtbaustein: Vielfalt und Vererbung - Leitthema , Pflichtbaustein: Umweltfaktoren, Ressourcen und Populationen Verhalten als Ergebnis von Evolution - Verhaltensökologie Grund- und Leistungsfach Leistungsfach Grundlagen und Ursachen von Verhalten adaptiver Wert von Verhalten - Verhaltensweisen und reproduktive Fitness - Kosten-Nutzen-Analyse proximate und ultimate Erklärungsformen</t>
  </si>
  <si>
    <t>- Leitthema , Pflichtbaustein: Vielfalt und Vererbung - Leitthema , Pflichtbaustein: Umweltfaktoren, Ressourcen und Populationen Verhalten als Ergebnis von Evolution - Verhaltensökologie Grund- und Leistungsfach Leistungsfach Grundlagen und Ursachen von Verhalten adaptiver Wert von Verhalten - Verhaltensweisen und reproduktive Fitness - Kosten-Nutzen-Analyse proximate und ultimate Erklärungsformen exogene und endogene Verhaltensursachen Kulturelle Evolution Werkzeuggebrauch Sprachentwicklung Sozialverhalten Sozialverhalten bei Primaten Kooperation und Altruismus</t>
  </si>
  <si>
    <t>Vielfalt und Vererbung - Leitthema , Pflichtbaustein: Umweltfaktoren, Ressourcen und Populationen Verhalten als Ergebnis von Evolution - Verhaltensökologie Grund- und Leistungsfach Leistungsfach Grundlagen und Ursachen von Verhalten adaptiver Wert von Verhalten - Verhaltensweisen und reproduktive Fitness - Kosten-Nutzen-Analyse proximate und ultimate Erklärungsformen exogene und endogene Verhaltensursachen Kulturelle Evolution Werkzeuggebrauch Sprachentwicklung Sozialverhalten Sozialverhalten bei Primaten Kooperation und Altruismus Fortpflanzungsverhalten - Paarungsstrategien -</t>
  </si>
  <si>
    <t>Decodierung von Information Hinweise, Anregungen und mögliche thematische Anknüpfungen - evolutionäre Spieltheorie, z. B. Falke-Taube-Modell Mögliche Vertiefungen und Vernetzungen - Leitthema , Wahlpflichtbaustein: Kommunikation und Sprache - Leitthema , Wahlpflichtbaustein: Verhalten Fachliche Verfahren und biologische Denk- und Arbeitsweisen Grund- und Leistungsfach Leistungsfach Abstammung und Verwandtschaft vergleichende morphologische Untersuchungen Vergleich von DNA-Sequenzen Konstruktion von Stammbäumen Entstehung von Biodiversität Modelle und Simulationen zur</t>
  </si>
  <si>
    <t>Verfahren und biologische Denk- und Arbeitsweisen Grund- und Leistungsfach Leistungsfach Abstammung und Verwandtschaft vergleichende morphologische Untersuchungen Vergleich von DNA-Sequenzen Konstruktion von Stammbäumen Entstehung von Biodiversität Modelle und Simulationen zur Selektion Verhalten als Ergebnis von Evolution - Verhaltensökologie Verhaltensbeobachtungen Hinweise und Anregungen - Vergleich von Skelettmerkmalen, z. B. Schädel, Vordergliedmaßen Chemische und präbiologische Evolution abiotische Bildung einfacher organischer Moleküle und Makromoleküle Informationsträger</t>
  </si>
  <si>
    <t>die Bewertung anthropogener Eingriffe in Ökosysteme und deren mögliche Konsequenzen für die Dynamik und vorübergehende Stabilität derselben sowie für Biodiversität und Klima. Damit kann die Basis für ein zukunftsfähiges ökologisches Verhalten unter dem Aspekt der Nachhaltigkeit BNE gelegt werden. Der Kompetenzbereich Bewertung beinhaltet dabei u. a. die Reflexion kurz- und langfristiger Folgen individueller und gesellschaftlicher Entscheidungen. Neben globalen Aspekten steht die</t>
  </si>
  <si>
    <t>das Bewusstsein. Das Verständnis der neuronalen Plastizität in Abhängigkeit von sensorischer Erfahrung ermöglicht z. B. Rückschlüsse auf das eigene Lernverhalten. Höhere Leistungen neuronaler Netzwerke, wie z. B. Erinnerung, Sprache und Verhalten, lassen die Neurobiologie zu einer Brücke zwischen Geistes- und Naturwissenschaft werden. Leitthema Informationsverarbeitung in Lebewesen Anatomie und Physiologie neuronaler und hormoneller Kommunikation Fachliche Verfahren und biologische Denk- und Arbeitsweisen Evolution</t>
  </si>
  <si>
    <t>Geistes- und Naturwissenschaft werden. Leitthema Informationsverarbeitung in Lebewesen Anatomie und Physiologie neuronaler und hormoneller Kommunikation Fachliche Verfahren und biologische Denk- und Arbeitsweisen Evolution der Informationsverarbeitung Schmerz Chronobiologie Kommunikation und Sprache Verhalten Stress Sucht Signalverarbeitung und Bewegung bei Pflanzen und Einzellern Neuroethik und -philosophie Geschichte der Verhaltensforschung Emotionen und Motivation Erkrankungen des Nervensystems Spezielle Sinnesleistungen bei Tieren Psychoneuroimmunologie Eigenes Thema Leistungen des</t>
  </si>
  <si>
    <t>und Risiken der Hirnforschung Hinweise und Anregungen - z. B. Hirndoping, Prothesen, Cochleaimplantat Psychoneuroimmunologie Wechselwirkung zwischen Nerven-, Immun- und Hormonsystem Placebo-Effekt Hypothalamus-Hypophysen-Nebennieren-Achse Hinweise und Anregungen - z. B. Selbstwirksamkeit, Resilienz Verhalten Grundlagen der Verhaltensforschung modifiziertes Verhalten durch Erfahrung Verhalten und Ressourcensicherung Hinweise und Anregungen - Lernen, Gewöhnung, Intelligenz Geschichte der Verhaltensforschung Behaviorismus klassische Ethologie Humanethologie Verhaltensökologie/Soziobiologie Hinweise und Anregungen - z.</t>
  </si>
  <si>
    <t>und Anregungen - z. B. Hirndoping, Prothesen, Cochleaimplantat Psychoneuroimmunologie Wechselwirkung zwischen Nerven-, Immun- und Hormonsystem Placebo-Effekt Hypothalamus-Hypophysen-Nebennieren-Achse Hinweise und Anregungen - z. B. Selbstwirksamkeit, Resilienz Verhalten Grundlagen der Verhaltensforschung modifiziertes Verhalten durch Erfahrung Verhalten und Ressourcensicherung Hinweise und Anregungen - Lernen, Gewöhnung, Intelligenz Geschichte der Verhaltensforschung Behaviorismus klassische Ethologie Humanethologie Verhaltensökologie/Soziobiologie Hinweise und Anregungen - z. B. Skinner, Pawlow, Eibel-Eibesfeld, Wilson,</t>
  </si>
  <si>
    <t>z. B. Hirndoping, Prothesen, Cochleaimplantat Psychoneuroimmunologie Wechselwirkung zwischen Nerven-, Immun- und Hormonsystem Placebo-Effekt Hypothalamus-Hypophysen-Nebennieren-Achse Hinweise und Anregungen - z. B. Selbstwirksamkeit, Resilienz Verhalten Grundlagen der Verhaltensforschung modifiziertes Verhalten durch Erfahrung Verhalten und Ressourcensicherung Hinweise und Anregungen - Lernen, Gewöhnung, Intelligenz Geschichte der Verhaltensforschung Behaviorismus klassische Ethologie Humanethologie Verhaltensökologie/Soziobiologie Hinweise und Anregungen - z. B. Skinner, Pawlow, Eibel-Eibesfeld, Wilson, Lorenz, Tinbergen, von</t>
  </si>
  <si>
    <t>Entwicklung des Lebens Thematischer Zusammenhang: Evolution des Menschen Leistungsfach Abb. : Strukturierungsvorschlag LT , Evolution des Menschen Entstehung von Biodiversität Evolutionstheorien Evolutionsmechanismen Evolutionäre Entwicklungsbiologie Evo-Devo Kommunikation und Sprache - LT Verhalten - LT Abstammung und Verwandtschaft Evolution des Menschen Darstellung stammesgeschichtlicher Verwandtschaft Belege für die Evolution Verhalten als Ergebnis von Evolution Verhaltensökologie Kulturelle Evolution Grundlagen und Ursache von Verhalten Sozialverhalten Angewandte</t>
  </si>
  <si>
    <t>Menschen Entstehung von Biodiversität Evolutionstheorien Evolutionsmechanismen Evolutionäre Entwicklungsbiologie Evo-Devo Kommunikation und Sprache - LT Verhalten - LT Abstammung und Verwandtschaft Evolution des Menschen Darstellung stammesgeschichtlicher Verwandtschaft Belege für die Evolution Verhalten als Ergebnis von Evolution Verhaltensökologie Kulturelle Evolution Grundlagen und Ursache von Verhalten Sozialverhalten Angewandte Evolutionsbiologie Fachliche Verfahren Abstammung und Verwandtschaft Evolutionsmechanismen Fachliche Verfahren Verhaltensbeobachtungen Die Evolution des Menschen wird vertiefend</t>
  </si>
  <si>
    <t>- LT Verhalten - LT Abstammung und Verwandtschaft Evolution des Menschen Darstellung stammesgeschichtlicher Verwandtschaft Belege für die Evolution Verhalten als Ergebnis von Evolution Verhaltensökologie Kulturelle Evolution Grundlagen und Ursache von Verhalten Sozialverhalten Angewandte Evolutionsbiologie Fachliche Verfahren Abstammung und Verwandtschaft Evolutionsmechanismen Fachliche Verfahren Verhaltensbeobachtungen Die Evolution des Menschen wird vertiefend oder auch beispielhaft als Einstieg für die evolutive Entstehung von Arten durch</t>
  </si>
  <si>
    <t>Vererbung - Leitthema , Pflichtbaustein: Umweltfaktoren, Ressourcen und Populationen Verhalten als Ergebnis von Evolution - Verhaltensökologie Grund- und Leistungsfach Leistungsfach Grundlagen und Ursachen von Verhalten adaptiver Wert von Verhalten - Verhaltensweisen und reproduktive Fitness - Kosten-Nutzen-Analyse proximate und ultimate Erklärungsformen exogene und endogene Verhaltensursachen Kulturelle Evolution Werkzeuggebrauch Sprachentwicklung Sozialverhalten Sozialverhalten bei Primaten Kooperation und Altruismus Fortpflanzungsverhalten - Paarungsstrategien - sexuelle Selektion</t>
  </si>
  <si>
    <t>über Bewegung und Antriebe zur Entwicklung oder Optimierung eigener Modelle. Natürliche und technische Bewegungsformen fordern zur kritischen Bewertungen von Mobilität heraus: Im Zusammenhang mit einer nachhaltigen Entwicklung wird das eigene Verhalten als Verkehrsteilnehmer und die Nutzung von ressourcenschonenden Verkehrsmitteln thematisiert. Das im Themenfeld erworbene Sachwissen ermöglicht es den Schülerinnen und Schülern, die Notwendigkeit der Gesunderhaltung des eigenen Bewegungsapparates zu erkennen um</t>
  </si>
  <si>
    <t>Artenvielfalt System Lebensräume sind durch Umweltfaktoren z. B. Licht, Beutegreifer charakterisiert. An ausgewählten Tierund Pfl anzenbeispielen wird deutlich, dass Lebewesen an ihren Lebensraum angepasst sind z. B. Maulwurf. Körperbau und Verhalten lassen Aussagen zur Lebensweise zu. Angepasstheit bei Pflanzen und Tieren Struktur Eigenschaft Funktion Menschen leben in Ökosystemen und nutzen sie vielfältig z. B. zur Ernährung und Rohstoffgewinnung. Nutzbringende Eigenschaften von</t>
  </si>
  <si>
    <t>Dieses Themenfeld bietet die Möglichkeit, das Grundverständnis der Kinder von Systemen und Energie zu vertiefen. Die Sonne steuert Entwicklungsvorgänge von Pfl anzen und Tieren im Jahreslauf. Fortpfl anzung, Körperbau und Verhalten von Lebewesen sind jahreszeitlich veränderlichen Umweltfaktoren angepasst. Bei der Auseinandersetzung mit der Angepasstheit von Pfl anzen und Tieren wird das Basiskonzept Struktur - Eigenschaft - Funktion vertieft. Die Bewegungen der</t>
  </si>
  <si>
    <t>Meinungsbildung bei. Zahlreiche Themen geben Anlass, Sachverhalte unter biologischen und außerfachlichen Gesichtspunkten zu bewerten. Die Lernenden bewerten die gesellschaftlichen Auswirkungen menschlichen Handelns und werden dadurch in die Lage versetzt, ihr Verhalten an der Verantwortung gegenüber sich selbst und der Mitwelt auszurichten. Das Fach Biologie thematisiert dabei soziale, ökonomische, ökologische, politische, kulturelle und interkulturelle Phänomene und Probleme. Es leistet damit einen Beitrag</t>
  </si>
  <si>
    <t>den populationsgenetischen Artbegriff. simulieren evolutive Prozesse und diskutieren Möglichkeiten und Grenzen des Modells. grenzen die synthetische Evolutionstheorie von nichtwissenschaftlichen Vorstellungen ab. erklären Koevolution ultimat und vermeiden dabei finale Begründungen. Das Verhalten eines Individuums beeinflusst seine Überlebenswahrscheinlichkeit und reproduktive Fitness. Sachkompetenz Erkenntnisgewinnungskompetenz Kommunikationskompetenz Bewertungskompetenz Die Lernenden... analysieren Kosten und Nutzen von Verhaltensweisen hinsichtlich ihrer Konsequenzen für die reproduktive Fitness. erklären Verhaltensweisen aus</t>
  </si>
  <si>
    <t>Experiment zur Toleranz von Organismen gegenüber einem ausgewählten abiotischen Faktor und führen es unter Berücksichtigung des Variablengefüges durch, nehmen quantitative Daten auf und werten sie aus. beobachten und dokumentieren geschlechtsspezifische Verhaltensweisen von Primaten und leiten deren adaptiven Wert ab. Modellierung und Dokumentation abstrakter oder komplexer biologischer Sachverhalte durch spezifische mediale Repräsentationen. simulieren kontinuierliche und saltatorische Erregungsleitung am Axon und diskutieren Möglichkeiten</t>
  </si>
  <si>
    <t>ab. erklären Koevolution ultimat und vermeiden dabei finale Begründungen. Das Verhalten eines Individuums beeinflusst seine Überlebenswahrscheinlichkeit und reproduktive Fitness. Sachkompetenz Erkenntnisgewinnungskompetenz Kommunikationskompetenz Bewertungskompetenz Die Lernenden... analysieren Kosten und Nutzen von Verhaltensweisen hinsichtlich ihrer Konsequenzen für die reproduktive Fitness. erklären Verhaltensweisen aus ultimater und proximater Sicht und vermeiden finale Aussagen. erläutern exogene und endogene Ursachen für das Sozialverhalten von Primaten. beobachten und</t>
  </si>
  <si>
    <t>Das Verhalten eines Individuums beeinflusst seine Überlebenswahrscheinlichkeit und reproduktive Fitness. Sachkompetenz Erkenntnisgewinnungskompetenz Kommunikationskompetenz Bewertungskompetenz Die Lernenden... analysieren Kosten und Nutzen von Verhaltensweisen hinsichtlich ihrer Konsequenzen für die reproduktive Fitness. erklären Verhaltensweisen aus ultimater und proximater Sicht und vermeiden finale Aussagen. erläutern exogene und endogene Ursachen für das Sozialverhalten von Primaten. beobachten und dokumentieren geschlechtsspezifische Verhaltensweisen von Primaten und leiten deren adaptiven</t>
  </si>
  <si>
    <t>Konsequenzen für die reproduktive Fitness. erklären Verhaltensweisen aus ultimater und proximater Sicht und vermeiden finale Aussagen. erläutern exogene und endogene Ursachen für das Sozialverhalten von Primaten. beobachten und dokumentieren geschlechtsspezifische Verhaltensweisen von Primaten und leiten deren adaptiven Wert ab. erklären Maximierung der reproduktiven Fitness anhand von Paarungssystemen bei Primaten funktional. Biologische und kulturelle Evolution führten zum Auftreten des rezenten Menschen. Sachkompetenz</t>
  </si>
  <si>
    <t>u. a. auch beim Menschen wechselseitige Angepasstheiten zwischen interagierenden artfremden Lebewesen als Ergebnis einer Koevolution. leiten Selektionsvorteile des Menschen ab, die sich durch die v. a. sprachliche Weitergabe von erlerntem Verhalten und Wissen an andere und an nachfolgende Generationen ergeben und erklären so die Bedeutung der sozialen und kulturellen Evolution des Menschen und seine weltweite Verbreitung. beschreiben, wie der Mensch seine</t>
  </si>
  <si>
    <t>Selektionsformen stabilisierend, transformierend, disruptiv, Alleldrift; Fitness Artbildung als Folge von geographischer und ökologischer Isolation; reproduktive Isolation und populationsgenetischer Artbegriff; Problematik des Artbegriffs Koevolution: mutualistisch, antagonistisch kulturelle Evolution: Weitergabe von erlerntem Verhalten, Traditionsbildung, Werkzeuggebrauch, Sprachentwicklung, Informationsspeicherung aktive Veränderungen der Umwelt durch den Menschen: z. B. Rodung, Ackerbau, Viehzucht Grenzen und Gefahren des Eingriffs in natürliche Evolutionsprozesse: z. B. Überzüchtung, Veränderung des Genpools,</t>
  </si>
  <si>
    <t>Menschen: z. B. Rodung, Ackerbau, Viehzucht Grenzen und Gefahren des Eingriffs in natürliche Evolutionsprozesse: z. B. Überzüchtung, Veränderung des Genpools, Sozialdarwinismus B Lernbereich : Verhaltensökologie - Evolution und Angepasstheit von Verhalten ca. Std. Kompetenzerwartungen Die Schülerinnen und Schüler ... erklären das Auftreten verschiedener Verhaltensweisen, indem sie deren Einfluss auf die Gesamtfitness des Lebewesens beurteilen. wenden Methoden der verhaltensökologischen Forschung an, um</t>
  </si>
  <si>
    <t>der Primaten im Hinblick auf exogene und endogene Ursachen, um ausgewählte menschliche Verhaltensweisen zu erklären. Dabei treten sie einseitig biologistischen Erklärungsansätzen kritisch gegenüber. Inhalte zu den Kompetenzen: adaptiver Wert von Verhalten; direkte und indirekte reproduktive Fitness verhaltensökologische Forschung: Kosten-Nutzen-Analyse, Optimalitätsmodell, ggf. vergleichende Methode Überleben des Individuums: energieeffizientes Verhalten, Nahrungserwerb, Habitatwahl, ggf. weitere Kooperation und Altruismus: bei Nahrungserwerb, Verteidigung, Jungenaufzucht, ggf. weitere</t>
  </si>
  <si>
    <t>sie einseitig biologistischen Erklärungsansätzen kritisch gegenüber. Inhalte zu den Kompetenzen: adaptiver Wert von Verhalten; direkte und indirekte reproduktive Fitness verhaltensökologische Forschung: Kosten-Nutzen-Analyse, Optimalitätsmodell, ggf. vergleichende Methode Überleben des Individuums: energieeffizientes Verhalten, Nahrungserwerb, Habitatwahl, ggf. weitere Kooperation und Altruismus: bei Nahrungserwerb, Verteidigung, Jungenaufzucht, ggf. weitere Kommunikation: Sender-Empfänger-Modell, Signale, Signalfälschung Aggression: Intensitätsstufen Drohen, Kommentkampf, Beschädigungskampf, Aggressionskontrolle Rangordnung, Territorialität, ggf. weitere Fortpflanzung: Partnerwahl u.</t>
  </si>
  <si>
    <t>Evolutionsprozesse: z. B. Überzüchtung, Veränderung des Genpools, Sozialdarwinismus B Lernbereich : Verhaltensökologie - Evolution und Angepasstheit von Verhalten ca. Std. Kompetenzerwartungen Die Schülerinnen und Schüler ... erklären das Auftreten verschiedener Verhaltensweisen, indem sie deren Einfluss auf die Gesamtfitness des Lebewesens beurteilen. wenden Methoden der verhaltensökologischen Forschung an, um Verhaltensweisen zum Überleben des Individuums bei Kooperation, Kommunikation, Aggression und Fortpflanzung zu analysieren</t>
  </si>
  <si>
    <t>ca. Std. Kompetenzerwartungen Die Schülerinnen und Schüler ... erklären das Auftreten verschiedener Verhaltensweisen, indem sie deren Einfluss auf die Gesamtfitness des Lebewesens beurteilen. wenden Methoden der verhaltensökologischen Forschung an, um Verhaltensweisen zum Überleben des Individuums bei Kooperation, Kommunikation, Aggression und Fortpflanzung zu analysieren und deren Bedeutung für die Weitergabe der genetischen Information zu erklären. analysieren das Sozialverhalten der Primaten im Hinblick</t>
  </si>
  <si>
    <t>und Fortpflanzung zu analysieren und deren Bedeutung für die Weitergabe der genetischen Information zu erklären. analysieren das Sozialverhalten der Primaten im Hinblick auf exogene und endogene Ursachen, um ausgewählte menschliche Verhaltensweisen zu erklären. Dabei treten sie einseitig biologistischen Erklärungsansätzen kritisch gegenüber. Inhalte zu den Kompetenzen: adaptiver Wert von Verhalten; direkte und indirekte reproduktive Fitness verhaltensökologische Forschung: Kosten-Nutzen-Analyse, Optimalitätsmodell, ggf. vergleichende Methode</t>
  </si>
  <si>
    <t>Ein weiterer Schwerpunkt ist die Entwicklung der Bewertungskompetenz: An geeigneten Fachinhalten lernt der Schüler, naturwissenschaftliche Sachverhalte, Entscheidungen und Handlungen sachgerecht zu bewerten sowie Bewertungen für seine eigene Entscheidungsfindung und sein Verhalten zu nutzen. Des Weiteren leistet das Fach einen wichtigen Beitrag zur Entwicklung der Kommunikationskompetenz: Sie schließt gleichermaßen Formen der schriftlichen und mündlichen Kommunikation unter Verwendung der Fachsprache wie auch Methoden</t>
  </si>
  <si>
    <t>sachgerecht darstellen, - respektvoll mit anderen Personen umgehen, - Konflikte angemessen bewältigen und - seine naturwissenschaftlichen Kenntnisse bewusst nutzen, um Entscheidungen im Alltag sachgerecht zu treffen und sich entsprechend zu verhalten Eingriffe des Menschen in die belebte und unbelebte Umwelt sachgerecht zu bewerten. Naturwissenschaftliche und fachspezifische Kompetenzen Die Fächer des naturwissenschaftlichen Aufgabenfeldes haben die Aufgabe, eine solide naturwissenschaftliche Grundbildung zu gewährleisten.</t>
  </si>
  <si>
    <t>Phänomenen entwickelt, -naturwissenschaftliche Alltagsphänomene hinterfragt und sie unter Nutzung von Fachwissen versteht, -naturwissenschaftliche Methoden erlernt und anwenden kann, -seine Kompetenzen nutzt, um fachliche Sachverhalte fachlich richtig und strukturiert zu kommunizieren Verhaltensweisen und Entscheidungen sachgerecht zu bewerten begründet Entscheidungen zu treffen und richtig handeln zu können weitere naturwissenschaftliche Phänomene zu verstehen. Die naturwissenschaftliche Grundbildung im Fach Mensch-Natur-Technik MNT greift in der Grundschule</t>
  </si>
  <si>
    <t>Objekte, Vorgänge ordnen und klassifizieren. Definieren - ausgewählte Begriffe aus den Bereichen Biologie, Chemie und Physik definieren. Ableiten/Begründen - kausale Beziehungen zwischen Struktur und Funktion ableiten/ begründen, - Maßnahmen und Verhaltensweisen ableiten/begründen. Schlussfolgern - auf der Grundlage konkreter Aussagen allgemeine Schlüsse ziehen, - begründet Maßnahmen, Entscheidungen etc. ableiten. Anwenden der Modellmethode - die Bedeutung von Anschauungs- und Denk- Modellen für das</t>
  </si>
  <si>
    <t>persönliche festlegen, - Sachverhalte unter Verwendung von Fachwissen an den Kriterien messen, - die Ergebnisse wichten, - einen Standpunkt formulieren. Bewerten von naturwissenschaftlich bedeutsamen Sachverhalten - ausgewählte Entscheidungen, Maßnahmen und Verhaltensweisen bewerten, d. h. Maßnahmen zur gesundheitsfördernden Lebensweise und entsprechende Verhaltensweisen z. B. bezüglich Ernährung, Körperhaltung, technische Anwendungen z. B. Produktion von Nahrungsmitteln, Gebrauchsgegenständen aus Naturprodukten bzw. technischer Anlagen in der</t>
  </si>
  <si>
    <t>Kriterien messen, - die Ergebnisse wichten, - einen Standpunkt formulieren. Bewerten von naturwissenschaftlich bedeutsamen Sachverhalten - ausgewählte Entscheidungen, Maßnahmen und Verhaltensweisen bewerten, d. h. Maßnahmen zur gesundheitsfördernden Lebensweise und entsprechende Verhaltensweisen z. B. bezüglich Ernährung, Körperhaltung, technische Anwendungen z. B. Produktion von Nahrungsmitteln, Gebrauchsgegenständen aus Naturprodukten bzw. technischer Anlagen in der Pflanzenproduktion/Tierhaltung, die Haltung von Heim- und Nutztieren, die Auswirkungen von</t>
  </si>
  <si>
    <t>Alleldrift; Fitness Artbildung als Folge von geographischer und ökologischer Isolation; reproduktive Isolation und populationsgenetischer Artbegriff; Problematik des Artbegriffs Koevolution: mutualistisch, antagonistisch B Lernbereich : Verhaltensökologie - Evolution und Angepasstheit von Verhalten ca. Std. Kompetenzerwartungen Die Schülerinnen und Schüler ... erklären das Auftreten verschiedener Verhaltensweisen, indem sie deren Einfluss auf die Gesamtfitness des Lebewesens beurteilen. wenden Methoden der verhaltensökologischen Forschung an, um</t>
  </si>
  <si>
    <t>Verhaltensweisen zum Überleben des Individuums bei Kooperation, Aggression und Fortpflanzung zu analysieren und deren Bedeutung für die Weitergabe der genetischen Information zu erklären. Inhalte zu den Kompetenzen: adaptiver Wert von Verhalten; direkte und indirekte reproduktive Fitness verhaltensökologische Forschung: Kosten-Nutzen-Analyse, Optimalitätsmodell, ggf. vergleichende Methode Überleben des Individuums: energieeffizientes Verhalten, Nahrungserwerb, Habitatwahl, ggf. weitere Kooperation und Altruismus: bei Nahrungserwerb, Verteidigung, Jungenaufzucht, ggf. weitere</t>
  </si>
  <si>
    <t>Weitergabe der genetischen Information zu erklären. Inhalte zu den Kompetenzen: adaptiver Wert von Verhalten; direkte und indirekte reproduktive Fitness verhaltensökologische Forschung: Kosten-Nutzen-Analyse, Optimalitätsmodell, ggf. vergleichende Methode Überleben des Individuums: energieeffizientes Verhalten, Nahrungserwerb, Habitatwahl, ggf. weitere Kooperation und Altruismus: bei Nahrungserwerb, Verteidigung, Jungenaufzucht, ggf. weitere Aggression: Intensitätsstufen Drohen, Kommentkampf, Beschädigungskampf, Aggressionskontrolle Rangordnung, Territorialität, ggf. weitere Fortpflanzung: Partnerwahl Handicap-Prinzip, Paarungssysteme Monogamie, Polygamie, Elternaufwand</t>
  </si>
  <si>
    <t>populationsgenetischer Artbegriff; Problematik des Artbegriffs Koevolution: mutualistisch, antagonistisch B Lernbereich : Verhaltensökologie - Evolution und Angepasstheit von Verhalten ca. Std. Kompetenzerwartungen Die Schülerinnen und Schüler ... erklären das Auftreten verschiedener Verhaltensweisen, indem sie deren Einfluss auf die Gesamtfitness des Lebewesens beurteilen. wenden Methoden der verhaltensökologischen Forschung an, um Verhaltensweisen zum Überleben des Individuums bei Kooperation, Aggression und Fortpflanzung zu analysieren und</t>
  </si>
  <si>
    <t>ca. Std. Kompetenzerwartungen Die Schülerinnen und Schüler ... erklären das Auftreten verschiedener Verhaltensweisen, indem sie deren Einfluss auf die Gesamtfitness des Lebewesens beurteilen. wenden Methoden der verhaltensökologischen Forschung an, um Verhaltensweisen zum Überleben des Individuums bei Kooperation, Aggression und Fortpflanzung zu analysieren und deren Bedeutung für die Weitergabe der genetischen Information zu erklären. Inhalte zu den Kompetenzen: adaptiver Wert von Verhalten;</t>
  </si>
  <si>
    <t>verschiedener Einstellungen gefördert. Prävention und Gesundheitsförderung PG Traditionell kommt dem Fach Biologie eine wichtige Rolle bei den Themen Prävention und Gesundheitsförderung zu. Darunter wird nicht nur die Vermeidung von gesundheitsschädlichem Verhalten, sondern auch die Stärkung von Resilienz verstanden. Der Mensch selbst ist Gegenstand des Biologieunterrichts. Dies trägt dazu bei, dass sich Kinder und Jugendliche altersangemessen mit ihrem Körper auseinandersetzen und fördert</t>
  </si>
  <si>
    <t>eines Phänomens angemessen. Lebensweltbezogenes Lernen Biologisches Wissen ermöglicht die Erklärung von Lebensprozessen, insbesondere auch die der eigenen Person, sowie von evolutionären Entwicklungsprozessen. Dies beeinflusst das Handeln in unterschiedlichen Alltagssituationen, gesundheitsgerechtes Verhalten und den nachhaltigen Umgang mit Ressourcen. Die Lernenden erhalten einen fachlichen Zugang zu lebensweltbezogenen Problemen, z. B. zum Erhalt der Biodiversität, zu den Folgen der Globalisierung oder zu Auswirkungen der</t>
  </si>
  <si>
    <t>den Verlauf des weiblichen Zyklus ableiten Kommunikationskompetenz - biologische Veränderungen während der Pubertät darstellen - Möglichkeiten der Prävention vor sexuellem Missbrauch reflektieren und mit Alltagssituationen in Beziehung setzen z. B. Verhalten in Gefahrensituationen Bewertungskompetenz - Darstellungen in den digitalen Medien im Hinblick auf sexuelle Aspekte und Rollenbilder beurteilen - sexuelle Selbstbestimmung in unterschiedlichen Situationen reflektieren und begründet Stellung nehmen Grundlegende Wissensbestände</t>
  </si>
  <si>
    <t>im Sinne einer nachhaltigen Entwicklung aus ökologischer, ökonomischer und sozialer Perspektive bewerten z. B. Veredelung von Nahrungsmitteln, Abfallbeseitigung, nachhaltige Abfallvermeidung - Maßnahmen zur Abfallbeseitigung, Mülltrennung und -vermeidung bewerten sowie eigenes Verhalten reflektieren Grundlegende Wissensbestände - Bakterien- und Hefezelle: Bau, Vermehrung, Ernährungsweisen, Angepasstheit an Umweltbedingungen - Bedeutung der Bakterien in der Natur: Zersetzung und Humusbildung - Bedeutung der Bakterien und Hefepilze für</t>
  </si>
  <si>
    <t>für Menschen ableiten - exemplarisch Nahrungsbeziehungen mit wirbellosen Tieren erläutern - Fortpflanzung und Entwicklung von Insekten beschreiben sowie die Abhängigkeit der Populationsentwicklung von Umweltfaktoren begründen Erkenntnisgewinnungskompetenz SE einfache Experimente zum Verhalten von wirbellosen Tieren nach Anleitung durchführen, protokollieren und auswerten MIK Baumerkmale von Insekten mikroskopieren sowie Struktur- und Funktionszusammenhänge ableiten - Wirbellose untereinander und mit Wirbeltieren kriteriengeleitet vergleichen EXK Bau und</t>
  </si>
  <si>
    <t>unvollständige Metamorphose bei Insekten - Wechselwirkung von Lebensbedingungen und Fortpflanzungsrate - Bedeutung der Honigbiene und anderer Insekten für den Menschen - Population, Massenvermehrung von Insekten, Schädlingsbekämpfung, Nahrungsbeziehungen Verbindliche Schülerexperimente - Verhalten wirbelloser Tiere Möglichkeiten zur Abstimmung in den Schuljahrgängen / - Geographie: Unterschiedliche Natur- und Lebensräume analysieren und erläutern eine Kausalkette zu Eingriffen des Menschen in den Naturhaushalt und deren Folgen</t>
  </si>
  <si>
    <t>zwischen ungesunder Lebensweise und möglichen Erkrankungen bzw. Verminderung der Lebensqualität darstellen sowie Schlussfolgerungen für das eigene Handeln anhand von Kriterien ableiten - Infektionsrisiken und Möglichkeiten der Immunisierung reflektieren - sexuelles Verhalten des Menschen unter biologischen und ethischen Gesichtspunkten reflektieren z. B. Schwangerschaftsverhütung und -abbruch, sexuelle Orientierungen, sexuell übertragbare Infektionen, Pornographie Grundlegende Wissensbestände - Organe und Organsysteme des Menschen als System: Verdauungssystem,</t>
  </si>
  <si>
    <t>Risikofaktoren und Auswirkung von Süchten und Stress kriteriengeleitet bewerten - Maßnahmen und Verhaltensweisen zur Erhaltung der eigenen Gesundheit beurteilen und soziale Verantwortung exemplarisch ableiten - Einfluss der Umwelt auf eigenes Verhalten bewerten z. B. Gruppennorm, Stressoren Grundlegende Wissensbestände - Reizbarkeit und Reizreaktion: Reiz-Reaktionsbeziehung, unbedingter und bedingter Reflex - Nervensysteme: netzförmiges Nervensystem, Strickleiter-Nervensystem, Zentralnervensystem - Struktur und Funktion ausgewählter Bereiche des menschlichen</t>
  </si>
  <si>
    <t>Stellung nehmen z. B. regenerative Energien, Recycling - gesellschaftliche Handlungsoptionen einer umwelt- und naturverträglichen Teilhabe im Sinne der Nachhaltigkeit erörtern z. B. nachwachsende Rohstoffe, Landschaftsgestaltung, Erhalt der Biodiversität - eigenes Verhalten mithilfe des ökologischen Fußabdruckes im Hinblick auf Klimaneutralität reflektieren Grundlegende Wissensbestände - Systemebenen: Biosphäre, Ökosystem, Organismus, Organsystem, Organ, Gewebe, Zelle, Zellorganelle - biotische und abiotische Faktoren Toleranzbereich am Beispiel der</t>
  </si>
  <si>
    <t>Prozess der Erkenntnisgewinnung reflektieren - Methoden zur Erforschung der Stammesgeschichte auf phänotypischer und molekulargenetischer Ebene erläutern sowie Möglichkeiten und Grenzen des Erkenntnisgewinnungsprozesses reflektieren Kriterien wissenschaftlicher Wissensproduktion zum adaptiven Wert von Verhalten reflektieren Evidenzbasierung, Theorieorientierung - Fragestellungen zur selektiven Wirkung von Umweltfaktoren entwickeln - Variabilität und Angepasstheit von Organismen anhand von Naturobjekten beobachten und beschreiben sowie phylogenetische Fragestellungen entwickeln Kommunikationskompetenz - Ergebnisse</t>
  </si>
  <si>
    <t>B. Diabetes - chemische Zeichensprache auf biologische Prozesse anwenden Bewertungskompetenz - Möglichkeiten und Grenzen biologischer Sichtweisen z. B. experimentelle Methode beurteilen - zu Zusammenhängen zwischen Diabetes und Lebensführung sowie eigenem Verhalten kriteriengeleitet Meinungen bilden und Entscheidungen auf der Grundlage von Sachinformationen und Werten treffen Grundlegende Wissensbestände - Systemebenen am Beispiel des Verdauungssystems des Menschen - Aufbau der tierischen Zelle elektronenmikroskopisches Bild</t>
  </si>
  <si>
    <t>Herkunft in Bezug auf spezifische Interessenlagen beurteilen - anhand relevanter Bewertungskriterien Handlungsoptionen in gesellschaftlich oder alltagsrelevanten Entscheidungssituationen in Bezug auf den Missbrauch von Drogen und leistungssteigernden Substanzen entwickeln und eigenes Verhalten abwägen Bezüge zu den fächerübergreifenden Themen gemäß Grundsatzband Kap. Gesundheit und Wohlergehen Deutsch, Latein, Physik, Geschichte, Ethikunterricht, Informatik, Sport Bildung, Kultur und lebenslanges Lernen Deutsch, Englisch, Französisch, Spanisch, Russisch, Italienisch,</t>
  </si>
  <si>
    <t>Simulationen analysieren und den Prozess der Erkenntnisgewinnung reflektieren - Methoden zur Erforschung der Stammesgeschichte erläutern sowie Möglichkeiten und Grenzen des Erkenntnisgewinnungsprozesses reflektieren - Kriterien wissenschaftlicher Wissensproduktion zum adaptiven Wert von Verhalten reflektieren Evidenzbasierung, Theorieorientierung - Hypothesen zu einzelnen Aspekten der Evolution des Menschen anhand von Materialien widerlegen oder stützen - Fragestellungen zur selektiven Wirkung von Umweltfaktoren entwickeln - Variabilität und Angepasstheit</t>
  </si>
  <si>
    <t>und den Prozess der Erkenntnisgewinnung reflektieren - eine morphologische und eine molekulare Methode zur Erforschung der Stammesgeschichte auf phänotypischer und molekulargenetischer Ebene erläutern Kriterien wissenschaftlicher Wissensproduktion zum adaptiven Wert von Verhalten reflektieren Evidenzbasierung, Theorieorientierung - Variabilität und Angepasstheit von Organismen anhand von Naturobjekten beobachten und beschreiben sowie phylogenetische Fragestellungen entwickeln Kommunikationskompetenz Ergebnisse evolutionärer Prozesse veranschaulichen, dazu kriterienund evidenzbasiert ohne finale Begründungen</t>
  </si>
  <si>
    <t>und Effektoren unter Berücksichtigung energetischer Aspekte exemplarisch erläutern - biologische Grundlagen von Sucht und Stress materialgestützt ableiten - lebensrettende Sofortmaßnahmen begründen - Wirkmechanismen von Hormonen materialgestützt erklären - Grundelemente des Verhaltens auf proximater Ebene im Zusammenhang mit Reflexen sowie dem Schlüsselreiz-AAM-Konzept exemplarisch erläutern - Lernvorgänge als Modifikation erbbedingter Verhaltensweisen exemplarisch beschreiben Erkenntnisgewinnungskompetenz - Messergebnisse zu Membranpotenzialen mithilfe der Ionentheorie der Erregung</t>
  </si>
  <si>
    <t>Sinneszelle - Struktur und Funktion der Fotorezeptoren, Rezeptorpotenzial - Hormone: Hormonwirkung Steroidhormone und Peptidhormone, Verschränkung hormoneller und neuronaler Steuerung - Stress: Adrenalin als Stresshormon, Eustress, Disstress - proximate Ebene des Verhaltens: Reflexbogen, klassische Konditionierung, SchlüsselreizAAM-Konzept, Attrappenversuch Simultanwahl, Sukzessivmethode - zelluläre Prozesse des Lernens: einfache Modellvorstellungen zur neuronalen Plastizität, Langzeitpotenzierung - Bedeutung neurophysiologischer Verfahren Verbindliche Schülerexperimente - ein Experiment zum Sehvorgang Adaptation,</t>
  </si>
  <si>
    <t>biotechnologischen Insulinproduktion mediengestützt auswerten und digital präsentieren Bewertungskompetenz - Interaktion von Sinnesorganen und Gehirn des Menschen reflektieren - Risikofaktoren und Auswirkung von Süchten und Stress kriteriengeleitet bewerten - Maßnahmen und Verhaltensweisen zur Erhaltung der eigenen Gesundheit beurteilen und soziale Verantwortung exemplarisch ableiten - Einfluss der Umwelt auf eigenes Verhalten bewerten z. B. Gruppennorm, Stressoren Grundlegende Wissensbestände - Reizbarkeit und Reizreaktion: Reiz-Reaktionsbeziehung,</t>
  </si>
  <si>
    <t>lebensrettende Sofortmaßnahmen begründen - Wirkmechanismen von Hormonen materialgestützt erklären - Grundelemente des Verhaltens auf proximater Ebene im Zusammenhang mit Reflexen sowie dem Schlüsselreiz-AAM-Konzept exemplarisch erläutern - Lernvorgänge als Modifikation erbbedingter Verhaltensweisen exemplarisch beschreiben Erkenntnisgewinnungskompetenz - Messergebnisse zu Membranpotenzialen mithilfe der Ionentheorie der Erregung auswerten - Erregungsleitung an unterschiedlichen Axontypen vergleichen - Beeinflussungen der Erregungsübertragung durch Stoffeinwirkung exemplarisch ableiten CS mathematische Modelle,</t>
  </si>
  <si>
    <t>Nervenzellen Basiskonzept System, das in der Unterrichtseinheit Nervensystem vertieft wird. In der Unterrichtseinheit Suchtmittel und Süchte erhalten die Schülerinnen und Schüler ein fundiertes Fachwissen über Merkmale und Formen von süchtigem Verhalten, sodass sie in der Lage sind, kompetent über dieses Thema zu diskutieren und Alltagsvorstellungen hierzu in Beziehung zu setzen Kompetenzbereich Kommunikation. Darauf aufbauend bewerten sie die Folgen der Sucht sowohl</t>
  </si>
  <si>
    <t>Verlangen nach einem bestimmten Erlebniszustand, diskutieren Merkmale der Sucht und setzten sie in Beziehung zu Alltagsvorstellungen, unterscheiden stoffgebundene und stoffungebundene Süchte, unterscheiden legale und illegale Suchtmittel, geben an, dass riskantes Verhalten in Bezug auf Suchtstoffe und suchtpotente Medien sich schädigend auswirken kann, bewerten Komatrinken als Beispiel für riskantes Verhalten in Bezug auf den Suchtstoff Alkohol, geben gesundheitliche und soziale Beeinträchtigungen als</t>
  </si>
  <si>
    <t>und stoffungebundene Süchte, unterscheiden legale und illegale Suchtmittel, geben an, dass riskantes Verhalten in Bezug auf Suchtstoffe und suchtpotente Medien sich schädigend auswirken kann, bewerten Komatrinken als Beispiel für riskantes Verhalten in Bezug auf den Suchtstoff Alkohol, geben gesundheitliche und soziale Beeinträchtigungen als Folgen von Suchtmittelmissbrauch an, diskutieren die Folgen von Suchtmittelmissbrauch für die Gesundheit und die soziale Situation des/der Konsumierenden</t>
  </si>
  <si>
    <t>Dies ist insbesondere der Fall, wenn illegale Suchtmittel konsumiert werden oder wenn durch den Konsum legaler Suchtmittel geltende rechtliche Regelungen zum Beispiel des Jugendschutzgesetzes oder des Nichtraucherschutzgesetzes verletzt werden. Missbräuchliches Verhalten liegt auch vor, wenn sich das problematische Verhalten nicht auf Substanzen bezieht, sondern auf Tätigkeiten wie zum Beispiel den Gebrauch von Glücksspielen, von elektronischen Medien sowie des PC, problematisches Kaufverhalten</t>
  </si>
  <si>
    <t>konsumiert werden oder wenn durch den Konsum legaler Suchtmittel geltende rechtliche Regelungen zum Beispiel des Jugendschutzgesetzes oder des Nichtraucherschutzgesetzes verletzt werden. Missbräuchliches Verhalten liegt auch vor, wenn sich das problematische Verhalten nicht auf Substanzen bezieht, sondern auf Tätigkeiten wie zum Beispiel den Gebrauch von Glücksspielen, von elektronischen Medien sowie des PC, problematisches Kaufverhalten sowie die verschiedenen Formen der Essstörungen als psychosomatische</t>
  </si>
  <si>
    <t>Folgen von Suchtmittelmissbrauch für die Gesundheit und die soziale Situation des/der Konsumierenden und für seine Mitmenschen, geben an, dass Suchtprävention auf die Verhinderung der Entwicklung riskanten bzw. süchtigen oder abhängigen Verhaltens zielt und dazu befähigen soll, verantwortungsvoll mit Suchtstoffen und suchtpotenten Medien umzugehen. diskutieren persönliche und schulische Präventionsmaßnahmen, recherchieren vorhandene Beratungs- und Hilfsangebote. Hinweise Hinweise zu den inhaltsbezogenen Kompetenzen - Funktionen</t>
  </si>
  <si>
    <t>Nahrung bzw. das Sonnenlicht Lebewesen wandeln Energie um Kohlenhydrate und Fette als Energieträger Lichtenergie als Energiequelle für die Fotosynthese Ökosysteme sind durch Stoffkreisläufe und Energieflüsse gekennzeichnet Einführungsphase Trophiestufen Kosten-Nutzen-Analyse von Verhalten Q-Phase Energieumwandlung bei Assimilation und Dissimilation ATP als universeller Energieträger Reaktionsschema ATP-Umwandlung Energie wird nicht verbraucht, sondern nur umgewandelt. Es gibt unterschiedliche Energieformen. Energieumwandlungen werden auf molekulare Prozesse zurückgeführt. Begriffe</t>
  </si>
  <si>
    <t>und nicht erneuerbare Ressourcen Ökosysteme Bevölkerungswachstum nachhaltige Artennutzung natürliche Ressourcen persönlicher Material- und Energieverbrauch Schutz menschlicher Populationen Lebensqualität Nahrungsmittelerzeugung Nahrungsmittelverteilung Energieversorgung Biodiversität ökologische Nachhaltigkeit Umweltschutz Bodenertrag und Bodenschwund Umwelt umweltverträgliches Verhalten Nutzung und Entsorgung von Materialien Bevölkerungsverteilung, Abfallentsorgung, Umweltfolgen, örtliche Wetterverhältnisse Klimawandel Folgen moderner Kriegsführung Gefahren Naturgefahren vom Menschen ausgehende Gefahren rasche Veränderungen Erdbeben, Unwetter langsame, allmähliche Veränderungen Küstenerosion, Sedimentablagerung Risikoabschätzung</t>
  </si>
  <si>
    <t>die Basiskonzepte der EPA werden hier zunächst die Kennzeichen des Lebens eingeführt. Reizbarkeit Lebewesen orientieren sich Sich in der Welt zurechtfinden - jeder macht es anders Umweltreize Sinnesorgane der Tiere Verhalten eines Wirbeltieres Kommunikation Sek I - IK Variabilität und Angepasstheit Sek I - VA Bewegung Lebewesen bewegen sich Rennen, schwimmen, fliegen, kratzen- kein Tier kann alles Hände und Arme -</t>
  </si>
  <si>
    <t>SE- IK- VA- VA- Evolution SF- SF- R- R- SR- SR- SE- IK- VA- VA- VA- VA- VA- VA- GV- GV- GV- GV- GV- GV- GV- GV- GV- Neurobiologie und Verhalten R- K- SR SE- IK- IK- VA- VA- Unterricht in der Einführungsphase - Evolutionsökologie Die Geschichte des Lebens auf der Erde umfasst nicht allein die Evolution der einzelnen Stammeslinien Phylogenie,</t>
  </si>
  <si>
    <t>OS-VA OS-VA OS-VA OS-VA OS-GV OS-GV OS-GV OS-GV Artbildung Wie konnte alles entstehen Die Bildung von Arten erklären Wie kann die Entstehung von Arten erklärt werden Wie kann man das Verhalten von Tieren erklären Evolutionsfaktoren Artbildung Synthetische Evolutionstheorie proximate und ultimate Ursachen von Verhalten Kosten-Nutzen-Analyse von Verhaltensweisen Verwandtschaft Die Vergangenheit rekonstruieren Verwandtschaften erklären und darstellen Wie kann man Verwandtschaft nachweisen und</t>
  </si>
  <si>
    <t>Die Bildung von Arten erklären Wie kann die Entstehung von Arten erklärt werden Wie kann man das Verhalten von Tieren erklären Evolutionsfaktoren Artbildung Synthetische Evolutionstheorie proximate und ultimate Ursachen von Verhalten Kosten-Nutzen-Analyse von Verhaltensweisen Verwandtschaft Die Vergangenheit rekonstruieren Verwandtschaften erklären und darstellen Wie kann man Verwandtschaft nachweisen und darstellen Stammbäume Stammbaum der Wirbeltiere Homologie, Analogie, Divergenz und Konvergenz Fossilien Den Menschen</t>
  </si>
  <si>
    <t>Zelltod Proteinbiosynthese bei Eukaryoten Embryonalstadien und Entwicklung im Mutterleib gentechnische Verfahren in der Tier- und Pflanzenzüchtung gentechnische Verfahren in der Medizin Lernabschnitt : Fortpflanzung genetische Vielfalt des Menschen MHC-System Partnerwahl -Verhalten Verhalten während der Schwangerschaft Lernabschnitt : Fruchtbarkeit Ursachen für Unfruchtbarkeit Präimplantationsdiagnostik PID In-vitro-/in-vivo-Fertilisation Leihmutterschaft Adoption Lernabschnitt : Evolution des Menschen aktueller molekulargenetischer Stammbaum der Hominiden und des Menschen Faktoren der</t>
  </si>
  <si>
    <t>Proteinbiosynthese bei Eukaryoten Embryonalstadien und Entwicklung im Mutterleib gentechnische Verfahren in der Tier- und Pflanzenzüchtung gentechnische Verfahren in der Medizin Lernabschnitt : Fortpflanzung genetische Vielfalt des Menschen MHC-System Partnerwahl -Verhalten Verhalten während der Schwangerschaft Lernabschnitt : Fruchtbarkeit Ursachen für Unfruchtbarkeit Präimplantationsdiagnostik PID In-vitro-/in-vivo-Fertilisation Leihmutterschaft Adoption Lernabschnitt : Evolution des Menschen aktueller molekulargenetischer Stammbaum der Hominiden und des Menschen Faktoren der Menschwerdung</t>
  </si>
  <si>
    <t>In-vitro-/in-vivo-Fertilisation Leihmutterschaft Adoption Lernabschnitt : Evolution des Menschen aktueller molekulargenetischer Stammbaum der Hominiden und des Menschen Faktoren der Menschwerdung Neurone neuronale Netze das menschliche Gehirn als Produkt der Evolution angeborenes Verhalten beim Menschen Lernprozesse bei Tieren und beim Menschen die Synthetische Evolutionstheorie widerspricht kreationistischen Vorstellungen In Kapitel Seite der Fachanforderungen Biologie werden die Grundlagen für die schriftliche und mündliche Abiturprüfung im</t>
  </si>
  <si>
    <t>Schüler... ./ Jahrgang Jahrgang Jahrgang . Jahrgang Sek I - IK Informationsaufnahme ist die Grundlage für Kommunikation. beschreiben die Informationsaufnahme als Grundlage für die Reaktion von Lebewesen auf ihre Umwelt. Verhalten eines Wirbeltieres Sek I - IK Sinnesorgane ermöglichen die Aufnahme von Information. beschreiben die Aufnahme von Information durch Sinnesorgane. Sinnesorgane bei Wirbeltieren als Rezeptoren für Reize aus der Umwelt Sek</t>
  </si>
  <si>
    <t>Modellorganismus Parasexualität bei Bakterien Transformation Konjugation Transduktion beschreiben und erklären Sonderfälle bei sexuell reproduktiven Organismen. z.B. Parthenogenese OS - R Die Partnerwahl basiert auf genetischer Disposition. beschreiben und erklären artspezifisches Verhalten bei der Partnerfindung und beim Paarungsverhalten. Partnerfindung durch: Lockstoffe akustische Verfahren Balz sexuelle Selektion Paarungssysteme MHC-System beschreiben und erklären die unterschiedlichen Fortpflanzungsstrategien im weiblichen und männlichen Geschlecht. weibliches Investment in</t>
  </si>
  <si>
    <t>Arten mit der Synthetischen Evolutionstheorie. Artbegriff Isolationsmechanismen allopatrische und sympatrische Artbildung Genfluss adaptive Radiation OS - VA Verhaltensweisen können mit Hilfe von proximaten und ultimaten Ursachen erklärt werden. erklären das Verhalten von Tieren, indem sie zwischen proximaten und ultimaten Ursachen von Verhalten unterscheiden. proximate und ultimate Ursachen von Verhalten Kosten-Nutzen-Analyse von Verhalten OS - VA Die Variabilität und Angepasstheit des Menschen</t>
  </si>
  <si>
    <t>Genfluss adaptive Radiation OS - VA Verhaltensweisen können mit Hilfe von proximaten und ultimaten Ursachen erklärt werden. erklären das Verhalten von Tieren, indem sie zwischen proximaten und ultimaten Ursachen von Verhalten unterscheiden. proximate und ultimate Ursachen von Verhalten Kosten-Nutzen-Analyse von Verhalten OS - VA Die Variabilität und Angepasstheit des Menschen beruht auf der Leistungsfähigkeit seines Gehirns. begründen die menschliche Anpassungsfähigkeit mit</t>
  </si>
  <si>
    <t>können mit Hilfe von proximaten und ultimaten Ursachen erklärt werden. erklären das Verhalten von Tieren, indem sie zwischen proximaten und ultimaten Ursachen von Verhalten unterscheiden. proximate und ultimate Ursachen von Verhalten Kosten-Nutzen-Analyse von Verhalten OS - VA Die Variabilität und Angepasstheit des Menschen beruht auf der Leistungsfähigkeit seines Gehirns. begründen die menschliche Anpassungsfähigkeit mit der Leistungsfähigkeit seines Gehirns. Bau und Leistungen</t>
  </si>
  <si>
    <t>von proximaten und ultimaten Ursachen erklärt werden. erklären das Verhalten von Tieren, indem sie zwischen proximaten und ultimaten Ursachen von Verhalten unterscheiden. proximate und ultimate Ursachen von Verhalten Kosten-Nutzen-Analyse von Verhalten OS - VA Die Variabilität und Angepasstheit des Menschen beruht auf der Leistungsfähigkeit seines Gehirns. begründen die menschliche Anpassungsfähigkeit mit der Leistungsfähigkeit seines Gehirns. Bau und Leistungen des menschlichen Gehirns.</t>
  </si>
  <si>
    <t>Basiskonzepts Information und Kommunikation / - Oberstufe Population Kommunikationsprozesse stabilisieren soziale Verbände. Kommunikation ist ein zentraler Bestandteil der Evolution des Menschen. OS-IK,OS-IK Organismus Informationsaufnahme und Verarbeitung sind die Grundlage des Verhaltens von Wirbeltieren. Sek I-IK Aufnahme, Verarbeitung und Weitergabe von Informationen werden bestimmten Organen zugeordnet. Sek I-IK, Sek I-IK, Sek I-IK Kommunikationsprozesse werden genauer analysiert und immer stärker abstrahiert Codieren -</t>
  </si>
  <si>
    <t>ermöglicht den Gasaustausch. Verdauung, Blutkreislauf und äußere Atmung ermöglichen die Energiebereitstellung. Sek I-SE, Sek I-SE, Sek I-SE, Sek I-SE Lebewesen werden als offene Systeme in einem Fließgleichgewicht beschrieben. Kosten-Nutzen-Analysen von Verhaltensweisen werden vorgenommen. Es wird die Energieumwandlung von autotrophen und heterotrophen Organismen verglichen. OS-SE, OS-SE, OS-SE, OS-SE Zelle Fotosynthese und Zellatmung sind die grundlegenden Prozesse der Stoff- und Energieumwandlung. Sek I-SE</t>
  </si>
  <si>
    <t>Schwerpunkte, bevor zum Ende der Schulzeit die aktuellen Erkenntnisse zur Evolution des Menschen vorgestellt werden. Das menschliche Gehirn als Ergebnis eines Evolutionsprozesses sowie die proximate und ultimate Sicht auf die Verhaltensweisen von Organismen beenden das schulische Lernen in der Sekundarstufe II. Konzept entspricht der vorgeschlagenen Vorgehensweise und setzt das in Kapitel vorgestellte didaktische Konzept für die Sekundarstufe I und II um</t>
  </si>
  <si>
    <t>Evolutionsfaktoren geklärt Artbildung Artbildungsprozesse werden durch die Synthetische Evolutionstheorie erklärt. Der Organismus wird als Mitglied einer Art in seiner Population Artbegriff und als Teil des Ökosystems beschrieben. Proximate und ultimate Verhaltensweisen von Tieren werden thematisiert. Verwandtschaft Da alle Lebewesen durch einen gemeinsamen Evolutionsprozess entstanden sind, besteht zwischen ihnen Verwandtschaft. Der Grad der Verwandtschaft lässt sich in Stammbäumen darstellen. Auf molekulargenetische Aspekte</t>
  </si>
  <si>
    <t>Arten erklären Wie kann die Entstehung von Arten erklärt werden Wie kann man das Verhalten von Tieren erklären Evolutionsfaktoren Artbildung Synthetische Evolutionstheorie proximate und ultimate Ursachen von Verhalten Kosten-Nutzen-Analyse von Verhaltensweisen Verwandtschaft Die Vergangenheit rekonstruieren Verwandtschaften erklären und darstellen Wie kann man Verwandtschaft nachweisen und darstellen Stammbäume Stammbaum der Wirbeltiere Homologie, Analogie, Divergenz und Konvergenz Fossilien Den Menschen als Teil und</t>
  </si>
  <si>
    <t>globaler Einfluss Sek I - SE Nachhaltigkeit bedeutet, ein Ökosystem zu nutzen, ohne die Existenzgrundlage des Menschen zu zerstören. erklären Nachhaltigkeit als die Bewahrung der natürlichen Regenerationsfähigkeit der Biosphäre. beschreiben Verhaltensweisen, die ein Ökosystem nutzen, ohne die Existenzgrundlage des Menschen zu zerstören. Nachhaltigkeitsdreieck Anwendungen auf die persönliche Lebensweise der Lernenden Tabelle Verteilung der Unterrichtsinhalte des Basiskonzepts Information und Kommunikation in der</t>
  </si>
  <si>
    <t>wieder abgeben. Produzenten Konsumenten Destruenten OS - SE Die Energiemenge, die ein Organismus Individuum in Lebensprozesse investieren kann, ist beschränkt. beschreiben unterschiedliche Strategien der Energienutzung bei Organismen. Kosten-Nutzen-Analyse anwenden auf Verhaltensweisen OS - SE Autotrophe und heterotrophe Organismen nutzen unterschiedliche Prozesse des Energieumsatzes. unterscheiden zwischen Assimilation und Dissimilation. Assimilation als aufbauender Stoffwechselprozess Dissimilation als abbauender Stoffwechselprozess OS - SE Autotrophe Organismen</t>
  </si>
  <si>
    <t>Arten beruht auf der Isolation von Teilpopulationen. beschreiben und erklären die Entstehung von Arten mit der Synthetischen Evolutionstheorie. Artbegriff Isolationsmechanismen allopatrische und sympatrische Artbildung Genfluss adaptive Radiation OS - VA Verhaltensweisen können mit Hilfe von proximaten und ultimaten Ursachen erklärt werden. erklären das Verhalten von Tieren, indem sie zwischen proximaten und ultimaten Ursachen von Verhalten unterscheiden. proximate und ultimate Ursachen von</t>
  </si>
  <si>
    <t>dieser Grundlage die Aussagen zur Sicherheit kritisch reflektieren E, E, B. Bewertung Die Schülerinnen und Schüler können die Übernahme von Verantwortung für sich selbst und andere im Hinblick auf sexuelles Verhalten an Fallbeispielen diskutieren B, K, bei Aussagen zu unterschiedlichen Formen sexueller Orientierung und geschlechtlicher Identität Sachinformationen von Wertungen unterscheiden B, Verhütungsmethoden und die Pille danach kriteriengeleitet vergleichen und Handlungsoptionen für</t>
  </si>
  <si>
    <t>Pubertät und unterstützt die Persönlichkeitsentwicklung durch die Reflexion der eigenen Rolle und des eigenen Handelns. Leitend sind insgesamt die Erziehung zu partnerschaftlichem und verantwortungsbewusstem Handeln, zu Respekt vor verschiedenen sexuellen Verhaltens weisen und Orientierungen sowie zum Nein-Sagen-Können in unterschiedlichen Zusammenhängen und Situationen. Das biologische Fachwissen bildet eine Grundlage für die Übernahme von Verantwortung in einer Partnerschaft und in der Schwangerschaft. Es</t>
  </si>
  <si>
    <t>k d k ti Es ist wichtig, die vielfältigen Bedürfnisse und Interessen von Mädchen und Jungen sowie Lernenden mit weiteren Geschlechtsidentitäten zu berücksichtigen, die z. B. in Sprache, Idolen, Mode, Verhalten und Umgang miteinander zum Ausdruck kommen. Es bietet sich an, ihre spezifischen Fragen und Äußerungsformen als Motor für lebendiges Lernen in den Mittelpunkt des Unterrichts zu stellen. Der Unterricht kann</t>
  </si>
  <si>
    <t>medizinische, hygienische, psychologische und sexualwissenschaftliche Grundlagen ermöglicht. Es soll sowohl Sachinformationen über die körperliche Entwicklung und die damit verbundenen Veränderungen im emotionalen Bereich enthalten als auch sexuelles Erleben und sexuelle Verhaltensweisen fl kti d di k ti S l i h f l t i d S h l d ät li h k d k ti Es ist wichtig, die</t>
  </si>
  <si>
    <t>Vergleichen sowie Modellbildung und Simulation. Das Sammeln von Daten und der Umgang mit Diagrammen sind weitere zu entwickelnde naturwissenschaftliche Kompetenzen. Das experimentelle Arbeiten erfordert planvolles Vorgehen, Beständigkeit, Teamfähigkeit und kommunikatives Verhalten. Die Schülerinnen und Schüler übernehmen dabei Verantwortung für sich und andere. Darüber hinaus erwerben sie die Fähigkeit, Probleme zu erkennen, sich kritisch mit bestehenden Meinungen und Urteilen auseinanderzusetzen und sich</t>
  </si>
  <si>
    <t>zu erheblichen Umwelt- und Gesundheitsproblemen. Die Auseinandersetzung mit den Umweltauswirkungen und den gesundheitlichen Belastungen durch Schadstoffe in der Luft sind geeignet, ein Bewusstsein dafür zu vermitteln, dass jeder durch sein Verhalten zur Reinhaltung der Luft und Erhaltung der eigenen Gesundheit beitragen kann. Zur Erkundung der Organstruktur wären Untersuchungen an der Schweinelunge sinnvoll. Emotionale Reaktionen bei der Arbeit mit dem Originalobjekt müssen</t>
  </si>
  <si>
    <t>Erkenntnismethoden und Arbeitstechniken leiten den Unterricht grundsätzlich und sind bei jedem Rahmenthema zu berücksichtigen. Basiskonzepte Rahmenthemen Struktur und Funktion, mit Angepasstheit mit Variabilität und Vielfalt der Organismen Lernen, Wahrnehmung und Verhalten Immunität und Immunisierung System mit Steuerung und Regelung mit Stoffwechsel und Energieumwandlung mit Wechselwirkungen Lernen, Wahrnehmung und Verhalten Leistungsfähigkeit durch energiereiche Stoffe Immunität und Immunisierung Zusammenhänge im Ökosystem Entwicklung mit</t>
  </si>
  <si>
    <t>Funktion, mit Angepasstheit mit Variabilität und Vielfalt der Organismen Lernen, Wahrnehmung und Verhalten Immunität und Immunisierung System mit Steuerung und Regelung mit Stoffwechsel und Energieumwandlung mit Wechselwirkungen Lernen, Wahrnehmung und Verhalten Leistungsfähigkeit durch energiereiche Stoffe Immunität und Immunisierung Zusammenhänge im Ökosystem Entwicklung mit Reproduktion mit Evolution Entwicklung und Verantwortung Leben auf der Erde - woher, wohin Themen und Inhalte Für den</t>
  </si>
  <si>
    <t>Fachkonferenzen legen im Rahmen des Schulprogramms den Umfang der Themen fest. Durch eine geschickte Wahl der Beispiele sind in einem Kontext mehrere Standards zu bearbeiten. Rahmenthemen Jahrgangsstufe Lernen, Wahrnehmung und Verhalten Entwicklung und Verantwortung Leistungsfähigkeit durch energiereiche Stoffe Immunität und Immunisierung Zusammenhänge im Ökosystem Leben auf der Erde - woher, wohin / Lernen, Wahrnehmung und Verhalten / Lebewesen nehmen Informationen mit</t>
  </si>
  <si>
    <t>Rahmenthemen Jahrgangsstufe Lernen, Wahrnehmung und Verhalten Entwicklung und Verantwortung Leistungsfähigkeit durch energiereiche Stoffe Immunität und Immunisierung Zusammenhänge im Ökosystem Leben auf der Erde - woher, wohin / Lernen, Wahrnehmung und Verhalten / Lebewesen nehmen Informationen mit Hilfe unterschiedlicher Sinnesorgane aus ihrer Umwelt auf, verarbeiten sie und reagieren darauf. Wahrnehmung unterliegt individuellen Grenzen, lässt sich aber schulen. Dies kann gut an einem</t>
  </si>
  <si>
    <t>Lernen angewendet werden. Es ist sinnvoll, konkrete methodische Lernhilfen mit den Schülerinnen und Schülern zu entwickeln. Eine interdisziplinäre Herangehensweise ist zur Bearbeitung der Auswirkungen von Alkohol- und Drogengenuss auf das Verhalten erforderlich. Basiskonzepte Struktur und Funktion System: mit Steuerung und Regelung; mit Wechselwirkungen g g Der Themenkomplex Wachstum und Entwicklung hat einen Bezug zu den altersgemäßen Erfahrungen der Schülerinnen und Schüler.</t>
  </si>
  <si>
    <t>Regelung; mit Wechselwirkungen g g Der Themenkomplex Wachstum und Entwicklung hat einen Bezug zu den altersgemäßen Erfahrungen der Schülerinnen und Schüler. Sie erleben unbewusst, dass körpereigene Botenstoffe das Befinden, das Verhalten und die biologischen Funktionen beeinflussen. Die komplexen Regelungsgeschehen können an Hand von Wirkpfeildiagrammen veranschaulicht werden. Genetische Zusammenhänge sind für die Schülerinnen und Schüler von großem Interesse. Kenntnisse darüber tragen zur</t>
  </si>
  <si>
    <t>ermöglichen, darüber hinausgehende Kompetenzen zu erwerben und weiter zu entwickeln. Eine thematisch-inhaltliche Reihenfolge innerhalb der Doppeljahrgangsstufe wird durch die Standards nicht festgeschrieben. Anforderungen am Ende der Jahrgangsstufe Lernen, Wahrnehmung und Verhalten Grundlegendes Anforderungsniveau Erweitertes Anforderungsniveau Die Schülerinnen und Schüler können ... Inhaltsbezogene Kompetenzen den Grundbauplan einer Nervenzelle beschreiben, das Zusammenwirken von sensorischen und motorischen Nervenzellen sowie den Bau und die Funktion</t>
  </si>
  <si>
    <t>die Funktion des Gehirns und des Rückenmarks beschreiben, die Erregungsleitung in Nervenzellen durch elektrische Impulse und chemische Botenstoffe darstellen, Reflexe beschreiben, die Wirkung von Alkohol und Drogen auf Reaktionsvermögen und Verhalten beschreiben, den Umgang mit Stoffen bewerten, die auf das Nervensystem wirken, zwischen Reizen und Erregungen sowie Wahrnehmungen unterscheiden, einen Reflexbogen darstellen und erläutern, die Wirkung von Alkohol und Drogen auf</t>
  </si>
  <si>
    <t>Meinung und der Bewertungsfähigkeit zu fördern. Die im Biologieunterricht anzustrebenden Kompetenzen sind den nachfolgenden Kompetenzbereichen zugeordnet. Sie tragen bei gleichwertiger Berücksichtigung im Unterricht zur schrittweisen Entwicklung anschlussfähigen Wissens, Könnens und Verhaltens für die spätere Berufswahl bei. Kompetenzbereiche Fachwissen Lebewesen, Phänomene, Begriffe, Prinzipien, Fakten, Gesetzmäßigkeiten kennen und Basiskonzepte anwenden Erkenntnisgewinnung Beobachten, Vergleichen, Experimentieren, Modelle nutzen und Arbeitstechniken anwenden Kommunikation Informationen sach- und</t>
  </si>
  <si>
    <t>anderen Medien u. a. zu Gefahren von Tabak und Alkohol zusammenfassend wiedergeben. K, K Informationen aus Texten und Abbildungen zu Fehlbelastungen des menschlichen Skeletts und möglichen Schäden zusammenfassen sowie richtiges Verhalten vorführen. K, K Informationen aus vorgegebenen Quellen zum Zusammenhang zwischen gesunder Ernährung, Sport und Wohlbefinden adressatengerecht wiedergeben. K, K, B Bewertung Die Schülerinnen und Schüler können... eine ausgewogene Ernährung und</t>
  </si>
  <si>
    <t>Bewertung Die Schülerinnen und Schüler können... Vorteile reflektierender Kleidung für die Sicherheit im Straßenverkehr begründen und für die eigene Sicherheit anwenden. B Präventionsmaßnahmen gegen Lärmschädigungen beurteilen und Konsequenzen für eigenes Verhalten angeben. B Inhaltsfeld Sexualerziehung gemäß den Richtlinien für die Sexualerziehung in Nordrhein-Westfalen Inhaltliche Schwerpunkte Mögliche Kontexte Veränderung in der Pubertät Bau und Funktion der Geschlechtsorgane Entwicklung vom Säugling zum Kleinkind</t>
  </si>
  <si>
    <t>Lebewesen kriteriengeleitet mittels Bestimmungsschlüssel bestimmen. UF, E das Prinzip der sexuellen Fortpflanzung bei Pflanzen und Tieren vergleichen und Gemeinsamkeiten erläutern. UF Erkenntnisgewinnung Die Schülerinnen und Schüler können... aufgrund von Beobachtungen Verhaltensweisen von Tieren u. a. in tierischen Sozialverbänden unter dem Aspekt der Kommunikation beschreiben. E kriteriengeleitet Beobachtungen durchführen und dokumentieren u. a. zu Keimung oder Wachstum von Pflanzen und Schlussfolgerungen z.</t>
  </si>
  <si>
    <t>Ökosysteme Wahlbereich : Nachwachsende Rohstoffe Wahlbereich : Energiehaushalt des Menschen Jahrgangsstufe - Leistungskurs Lernbereich : Grundlagen, Anwendungen und Perspektiven der Genetik Ustd. Lernbereich : Kommunikation zwischen Zellen Ustd. Lernbereich : Verhalten von Tier und Mensch Ustd. Lernbereich : Synthetische Evolutionstheorie Ustd. Lernbereich : Systematisierung und Vernetztheit Ustd. Lernbereiche mit Wahlcharakter Wahlbereich : Allergien und Autoimmunkrankheiten Wahlbereich : Evolution des Stoffwechsels Wahlbereich</t>
  </si>
  <si>
    <t>und Funktion, Wechselwirkung Zusammenspiel von Beuger und Strecker SPO, LB Wintersport SPO, Kl. -, LB Fitness Beurteilen von Maßnahmen zur Gesunderhaltung durch Bewegung und Sport Haltungsschäden Verantwortungsbereitschaft Sich positionieren zum Verhalten gegenüber Menschen mit körperlichen Behinderungen Werteorientierung Wahlbereich : Ernährung und Persönlichkeit Beurteilen von unterschiedlichem Essverhalten der Menschen mit Hilfe der Kenntnisse über Nahrungsmittel und Verdauungsvorgänge gesunde Lebensweise, vollwertige Kost, Diäten</t>
  </si>
  <si>
    <t>Erdfrühzeit bis zur Erdneuzeit gewinnen EF Zeit GEO, Kl. , LB Kennen der Stellung des Menschen im System der Organismen EF Vielfalt Vergleich Mensch mit Menschenaffen Anatomie Schädel, Extremitäten, Wirbelsäule Verhalten Lernverhalten, Kommunikation, Aggressionsund Jagdverhalten, Werkzeuggebrauch ETH, Kl. , LBW Modell zum Hominidenstammbaum Einblick in die Stammesentwicklung des Menschen gewinnen Merkmale, zeitliches Auftreten, Einordnen in die Entwicklung, Fundorte, Entwicklungsfaktoren, Hirnleistung und</t>
  </si>
  <si>
    <t>neuro-neuronale Synapse neuro-muskuläre Synapse Lernbereich : Biodiversität und ihre Entstehung Ustd. Kennen des populationsgenetischen Artbegriffs Wert von Biodiversität Bildung für nachhaltige Entwicklung Kennen von Verhaltensursachen und des adaptiven Wertes von Verhalten EF Information, Regulation Besonderheiten menschlichen Verhaltens Werteorientierung proximat ultimat reproduktive Fitness, Kosten-Nutzen-Analyse, Fitnessmaximierung Anwenden der Kenntnisse über das Zusammenwirken von Evolutionsfaktoren im Sinne der synthetischen Evolutionstheorie EF Vielfalt, Angepasstheit, Wechselwirkung</t>
  </si>
  <si>
    <t>exemplarische Behandlung: Elektroenzephalografie EEG, Elektromyografie EMG Anwendung der Kenntnisse über Hormon- und Nervensystem auf die Verschränkung hormoneller und neuronaler Steuerung beim Menschen EF Information, Regelkreis Regulation im Hypothalamus-HypophysenSystem Lernbereich : Verhalten von Tier und Mensch Ustd. Kennen von Methoden und Bedeutung der Verhaltensbiologie EF Information, Regulation vorurteilsfreies Beobachten, Ethogramm, Tierschutz Nutzung digitaler Medien zur Verhaltensbeobachtung Medienbildung Kennen von Verhaltensursachen endogene und</t>
  </si>
  <si>
    <t>Methoden und Bedeutung der Verhaltensbiologie EF Information, Regulation vorurteilsfreies Beobachten, Ethogramm, Tierschutz Nutzung digitaler Medien zur Verhaltensbeobachtung Medienbildung Kennen von Verhaltensursachen endogene und exogene proximate und ultimate adaptiver Wert von Verhalten Kosten-Nutzen-Analyse, Fitnessmaximierung Anwenden der Kenntnisse über Ursachen von Verhalten auf das Sozialverhalten von Primaten EF Information, Wechselwirkung Lernkompetenz Individualentwicklung sensible Phasen für Umwelteinflüsse, ElternKind-Beziehung Verantwortungsbereitschaft Kommunikation Sender und Empfänger Fortpflanzungsverhalten</t>
  </si>
  <si>
    <t>Beobachten, Ethogramm, Tierschutz Nutzung digitaler Medien zur Verhaltensbeobachtung Medienbildung Kennen von Verhaltensursachen endogene und exogene proximate und ultimate adaptiver Wert von Verhalten Kosten-Nutzen-Analyse, Fitnessmaximierung Anwenden der Kenntnisse über Ursachen von Verhalten auf das Sozialverhalten von Primaten EF Information, Wechselwirkung Lernkompetenz Individualentwicklung sensible Phasen für Umwelteinflüsse, ElternKind-Beziehung Verantwortungsbereitschaft Kommunikation Sender und Empfänger Fortpflanzungsverhalten exemplarische Behandlung reproduktive Fitness Lernbereich : Biodiversität und ihre</t>
  </si>
  <si>
    <t>Biodiversität und ihre Entstehung Ustd. Kennen des populationsgenetischen Artbegriffs Wert von Biodiversität Bildung für nachhaltige Entwicklung Kennen von Verhaltensursachen und des adaptiven Wertes von Verhalten EF Information, Regulation Besonderheiten menschlichen Verhaltens Werteorientierung proximat ultimat reproduktive Fitness, Kosten-Nutzen-Analyse, Fitnessmaximierung Anwenden der Kenntnisse über das Zusammenwirken von Evolutionsfaktoren im Sinne der synthetischen Evolutionstheorie EF Vielfalt, Angepasstheit, Wechselwirkung Biodiversität, Artbildung Kl. , LB Mutation</t>
  </si>
  <si>
    <t>Beispiele Kennen von Merkmalen und Lebenserscheinungen der Lurche typische Merkmale feuchte, drüsenreiche Haut, wechselwarme Körpertemperatur, Feuchtlufttier Angepasstheit an den Lebensraum Hinführung EF Struktur und Funktion, Angepasstheit Körperbedeckung - Atmung ausgewählte Verhaltensweisen Hinführung EF Information Beutefangverhalten Erdkröte Fortpflanzungsverhalten Wanderung zu den Laichgewässern Übertragen der Kenntnisse zur Fortpflanzung und Entwicklung der Fische auf die der Lurche EF Fortpflanzung äußere Befruchtung Metamorphose Beurteilen von</t>
  </si>
  <si>
    <t>Knochen, Brustbeinkamm, Flügel Atmungsorgan - Fliegen Lunge mit Luftsäcken Schnabelform - Nahrung Formen Fortpflanzung der Vögel EF Fortpflanzung Haushuhn innere Befruchtung Bau des Hühnereies Untersuchen eines Hühnereies SE Kennen ausgewählter Verhaltensweisen der Vögel Hinführung EF Information Revier- und Balzverhalten Vogelgesang, Vogelstimmen-Apps Nestbau, Brutpflegeverhalten Nesthocker, Nestflüchter, Prägung Beurteilen von Maßnahmen zum Schutz heimischer Vogelarten Schutz der Lebensräume, Artenschutz, Jagd, Beispiele aus Sachsen</t>
  </si>
  <si>
    <t>Beispiele Anwenden der Erschließungsfelder auf Merkmale und Lebenserscheinungen der Säugetiere Lernkompetenz typische Merkmale Fell, lebendgebärend, Säugen der Nachkommen, gleichwarme Körpertemperatur Untersuchen von Fellproben mit der Lupe SE zeichnerisches Darstellen ausgewählte Verhaltensweisen der Säugetiere EF Information Beobachten eines Haus- und eines Wildtieres Sinnesleistungen als Grundlage des Informationsaustausches Sender-Empfänger-Modell Hund, Katze Beziehungen zwischen den Vertretern einer Art Rudel, Kooperation, Rangordnung, Aggression, Revier Angepasstheit</t>
  </si>
  <si>
    <t>und eines Wildtieres Sinnesleistungen als Grundlage des Informationsaustausches Sender-Empfänger-Modell Hund, Katze Beziehungen zwischen den Vertretern einer Art Rudel, Kooperation, Rangordnung, Aggression, Revier Angepasstheit von Säugetieren an ihre Lebensräume EF Angepasstheit Verhaltensweisen Gliedmaßenskelett - Lebensräume Maulwurf, Fledermaus, Delphin, Pferd Gebisse - Nahrung Fleisch-, Pflanzen- und Allesfresser Lungen - Landleben Lungenbläschen, Oberflächenvergrößerung, Gasaustausch Körpergliederung und Skelett von Säugetier und Mensch EF Struktur und</t>
  </si>
  <si>
    <t>Fortpflanzung - Erzeugung von Nachkommen GS SU, Kl. , LB Bau und Funktion der Geschlechtsorgane Pubertät, Menstruation, Pollution innere Befruchtung Eltern-Kind-Beziehungen Verantwortungsbereitschaft Beurteilen der Problematik des sexuellen Missbrauchs abnormes Sexualverhalten, Verhaltensweisen in Gefahrensituationen, Prävention Werteorientierung Lernbereich : Systematisierung Ustd. Gestalten eines Vergleiches zur Wechselwirkung zwischen Struktur, Funktion und Angepasstheit der Wirbeltiere als Systematisierung Hinführung EF Wechselwirkung Hinführung zum Entwicklungsgedanken Atmungsorgane -</t>
  </si>
  <si>
    <t>Weltverständnisses hinsichtlich der Mechanismen und Tendenzen der Evolution Die Schüler erkennen an ausgewählten humanbiologischen Sachverhalten ihre Verantwortung gegenüber sich selbst und der Gesellschaft. Dabei lernen sie das vorurteilsfreie Werten unterschiedlicher Verhaltensweisen. Entwickeln der Fähigkeit zum biologisch kompetenten Kommunizieren unter angemessener Nutzung von Fachsprache und fachtypischen Darstellungs- und Argumentationsstrukturen Beim Interpretieren von Beobachtungs- und Untersuchungsergebnissen wenden die Schüler die Fachsprache an und</t>
  </si>
  <si>
    <t>Medien informatische Bildung Medienbildung Mikroskopieren SE Heuaufguss, Tümpelwasser Ziele Entwickeln des naturwissenschaftlichen Denkens und Arbeitens zum Erfassen der Vernetztheit biologischer Phänomene Die Schüler erweitern ihr Wissen über Bau, Leistungen und Verhaltensweisen des Menschen und erkennen mit Hilfe der Erschließungsfelder die Wechselwirkungen zwischen Organsystemen, Lebensweisen und Gesundheit. Sie entwickeln durch kritische Auseinandersetzung mit digitalen Angeboten ihre Medienkompetenz weiter. Leisten eines Beitrages zur</t>
  </si>
  <si>
    <t>eines naturwissenschaftlich fundierten Weltverständnisses hinsichtlich der Mechanismen und Tendenzen der Evolution Die Schüler erkennen an weiteren humanbiologischen Sachverhalten ihre Verantwortung gegenüber sich selbst und gegenüber der Gesellschaft. Sie bewerten unterschiedliche Verhaltensweisen vorurteilsfrei. Entwickeln der Fähigkeit zum biologisch kompetenten Kommunizieren unter angemessener Nutzung von Fachsprache und fachtypischen Darstellungs- und Argumentationsstrukturen Sie erweitern ihre mündlichen, schriftlichen und grafischen Darstellungsformen beim Erstellen und Auswerten</t>
  </si>
  <si>
    <t>und Wechselwirkung auf evolutionäre Entwicklungstendenzen EF Vielfalt Kl. , LB Struktur- und Funktionsbeziehungen Spezialisierung Angepasstheit der Vogelschnäbel an die Ernährung, Wechselwirkung zwischen Insekten und Blüten bei der Insektenbestäubung genetisch bedingte Verhaltensweisen und Lernfähigkeit - Umweltunabhängigkeit Reproduktionserfolg, Fortpflanzung und Aufzucht der Jungen bei Wirbeltieren Prägung, Nachahmung, Tradition, Einsicht Kennen von Belegen für die Evolution Fossilien und ihre Entstehung Altersbestimmung Zwischenformen fossile Quastenflosser,</t>
  </si>
  <si>
    <t>Verantwortungsbereitschaft Wahlbereich : Nervensysteme Anwenden der Kenntnisse über Kommunikation von Zellen auf Nervensysteme diffuses und zentrales Nervensystem, peripheres und vegetatives Nervensystem g Gestalten von Beobachtungen und Untersuchungen tierischer oder menschlicher Verhaltensweisen Aggressions-, Revier-, Lernverhalten Verantwortungsbereitschaft Beobachten und Experimentieren Grillen, Kleinsäuger, Kampffische Wahlbereich : Grüne Gentechnik Anwenden der Kenntnisse über Arbeitstechniken der Genetik auf moderne Züchtungsverfahren bei Pflanzen Züchtungsziele, Methoden, Beispiele für</t>
  </si>
  <si>
    <t>Bestimmung und Einordnung ins System SE traditionelle und digitale Medien zur dichotomen Bestimmung Angepasstheit an Umweltfaktoren Licht, Wasser Wahlbereich : Verhaltensbiologisches Praktikum Gestalten von Beobachtungen und Untersuchungen tierischer oder menschlicher Verhaltensweisen Aggressions-, Revier-, Lernverhalten Nutzung digitaler Medien Verantwortungsbereitschaft Problemlösestrategien Beobachten und Experimentieren Grillen, Kleinsäuger, Kampffische Wahlbereich : Arbeitstechniken in der Genetik Anwenden genetischer Kenntnisse auf moderne Arbeitstechniken der Genetik DNA-Isolation, Gelelektrophorese,</t>
  </si>
  <si>
    <t>Verantwortlichkeit ihr gegenüber zu entwickeln und zu zeigen, bedeutet aktiv für sie eintreten zu müssen. Indem wir darauf achten im Umgang mit der Natur Ressourcen zu schonen und aus unserem Verhalten auftretende Schäden zu minimieren, treten wir für das Wohlergehen des Menschen und den Erhalt der Natur um ihrer selbst willen ein. Die Einnahmen unterschiedlicher Perspektiven, das Kennenlernen fremder, andersartiger Meinungsbildungen</t>
  </si>
  <si>
    <t>Hypothesen und Untersuchungen zu sinnesphysiologischen Phänomenen Kommunikation Interpretation von Beobachtungen, Abbildungen und Daten sinnesphysiologischer Versuche Diskussion von tierischen und menschlichen Verhaltensweisen Bewertung Bewertung von äußeren und inneren Faktoren auf das Verhalten, die Gesundheit und die Leistungsfähigkeit fe / zusätzlich dazu nach Abschluss der Jahrgangsstufe ezüge zu Kompetenzbereichen Inhaltliche Schwerpunkte Bezüge zu Kompetenzbereichen Funktionsteilung im Organismus kenntnisgewinnung nung, Durchführung und Austung von</t>
  </si>
  <si>
    <t>Ohr werfen Fragen zum Gesundheitsschutz auf. swege werden auch durch die Wirkung der Hormone als Botenstoffe deutlich. Beispiele Erkenntnisgewinnung Arbeiten mit physiologischen Modellen Beobachten, Beschreiben und Vergleichen von Phänomenen ezifischen Verhaltensweisen aus der Tierwelt illustrieren die Kommunikation zwischen emente der menschlichen Kommunikation zeigen sich im Zusammenhang mit sozialen nd dem Sexualverhalten. und Vorgängen Unterscheidung von Ursache und Wirkung Entwicklung von Fragestellungen</t>
  </si>
  <si>
    <t>geeigneter Form en ökologischer Beziehungen zeigen Vernetzungen verschiedener Ökosysteme. In diewerden die Gründe für deren Gefährdung durch Eingriffe des Menschen ersichtlich. Veranschaulichung von Daten mit angemessenen Gestaltungsmitteln Bewertung Beurteilung von Verhaltensweisen hinsichtlich der Nachhaltigkeit Nutzung fachlicher Konzepte Vernetzung zu auf- und abbauenden Stoffwechselprozessen e, Fotosynthese und Atmung verdeutlichen Prozesse der Stoff- und Energieumwandlung esse unterliegen Regelmechanismen. Drogen, Lärm sowie weitere Störfaktoren</t>
  </si>
  <si>
    <t>die beteiligten Strukzwischen Organismen wird mit einfachen Beispielen zu intra- und interspezifischen s der Tierwelt beschrieben. Erkenntnisgewinnung Beobachtung, Beschreibung und Vergleich von Reiz-ReaktionsMechanismen Unterscheidung zwischen Ursache und Wirkung Analyse von Verhaltensweisen und ihrer Wirkung Kommunikation Erläutern Originale oder natur getreue Abbildungen Organismus zeigt sich an den Organsystemen, Organen und ihren spezifischen Funkn ermöglichen spezielle physiologische Prozesse, die erst in ihrem Zusammenwirken</t>
  </si>
  <si>
    <t>Abschluss der Jahrgangsstufe ezüge zu Kompetenzbereichen Inhaltliche Schwerpunkte Bezüge zu Kompetenzbereichen Informationsfluss im Organismus und zwischen Organismen kenntnisgewinnung bachtung, Beschreibung und Verch von Reiz-Reaktions-Mechanisn bei Tier und Mensch alyse von Verhaltensweisen bei us- oder Nutztieren mmunikation essatengerechte und sachgerechte chreibung und Erläuterung von haltensweisen Verhaltensweisen von Tieren: intra- und interspezifisch des Menschen: soziale Verhaltensweisen, Sexualverhalten Leistungsstärke, Belastbarkeit und Gesundheitsschutz von Sinnesorganen</t>
  </si>
  <si>
    <t>und zwischen Organismen kenntnisgewinnung bachtung, Beschreibung und Verch von Reiz-Reaktions-Mechanisn bei Tier und Mensch alyse von Verhaltensweisen bei us- oder Nutztieren mmunikation essatengerechte und sachgerechte chreibung und Erläuterung von haltensweisen Verhaltensweisen von Tieren: intra- und interspezifisch des Menschen: soziale Verhaltensweisen, Sexualverhalten Leistungsstärke, Belastbarkeit und Gesundheitsschutz von Sinnesorganen anhand von Auge oder Ohr Auslösung der Erregung und Erregungsweiterleitung zum Gehirn in einfacher</t>
  </si>
  <si>
    <t>Reiz-Reaktions-Mechanisn bei Tier und Mensch alyse von Verhaltensweisen bei us- oder Nutztieren mmunikation essatengerechte und sachgerechte chreibung und Erläuterung von haltensweisen Verhaltensweisen von Tieren: intra- und interspezifisch des Menschen: soziale Verhaltensweisen, Sexualverhalten Leistungsstärke, Belastbarkeit und Gesundheitsschutz von Sinnesorganen anhand von Auge oder Ohr Auslösung der Erregung und Erregungsweiterleitung zum Gehirn in einfacher Form Hormone als Botenstoffe im Organismus Erkenntnisgewinnung Arbeit mit</t>
  </si>
  <si>
    <t>die Meinungsbildung. Zahlreiche Themen geben Anlass, Sachverhalte unter biologischen und außerfachlichen Gesichtspunkten zu bewerten. Die Lernenden bewerten die gesellschaftlichen Auswirkungen menschlichen Handelns und werden dadurch in die Lage versetzt, ihr Verhalten an der Verantwortung gegenüber sich selbst und der Mitwelt auszurichten. Zugleich verbinden sich Chancen und Risiken mit der Entwicklung biologischer Erkenntnisse sowie neuer Technologien und Produktionsverfahren, die anzuwenden sich immer</t>
  </si>
  <si>
    <t>wie auch proximater und ultimater Erklärungsweisen kann in diesem Themenfeld analysiert werden. Das Themenfeld bietet besondere Anknüpfungspunkte zu den übergreifenden Themen Nachhaltige Entwicklung/Lernen in globalen Zusammenhängen und Gewaltprävention. Inhalte Angeborenes Verhalten - Fragestellungen und Methoden der Ethologie - proximate und ultimate Ursachen - Reflexe - Auslöser, Motivation, Modellvorstellungen - Konfliktverhalten Sozialverhalten - Kommunikation - Formen des Zusammenlebens, Sozialstrukturen - Reviere, Fortpflanzungsstrategien</t>
  </si>
  <si>
    <t>Motivation, Modellvorstellungen - Konfliktverhalten Sozialverhalten - Kommunikation - Formen des Zusammenlebens, Sozialstrukturen - Reviere, Fortpflanzungsstrategien - Rangordnung, Aggression Physiologische Grundlagen des Verhaltens - Informationsaufnahme, -leitung und -verarbeitung - Steuerung von Verhalten Lernverhalten - Lernen versus Reifung - Funktion von Lernen - einfache Formen des Lernens Untersuchungen, Experimente - Freilandbeobachtungen, um Fragestellungen zu entwickeln und um proximate und ultimate Ursachen zu unterscheiden</t>
  </si>
  <si>
    <t>von nicht-naturwissenschaftlichen Vorstellungen abgrenzen - Grundlegende Prinzipien der Evolution: - Mutation, Rekombination, Selektion, Isolation, Drift - Variation, Fitness, Biodiversität - Verwandtschaft, allopatrische Artbildung, populationsgenetischer Artbegriff, Koevolution - adaptiver Wert von Verhalten: reproduktive Fitness, KostenNutzen-Analyse - sympatrische Artbildung - Sozialverhalten bei Primaten: exogene und endogene Ursachen, Fortpflanzungsverhalten Belege für die Evolution und Stammbäume - Belege für die Evolution: molekularbiologische Homologien - Stammbäume:</t>
  </si>
  <si>
    <t>Fitnessmaximierung Information und Kommunikation - Weitergabe von Erfahrungen als Bestandteil der kulturellen Evolution des Menschen - sexuelle Selektion - Sozialverhalten bei Primaten Individuelle und evolutive Entwicklung - ultimate Ursachen von Verhalten - Einflüsse auf den Fortpflanzungserfolg Vielfalt und Entwicklung des Lebens Grundkurs Leistungskurs zusätzlich zum Grundkurs mögliche Beiträge zur Kompetenzentwicklung Die Lernenden ... - unterscheiden zwischen Alltagsund Fachsprache bei der Abgrenzung</t>
  </si>
  <si>
    <t>zusätzlich zum Grundkurs mögliche Beiträge zur Kompetenzentwicklung Die Lernenden ... - unterscheiden zwischen Alltagsund Fachsprache bei der Abgrenzung nichtnaturwissenschaftlicher Vorstellungen zur Evolution. K - betrachten den Zusammenhang von Evolution und Verhalten aus unterschiedlichen Perspektiven. B - stellen Vernetzungen zwischen Systemebenen am Beispiel der Interpretation der molekularbiologischen Homologien für die stammesgeschichtliche Einordnung von Organismen dar. S Die Lernenden ... - erklären Sozialverhalten</t>
  </si>
  <si>
    <t>Bewertungskompetenz Basiskonzepte Struktur und Funktion Stoff- und Energieumwandlung Information und Kommunikation Steuerung und Regelung Individuelle und evolutive Entwicklung Themenfelder und Inhalte Wahlpflichtthemen für die Einführungsphase in der Jahrgangsstufe Biologie des Verhaltens Biologie der Zelle Fortpflanzung und Entwicklung Vielfalt und Entwicklung der Wirbeltiere Umgang mit Zivilisationskrankheiten Themenfelder und Inhalte für die Qualifikationsphase Stoffwechsel und Informationsverarbeitung auf zellulärer Ebene Lebewesen in ihrer Umwelt</t>
  </si>
  <si>
    <t>eine Vorwegnahme von Inhalten aus der Qualifikationsphase zu vermeiden. Die Reihenfolge der Themenfelder ist nicht festgelegt. Dies ermöglicht es, basierend auf einer geeigneten Lernstandsdiagnose schulspezifische Angebote zu gestalten. Biologie des Verhaltens Das Beobachten und Analysieren der Verhaltensweisen von Menschen und Tieren in der Ethologie ist ein fester Bestandteil der Biowissenschaften. Sowohl traditionelle Untersuchungen als auch moderne Aspekte aus der Neurobiologie, Verhaltensökologie</t>
  </si>
  <si>
    <t>- proximate und ultimate Ursachen - Reflexe - Auslöser, Motivation, Modellvorstellungen - Konfliktverhalten Sozialverhalten - Kommunikation - Formen des Zusammenlebens, Sozialstrukturen - Reviere, Fortpflanzungsstrategien - Rangordnung, Aggression Physiologische Grundlagen des Verhaltens - Informationsaufnahme, -leitung und -verarbeitung - Steuerung von Verhalten Lernverhalten - Lernen versus Reifung - Funktion von Lernen - einfache Formen des Lernens Untersuchungen, Experimente - Freilandbeobachtungen, um Fragestellungen zu</t>
  </si>
  <si>
    <t>um Fragestellungen zu entwickeln und um proximate und ultimate Ursachen zu unterscheiden - Beobachtungen unter Laborbedingungen im Sinne eines hypothetischdeduktiven Vorgehens - Experimente zu kausalen Erklärungen menschlichen Lernverhaltens Biologie des Verhaltens Basiskonzepte Struktur und Funktion - Nervenzelle und Informationsverarbeitung Information und Kommunikation - Kommunikation in Tierstaaten Steuerung und Regelung - Modellvorstellungen zum Instinktverhalten Individuelle und evolutive Entwicklung - Reifung mögliche Kontexte</t>
  </si>
  <si>
    <t>auf, leiten sie in Form elektrischer Erregungen weiter und verarbeiten diese. Im Leistungskurs wird die Betrachtung auf die organismische Ebene erweitert und mit der hormonellen Ebene bei der Steuerung menschlichen Verhaltens verschränkt. Das Themenfeld bietet besondere Anknüpfungspunkte zu den übergreifenden Themen Gesundheitsförderung und Bildung zur Akzeptanz von Vielfalt Diversity. Die Lernenden werden befähigt, ein Bewusstsein für eine gesundheitsfördernde Lebensweise zu entwickeln.</t>
  </si>
  <si>
    <t>Qualifikationsphase zu vermeiden. Die Reihenfolge der Themenfelder ist nicht festgelegt. Dies ermöglicht es, basierend auf einer geeigneten Lernstandsdiagnose schulspezifische Angebote zu gestalten. Biologie des Verhaltens Das Beobachten und Analysieren der Verhaltensweisen von Menschen und Tieren in der Ethologie ist ein fester Bestandteil der Biowissenschaften. Sowohl traditionelle Untersuchungen als auch moderne Aspekte aus der Neurobiologie, Verhaltensökologie und Fragen genetisch bedingter Voraussetzungen bieten</t>
  </si>
  <si>
    <t>Heroin von den Schülerinnen und Schülern selbst thematisiert, kann ihr Vorwissen als motivierender Einstieg genutzt werden, sollte aber nicht vertieft werden. Die Schülerinnen und Schüler sollen vielmehr unterstützt werden, riskantes Verhalten z. B. exzessiver PC- und Internetgebrauch oder problematisches Essverhalten oder ihre Einstellung zum Suchtmittelkonsum in ihrem Umfeld z. B. Alkohol, Cannabis und gegebenenfalls ihren Konsum von Rauschund Suchtstoffen zu reflektieren</t>
  </si>
  <si>
    <t>9,10</t>
  </si>
  <si>
    <t>grundlegender Begriff der Systematik, Klassifikation und Taxonomie. Als Arten bezeichnet man Gruppen von Individuen, die durch Abstammungsbande zwischen Eltern und Nachkommen Nachkommenschaft gekennzeichnet sind Tokogenie und in Gestalt, Physiologie und Verhalten soweit übereinstimmen, dass sie sich von anderen Individuengruppen abgrenzen lassen. Bei Organismen mit zweigeschlechtlicher Fortpflanzung kommt als entscheidendes Kriterium die Fähigkeit hinzu, gemeinsam fertile Nachkommen Fruchtbarkeit zu erzeugen. Im Unterricht</t>
  </si>
  <si>
    <t>es gegebenenfalls. Thema: Merkmale und Lebensbedingungen von Tieren und Pflanzen Inhalte aus der Biologie - Merkmale des Lebens - Arten und ihre spezifischen Merkmale, einfache Bestimmungshilfen - Körperbau, Fortpflanzung, Entwicklung, Verhalten Technik: Vom Menschen verursachte Einflüsse auf Lebewesen und ihre natürlichen Lebensräume Fachmethode: Vergleichen, Ordnen und Unterscheiden, Beobachten und Erklären, konstante und variable Bedingungen beim Experimentieren unterscheiden Thema: Wechselwirkungen von Organismen</t>
  </si>
  <si>
    <t>Drift, Artbildung, Biodiversität, Koevolution, populationsgenetischer Artbegriff Synthetische Evolutionstheorie, Abgrenzung von nicht-naturwissenschaftlichen Vorstellungen Stammbäume: ursprüngliche und abgeleitete Merkmale proximate exogen und endogen und ultimate adaptiver Wert für die Fitnessmaximierung Ursachen von Verhalten Prinzip, adaptiver Wert von Verhalten: reproduktive Fitness, Kosten-Nutzen-Analyse erhöhtes Niveau Leistungskurs Evolution des Menschen: Ursprung, Fossilgeschichte, hypothetische Stammbäume und Verbreitung des heutigen Menschen kulturelle Evolution: Werkzeuggebrauch, Sprachentwicklung Sozialverhalten bei Primaten:</t>
  </si>
  <si>
    <t>Artbegriff Synthetische Evolutionstheorie, Abgrenzung von nicht-naturwissenschaftlichen Vorstellungen Stammbäume: ursprüngliche und abgeleitete Merkmale proximate exogen und endogen und ultimate adaptiver Wert für die Fitnessmaximierung Ursachen von Verhalten Prinzip, adaptiver Wert von Verhalten: reproduktive Fitness, Kosten-Nutzen-Analyse erhöhtes Niveau Leistungskurs Evolution des Menschen: Ursprung, Fossilgeschichte, hypothetische Stammbäume und Verbreitung des heutigen Menschen kulturelle Evolution: Werkzeuggebrauch, Sprachentwicklung Sozialverhalten bei Primaten: exogene und endogene Ursachen, Fortpflanzungsverhalten</t>
  </si>
  <si>
    <t>den Umgang mit biologischer Vielfalt in der Gesellschaft ableiten lassen. Im Vordergrund der Informationsverarbeitung steht die neuronale Informationsverarbeitung in Lebewesen. Sie liefert Erklärungen und modellhafte Veranschaulichungen für das Verständnis komplexer Verhaltensweisen und deren Veränderung auf physiologischer Ebene. Dabei erarbeiten sich die Lernenden grundlegende neurophysiologische Vorgänge und elementare Mechanismen der Informationsverarbeitung auf der zellulären beziehungsweise molekularen Ebene. Diese beschreiben sie mithilfe einfacher</t>
  </si>
  <si>
    <t>als Ursache von Biodiversität Belege für die Evolution: molekularbiologische Homologien grundlegende Prinzipien der Evolution: Rekombination, Mutation, Selektion, Verwandtschaft, Variation, Fitness, Isolation, Drift, Artbildung, Biodiversität, Koevolution, populationsgenetischer Artbegriff adaptiver Wert von Verhalten: reproduktive Fitness, KostenNutzen-Analyse synthetische Evolutionstheorie: Abgrenzung von nichtnaturwissenschaftlichen Vorstellungen zusätzlich im erhöhten Anforderungsniveau Evolution des Menschen: Ursprung, Fossilgeschichte, Stammbäume und Verbreitung des heutigen Menschen kulturelle Evolution: Werkzeuggebrauch, Sprachentwicklung Sozialverhalten bei</t>
  </si>
  <si>
    <t>Quellen über hormonelle Einflüsse auf verschiedene Organe, wenden beim Sprechen über Sexualität Fachsprache statt der Alltagssprache an, wenden biologisches Wissen an, um verantwortliches Handeln abzuleiten z. B. zur Körperpflege, Verhütungsmethoden, Verhalten in der Schwangerschaft. Beitrag zur Entwicklung der Basiskonzepte: System: Information und Kommunikation Innerhalb des Organismus werden Informationen zwischen den Organen ausgetauscht. Verhalten und Körpervorgänge werden durch Hypophysenund Geschlechtshormone bewirkt. Entwicklung</t>
  </si>
  <si>
    <t>verantwortliches Handeln abzuleiten z. B. zur Körperpflege, Verhütungsmethoden, Verhalten in der Schwangerschaft. Beitrag zur Entwicklung der Basiskonzepte: System: Information und Kommunikation Innerhalb des Organismus werden Informationen zwischen den Organen ausgetauscht. Verhalten und Körpervorgänge werden durch Hypophysenund Geschlechtshormone bewirkt. Entwicklung Höhere Organismen durchlaufen eine Entwicklung Ontogenese, die mit der Befruchtung der Eizelle beginnt. Die Entwicklung wird über endogene und exogene Faktoren gesteuert.</t>
  </si>
  <si>
    <t>von Stoffen TF fakultativ: AIDS TF Keimzellbildung, Befruchtung, Geschlechterrolle TF Reproduktionsmedizin Chemie TF Gefährliche Stoffe Physik -Sexualität in den Medien Gesetze zum Schwangerschaftsabbruch Frauenbild und Männerbild Risikobereitschaft von Jugendlichen ... Verhalten in der Schwangerschaft: Medikamente, Alkohol, Nikotin Alkoholmissbrauch bei Jugendlichen ... Mitesser und Akne Familienplanung und Empfängnisverhütung Geschlechtskrankheiten Unfruchtbarkeit durch Umweltfaktoren Hormonbelastung von Gewässern ... Erwachsen werden Geschichte und Kultur Tägliches</t>
  </si>
  <si>
    <t>des Menschen, z. B. Stressreaktion, zu erklären, beschreiben Einflüsse der kulturellen Evolution technische und medizinische Errungenschaften auf die Entwicklung der Menschheit und der Biosphäre. Beitrag zur Entwicklung der Basiskonzepte: Entwicklung Verhalten und Anatomie des Menschen sind das Ergebnis von Evolution. Das Evolutionsprinzip lässt sich auf die kulturelle Evolution des Menschen übertragen. Kulturelle und biologische Evolution beeinflussen sich. System Menschliches Handeln wirkt</t>
  </si>
  <si>
    <t>deshalb möglich, einzelne Aspekte in anderen Themenfeldern an passenden Stellen zu behandeln. TF , TF Individualität und Entwicklung und TF Biologische Anthropologie lassen sich auf der Kontextebene thematisch verbinden. Menschliches Verhalten wird unter biologischen Aspekten beschrieben und erklärt. Fragen zur Identität und der menschlichen Existenz wer bin ich, wo komme ich her, ..., wie der Heranreifende sie stellt, finden somit in</t>
  </si>
  <si>
    <t>Lebendigen TF : Evolutive Zeiträume sind unvorstellbar und werden durch Modelle erfassbar. TF : Entwicklung von Ökosystemen TF : Phasen der menschlichen Entwicklung; Befruchtung als Beginn der Individualentwicklung. TF : Verhalten und Anatomie des Menschen als Ergebnis von Evolution Die Entwicklung komplexer Systeme ist ein unumkehrbarer Prozess. Die Evolution von Lebewesen oder die Entwicklung von Ökosystemen ist unumkehrbar. TF : ausgestorbene</t>
  </si>
  <si>
    <t>setzt das Interesse und die Reife der Schülerinnen und Schüler voraus. Es ist möglich, Aspekte von TF an passenden Inhalten anderer Themenfelder TF AIDS, TF sexuelle Identität, TF Evolution des Verhaltens zu vertiefen und die Sexualerziehung, ähnlich wie die Ernährungslehre oder Umweltbildung, als Querschnittsthema zu behandeln. Zwischen den Themenfeldern existieren thematische Überschneidungen. Diese werden genutzt, um Fachwissen zu vertiefen und das</t>
  </si>
  <si>
    <t>Menschwerdung und wie wird der Mensch sich entwickeln In diesem Themenfeld geht es nicht darum, Evolution zu beweisen, sondern die Evolution als Denkrahmen vorzugeben. Mit Hilfe der Evolutionsgeschichte können menschliche Verhaltensweisen erklärt werden. Das moderne Erdzeitalter wird mit dem Begriff Anthropozän belegt. Der Einsatz von Technik und Technologie verändert die Umwelt des Menschen, somit wird der Mensch selbst zum Evolutionsfaktor für</t>
  </si>
  <si>
    <t>und punktuell zu vertiefen. Kompetenzen: Schülerinnen und Schüler werten Daten zur Anatomie, Genetik oder Immunbiologie aus, um Verwandtschaftsbeziehungen zu erkennen, wenden Wissen über die Abstammung des Menschen an, um ausgewählte Verhaltensweisen des Menschen, z. B. Stressreaktion, zu erklären, beschreiben Einflüsse der kulturellen Evolution technische und medizinische Errungenschaften auf die Entwicklung der Menschheit und der Biosphäre. Beitrag zur Entwicklung der Basiskonzepte: Entwicklung</t>
  </si>
  <si>
    <t>Kompetenzen, weiterführende Impulse zu möglichen Experimenten und weisen auf konkrete Bezüge zu Basiskonzepten hin. Die Operatoren geben eine Hilfestellung für die unterrichtliche Planung. Operatoren formulieren eindeutige Arbeitsanweisungen und damit beschreibbares Verhalten der Lernenden und sind als verbindlich anzusehen. Sie sind im Anhang aufgelistet und umschreiben und beruhen auf der einheitlichen Operatorenliste der KMK für die naturwissenschaftlichen Fächer, die auch der Formulierung</t>
  </si>
  <si>
    <t>Schülerinnen und Schüler erfassen biologische Fragestellungen in verschiedenen Kontexten. Sie erkennen Probleme und Interessenkonflikte, entwickeln Lösungsansätze, diskutieren Konsequenzen und beurteilen diese. Sie begründen Verhaltensweisen einer gesunden Lebensführung, hinterfragen ihr persönliches Verhalten und leiten Schlussfolgerungen für die eigene Lebensweise. Sie beschreiben Erkenntnisse und Methoden der Medizin und Biotechnologie unter Beachtung ethischer Gesichtspunkte. An ausgewählten Beispielen begründen sie ihren eigenen Standpunkt. Sie beurteilen</t>
  </si>
  <si>
    <t>und Weichtieren möglich Bandwürmer, Spulwurm, Madenwurm Hygiene und Schutzmaßnahmen Beispiele für die Verknüpfung von Inhalten und prozessbezogenen Kompetenzen: S: die vollständige und unvollständige Metamorphose an Beispielen beschreiben E: Versuche zum Verhalten des Regenwurms planen und protokollieren K: über die ökologische und ökonomische Bedeutung der Insekten referieren B: Hygienemaßnahmen zum Schutz vor Bandwürmern ableiten Leistungsfeststellung und Leistungsbewertung Gesetzliche Grundlagen Die Leistungsbewertung erfolgt</t>
  </si>
  <si>
    <t>auf komplexe Sachverhalte an. B Bewertungskompetenz Die Schülerinnen und Schüler erfassen biologische Fragestellungen in verschiedenen Kontexten. Sie erkennen Probleme und Interessenkonflikte, entwickeln Lösungsansätze, diskutieren Konsequenzen und beurteilen diese. Sie begründen Verhaltensweisen einer gesunden Lebensführung, hinterfragen ihr persönliches Verhalten und leiten Schlussfolgerungen für die eigene Lebensweise. Sie beschreiben Erkenntnisse und Methoden der Medizin und Biotechnologie unter Beachtung ethischer Gesichtspunkte. An ausgewählten Beispielen</t>
  </si>
  <si>
    <t>und Erweiterung der zu behandelnden Unterrichtsinhalte und damit zur thematischen Profilbildung, indem die Vorgaben der Bildungspläne sich auf die zentralen Kompetenzen beschränken. Aufgaben und Ziele Inhalte des Psychologieunterrichts sind das Verhalten und Erleben des Menschen, seine Entwicklung über die Lebensspanne und deren innere und äußere in der Umwelt lokalisierten Bedingungen und Ursachen. Der Prozess der Individualisierung in fortgeschrittenen Gesellschaften verweist die</t>
  </si>
  <si>
    <t>Psychologie</t>
  </si>
  <si>
    <t>Normalitätsbegriffs mit Erlebens- und Verhaltensweisen auseinanderzusetzen, die für den Einzelnen bzw. für sein soziales Umfeld problematisch sind. Themen und Inhalte Wissenschaftliche Psychologie teilt mit Alltagspsychologie das Interesse am Erleben und Verhalten des Menschen, unterscheidet sich jedoch durch das methodische Vorgehen und den Anspruch an Allgemeingültigkeit, Systematik und Gewissheit. Vor diesem Hintergrund wird in der Qualifikationsphase die Arbeit aus der Einführungsphase fortgesetzt,</t>
  </si>
  <si>
    <t>an Allgemeingültigkeit, Systematik und Gewissheit. Vor diesem Hintergrund wird in der Qualifikationsphase die Arbeit aus der Einführungsphase fortgesetzt, die bereits den Gegenstand der Psychologie als Wissenschaft geklärt hat Erleben und Verhalten des Menschen, Erfassung und Ordnung diesbezüglicher Informationen, Erklärung entsprechender Phänomene, wissenschaftliche Begründung von Prognose und Interventionen. Der Bildungsplan setzt einen Planungsrahmen für die Gestaltung der schulischen Curricula im Fach Psychologie</t>
  </si>
  <si>
    <t>Rahmenthema die Lerntheorien Pawlov, Skinner, kognitive Verhaltenstheorie Bandura, genetische Epistemologie Piaget oder die psychodynamische Theorie Freud sein. Innerhalb dieses Themas werden damit aktuelle Bedingungen normaler Entwicklungsverläufe deutlich. Q Persönlichkeit und Verhalten Dieser Themenbereich beschäftigt sich grundsätzlich mit der theoriegestützten Beurteilung des Erlebens und Verhaltens von Individuen. Fragestellungen dieses Themenbereichs betreffen die Einzigartigkeit des Verhaltens von Individuen und deren Erfassung, die individuellen</t>
  </si>
  <si>
    <t>ihrer Systematisierung z.B. ICD, DSM. Insbesondere werden biologische, soziale, entwicklungs- und verhaltensbezogene sowie kognitive und emotionale Faktoren psychischer Störungen untersucht, um Ursachen-WirkungsZusammenhänge, Wirkungsbedingungen und deren Auswirkungen auf das Erleben und Verhalten zu beschreiben, daraus Erklärungen abzuleiten, Vorhersagen zu treffen und verschiedene Möglichkeiten zur Intervention zu entwickeln. Innerhalb dieses Themenbereichs soll vor allem ein Fallbeispiel im Hinblick auf psychische Prozesse, auf Entstehungsbedingungen</t>
  </si>
  <si>
    <t>und Schüler, die in der Qualifikationsphase das Fach Psychologie belegen wollen, sind folgende Standards verbindlich: Fachliche Kompetenzen Die Schülerinnen und Schüler können ... den Gegenstand der Psychologie - Erleben und Verhalten des Menschen oder Verhalten und innere Prozesse - nennen und erläutern; grundlegende Aspekte des psychischen Systems beschreiben; Lerntheorien klassisches und operantes Konditionieren als Beispiele für Verhaltenserklärungen beschreiben und anwenden; die</t>
  </si>
  <si>
    <t>der Qualifikationsphase das Fach Psychologie belegen wollen, sind folgende Standards verbindlich: Fachliche Kompetenzen Die Schülerinnen und Schüler können ... den Gegenstand der Psychologie - Erleben und Verhalten des Menschen oder Verhalten und innere Prozesse - nennen und erläutern; grundlegende Aspekte des psychischen Systems beschreiben; Lerntheorien klassisches und operantes Konditionieren als Beispiele für Verhaltenserklärungen beschreiben und anwenden; die Tiefenpsychologie als Beispiel für</t>
  </si>
  <si>
    <t>und bewerten; die Unterschiede zwischen Alltagspsychologie und wissenschaftlicher Psychologie beschreiben und erläutern; ausgewählte wissenschaftliche Beobachtungsmethoden und dazugehörige Fachbegriffe beschreiben und durchführen; die Allgemeingültigkeit von gegebenen wissenschaftlichen Ergebnissen zum Erleben und Verhalten des Menschen beurteilen; lerntheoretische, kognitive, humanistische und psychodynamische Erklärungsmodelle skizzieren und diese hinsichtlich Angemessenheit und Reichweite untersuchen; psychologische Fallbeispiele auf Einflussfaktoren hin untersuchen. Fachliche Kompetenzen: Anforderungsniveau für den Grundkurs Schülerinnen</t>
  </si>
  <si>
    <t>wiedergeben; zentrale psychologische Begriffe korrekt definieren und sachgerecht verwenden; die Differenz zwischen Alltagswissen und wissenschaftlichem Wissen erläutern; psychologische Fragestellungen in die Systematik der Psychologie einordnen; psychologische Phänomene im Hinblick auf Verhalten, Emotionen, Kognitionen, Motivation analysieren; Fallbeispiele analysieren und denkbare Ergebnisse hinsichtlich der Interventionsziele bewerten; Lerntheorien sowie kognitive, humanistische und psychodynamische Theorien zur Untersuchung psychischer Phänomene einsetzen; psychologische Konzepte, Probleme und psychologische</t>
  </si>
  <si>
    <t>das eigene Selbstverständnis sowie dessen normative Prämissen reflektieren. Schülerinnen und Schüler können psychologische Fallbeispiele analysieren und beurteilen. Im Einzelnen können sie ... aktuelle psychische Prozesse wie Wahrnehmung, Kognition, Emotion, Motivation, Verhalten oder Sozialverhalten auf psychische Auffälligkeiten hin untersuchen; situative Faktoren in einem Fallbeispiel identifizieren; den Anteil der Persönlichkeit an den beschriebenen psychischen Prozessen erläutern; Entwicklungsprozesse angeben, die die Persönlichkeit in einem</t>
  </si>
  <si>
    <t>risikobehafteten Entwicklungen anwenden psychodynamisches Modell, Bindungstheorie; die Entwicklung der Geschlechterrollen u.a. auf der Grundlage von Lerntheorien beschreiben und erklären; Zwillings- und Adoptionsstudien zur Erblichkeit erläutern und diskutieren. Q Persönlichkeit und Verhalten Schülerinnen und Schüler können ... den Begriff der Persönlichkeit darstellen und erläutern; Persönlichkeitstheorien darstellen; psychodynamische Theorien und das Instanzenmodell erläutern und anwenden; humanistische Theorien und den Gedanken des persönlichen Wachstums</t>
  </si>
  <si>
    <t>des persönlichen Wachstums erläutern; soziale Lerntheorien und kognitive Theorien bei der Analyse von Fälle anwenden; Theorien des Selbst zur Erklärung unterschiedlichen Verhaltens analysieren; die verschiedenen Positionen hinsichtlich Erbe, Umwelt, Bewusstsein, Verhalten vergleichen ein persönlichkeitsdiagnostisches Verfahren erläutern und beurteilen; in einem Fallbericht enthaltene Persönlichkeitseigenschaften nennen; Testkriterien nennen Validität, Objektivität, Reliabilität. Q Klinische Psychologie Schülerinnen und Schüler können ... den Begriff der psychischen</t>
  </si>
  <si>
    <t>Bezugspunkte sowohl im empirisch-naturwissenschaftlichen als auch im philosophisch-geisteswissenschaftlichen Bereich haben, wird sowohl der interdisziplinäre Charakter des Faches deutlich als auch die Möglichkeiten und Grenzen unterschiedlicher wissenschaftlicher Erklärungen des Erlebens und Verhaltens. Die Schülerinnen und Schüler werden dabei in wissenschaftliche Denk- und Arbeitsweisen eingeführt und es werden Gebiete der allgemeinen und ausgewählte Bereiche der speziellen und angewandten Psychologie behandelt. Anforderungen, die sich</t>
  </si>
  <si>
    <t>und diskutiert Fragen der Intervention und der Wertung von Entwicklungen des Einzelnen oder ganzer Gruppen in unserer Gesellschaft. Psychologie als Unterrichtsfach ist darauf gerichtet, insbesondere die Fragen des Erlebens und Verhaltens zu behandeln, die sich aus der Lebensphase ergeben, in der sich die Schülerinnen und Schüler befinden, bzw. die psychologischen Fragen, die sich aus ihrer sozialen und psychischen Umwelt ergeben. Die</t>
  </si>
  <si>
    <t>psychodynamische Theorie Freud sein. Innerhalb dieses Themas werden damit aktuelle Bedingungen normaler Entwicklungsverläufe deutlich. Q Persönlichkeit und Verhalten Dieser Themenbereich beschäftigt sich grundsätzlich mit der theoriegestützten Beurteilung des Erlebens und Verhaltens von Individuen. Fragestellungen dieses Themenbereichs betreffen die Einzigartigkeit des Verhaltens von Individuen und deren Erfassung, die individuellen Unterschiede und die Stabilität der Eigenschaften über die Zeit. Untersucht werden psychologisch relevante</t>
  </si>
  <si>
    <t>Bedingungen normaler Entwicklungsverläufe deutlich. Q Persönlichkeit und Verhalten Dieser Themenbereich beschäftigt sich grundsätzlich mit der theoriegestützten Beurteilung des Erlebens und Verhaltens von Individuen. Fragestellungen dieses Themenbereichs betreffen die Einzigartigkeit des Verhaltens von Individuen und deren Erfassung, die individuellen Unterschiede und die Stabilität der Eigenschaften über die Zeit. Untersucht werden psychologisch relevante Unterschiede zwischen Menschen in ihrem Temperament, ihrer Leistungsfähigkeit, ihren Motiven,</t>
  </si>
  <si>
    <t>psychodynamische Theorie, zentrale Persönlichkeitseigenschaften z.B. Typen nach Eysenck oder Theorien des Selbst humanistische Psychologie, z.B. Maslow ein. Q Klinische Psychologie Der Themenbereich bezieht sich auf die Untersuchung gestörten Erlebens und Verhaltens; es geht um die Beschreibung von Störungsbildern, um deren Häufigkeit und die Möglichkeit ihrer Systematisierung z.B. ICD, DSM. Insbesondere werden biologische, soziale, entwicklungs- und verhaltensbezogene sowie kognitive und emotionale Faktoren</t>
  </si>
  <si>
    <t>Instanzenmodell erläutern und anwenden; humanistische Theorien und den Gedanken des persönlichen Wachstums erläutern; soziale Lerntheorien und kognitive Theorien bei der Analyse von Fälle anwenden; Theorien des Selbst zur Erklärung unterschiedlichen Verhaltens analysieren; die verschiedenen Positionen hinsichtlich Erbe, Umwelt, Bewusstsein, Verhalten vergleichen ein persönlichkeitsdiagnostisches Verfahren erläutern und beurteilen; in einem Fallbericht enthaltene Persönlichkeitseigenschaften nennen; Testkriterien nennen Validität, Objektivität, Reliabilität. Q Klinische Psychologie</t>
  </si>
  <si>
    <t>der allgemeinen und ausgewählte Bereiche der speziellen und angewandten Psychologie behandelt. Anforderungen, die sich aus dem gesellschaftlichen Wandel ergeben etwa wie multikulturelle Perspektiven und der Schwund traditioneller Bindungen, Sicht- und Verhaltensweisen haben einen großen Anteil an den Fragen des Schulfaches Psychologie. Als gesellschaftswissenschaftliches Fach trägt es zur Auseinandersetzung mit Ideologien bei, die das Zusammenleben bestimmen, befördert Empathie für Menschen in anderen</t>
  </si>
  <si>
    <t>befinden, bzw. die psychologischen Fragen, die sich aus ihrer sozialen und psychischen Umwelt ergeben. Die Schülerinnen und Schüler vermögen sich hier auf der Basis eines reflektierten Normalitätsbegriffs mit Erlebens- und Verhaltensweisen auseinanderzusetzen, die für den Einzelnen bzw. für sein soziales Umfeld problematisch sind. Themen und Inhalte Wissenschaftliche Psychologie teilt mit Alltagspsychologie das Interesse am Erleben und Verhalten des Menschen, unterscheidet sich</t>
  </si>
  <si>
    <t>psychischer Phänomene aus der Sicht verschiedener Paradigmen die Vielschichtigkeit und Bedingtheit eines Beurteilungsproblems zu erschließen sowie eigene Wertmaßstäbe und Beurteilungskriterien zu reflektieren. Die Psychologie beschäftigt sich mit dem Erleben und Verhalten des Menschen aus unterschiedlichen Sichtweisen und in unterschiedlichen Disziplinen. Die angesichts der unübersehbaren Breite möglicher Inhalte unverzichtbare Strukturierung geht im Interesse der Wissenschaftsorientierung und der Lebensorientierung aus von Fragen, die</t>
  </si>
  <si>
    <t>in der Fähigkeit, psychologische Sachverhalte problembezogen und adressatengerecht zu kommunizieren und zu präsentieren. Eine Besonderheit der Auseinandersetzung mit psychologischen Fragestellungen besteht darin, dass der zentrale Gegenstand, das menschliche Erleben und Verhalten, stets individuell verfügbar und präsent ist. Deshalb ist für die Schülerinnen und Schüler der Alltags- und Erfahrungsbezug von zentraler Bedeutung, da alle Kompetenzen auf eigenes oder im Alltag bei anderen</t>
  </si>
  <si>
    <t>und präsent ist. Deshalb ist für die Schülerinnen und Schüler der Alltags- und Erfahrungsbezug von zentraler Bedeutung, da alle Kompetenzen auf eigenes oder im Alltag bei anderen erfahrenes Erleben und Verhalten angewendet werden können. Inhaltsfelder Kompetenzen sind nicht nur an die Kompetenzbereiche, sondern immer auch an fachliche Inhalte gebunden. Reflektierte psychologische Kompetenz soll deshalb mit Blick auf die nachfolgenden Inhaltsfelder entwickelt</t>
  </si>
  <si>
    <t>nicht nur an die Kompetenzbereiche, sondern immer auch an fachliche Inhalte gebunden. Reflektierte psychologische Kompetenz soll deshalb mit Blick auf die nachfolgenden Inhaltsfelder entwickelt werden. p Inhaltsfeld Menschliches Erleben und Verhalten In diesem Inhaltsfeld lernen die Schülerinnen und Schüler anhand ausgewählter Beispiele allgemeinen menschlichen Erlebens und Verhaltens die fünf psychologischen Paradigmen zu unterscheiden. Die Schülerinnen und Schüler befassen sich exemplarisch mit</t>
  </si>
  <si>
    <t>ein Verständnis sozialer Phänomene. Dabei stehen sozialpsychologische Frage- und Problemstellungen im Mittelpunkt. Neben sozialer Wahrnehmung und Einstellung sowie Einstellungsänderung behandeln die Schülerinnen und Schüler Gruppenprozesse und setzen sich mit prosozialem Verhalten und Altruismus aus unterschiedlichen paradigmatischen Sichtweisen auseinander. Die Beschäftigung mit diesem Inhaltsfeld führt dazu, dass die Schülerinnen und Schüler die Bedeutung situationaler Einflüsse für menschliches Erleben und Verhalten reflektieren. Inhaltsfeld</t>
  </si>
  <si>
    <t>mit prosozialem Verhalten und Altruismus aus unterschiedlichen paradigmatischen Sichtweisen auseinander. Die Beschäftigung mit diesem Inhaltsfeld führt dazu, dass die Schülerinnen und Schüler die Bedeutung situationaler Einflüsse für menschliches Erleben und Verhalten reflektieren. Inhaltsfeld Die menschliche Persönlichkeit und ihre Entwicklung Die Auseinandersetzung mit diesem Inhaltsfeld ermöglicht Einsicht in die individuelle Bedingtheit menschlichen Verhaltens und Erlebens. In diesem Kontext unterscheiden die Schülerinnen und</t>
  </si>
  <si>
    <t>und in einem wissenschaftlichen Praxisfeld an HK. Die Kompetenzen der Schülerinnen und Schüler sollen im Rahmen der Behandlung des nachfolgenden, für die Einführungsphase obligatorischen Inhaltsfeldes entwickelt werden: Menschliches Erleben und Verhalten Bezieht man übergeordnete Kompetenzerwartungen im Bereich der Sach- und Urteilskompetenz sowie die inhaltlichen Schwerpunkte aufeinander, so ergeben sich die nachfolgenden konkretisierten Kompetenzerwartungen: Inhaltsfeld Menschliches Erleben und Verhalten Inhaltliche Schwerpunkte Fachdisziplinen</t>
  </si>
  <si>
    <t>Menschliches Erleben und Verhalten Bezieht man übergeordnete Kompetenzerwartungen im Bereich der Sach- und Urteilskompetenz sowie die inhaltlichen Schwerpunkte aufeinander, so ergeben sich die nachfolgenden konkretisierten Kompetenzerwartungen: Inhaltsfeld Menschliches Erleben und Verhalten Inhaltliche Schwerpunkte Fachdisziplinen und Paradigmen der Psychologie Lernen und Gedächtnis Wahrnehmung Automatische und unbewusste Informationsverarbeitung SACHKOMPETENZ Die Schülerinnen und Schüler beschreiben die fünf psychologischen Paradigmen im Hinblick auf typische Gegenstände,</t>
  </si>
  <si>
    <t>aufgeführten inhaltlichen Schwerpunkte aufeinander, so ergeben sich die nachfolgenden konkretisierten Kompetenzerwartungen. p g p Qi p Inhaltsfeld Das Individuum in Interaktion mit anderen Inhaltliche Schwerpunkte Attributionsprozesse Psychologie der Gruppe Prosoziales Verhalten und Altruismus Einstellung und Einstellungsänderung SACHKOMPETENZ Die Schülerinnen und Schüler erläutern das Phänomen der Kausalattribution und des fundamentalen Attributionsfehlers, ordnen grundlegende Elemente der Systemtheorie dem ganzheitlichen Paradigma zu u. a.</t>
  </si>
  <si>
    <t>Normen, Rollen, Status und Kohäsion, erläutern Entscheidungsprozesse in Gruppen, erläutern informativen und normativen Einfluss als Hauptfaktoren konformen Verhaltens, erläutern Strukturelemente einer Gruppe und Gruppenprozesse am Beispiel des Stanford-Prison-Experiments, unterscheiden prosoziales Verhalten und Altruismus, erläutern situative Determinanten und kognitive Aspekte anhand von Falldarstellungen und empirischen Untersuchungen von Hilfeverhalten, erklären prosoziales Verhalten kognitiv und evolutionstheoretisch, analysieren Feldexperimente kriterienorientiert, erläutern die drei Komponenten der</t>
  </si>
  <si>
    <t>Strukturelemente einer Gruppe und Gruppenprozesse am Beispiel des Stanford-Prison-Experiments, unterscheiden prosoziales Verhalten und Altruismus, erläutern situative Determinanten und kognitive Aspekte anhand von Falldarstellungen und empirischen Untersuchungen von Hilfeverhalten, erklären prosoziales Verhalten kognitiv und evolutionstheoretisch, analysieren Feldexperimente kriterienorientiert, erläutern die drei Komponenten der Einstellung, unterscheiden implizite und explizite Einstellungen, erklären die Entstehung und Änderung von Einstellungen aus unterschiedlichen paradigmatischen Sichtweisen. p ,</t>
  </si>
  <si>
    <t>unten aufgeführten inhaltlichen Schwerpunkte aufeinander, so ergeben sich die nachfolgenden konkretisierten Kompetenzerwartungen. p , p g Inhaltsfeld Das Individuum in Interaktion mit anderen Inhaltliche Schwerpunkte Attributionsprozesse Psychologie der Gruppe Prosoziales Verhalten und Altruismus Einstellung und Einstellungsänderung SACHKOMPETENZ Die Schülerinnen und Schüler erläutern das Phänomen der Kausalattribution, beschreiben den Attributionsprozess beeinflussende Fehlurteile und erklären deren Zustandekommen, ordnen grundlegende Elemente der Systemtheorie dem</t>
  </si>
  <si>
    <t>Gruppenprozesse, erläutern informativen und normativen Einfluss als Hauptfaktoren konformen Verhaltens, erläutern Strukturelemente einer Gruppe und Gruppenprozesse am Beispiel des Stanford-Prison-Experiments, erklären anhand der Milgram-Experimente Gehorsam gegenüber Autoritätspersonen und erklären das Verhalten der Versuchspersonen, unterscheiden informativen und normativen sozialen Einfluss mithilfe grundlegender Experimente, unterscheiden prosoziales Verhalten und Altruismus, erklären prosoziales Verhalten mit kognitiven und evolutionstheoretischen Modellen und Sachzusammenhängen, erläutern die Bedeutung der</t>
  </si>
  <si>
    <t>und Gruppenprozesse am Beispiel des Stanford-Prison-Experiments, erklären anhand der Milgram-Experimente Gehorsam gegenüber Autoritätspersonen und erklären das Verhalten der Versuchspersonen, unterscheiden informativen und normativen sozialen Einfluss mithilfe grundlegender Experimente, unterscheiden prosoziales Verhalten und Altruismus, erklären prosoziales Verhalten mit kognitiven und evolutionstheoretischen Modellen und Sachzusammenhängen, erläutern die Bedeutung der Empathie für altruistisches Verhalten, p g p Qi p analysieren situative Determinanten und kognitive</t>
  </si>
  <si>
    <t>Stanford-Prison-Experiments, erklären anhand der Milgram-Experimente Gehorsam gegenüber Autoritätspersonen und erklären das Verhalten der Versuchspersonen, unterscheiden informativen und normativen sozialen Einfluss mithilfe grundlegender Experimente, unterscheiden prosoziales Verhalten und Altruismus, erklären prosoziales Verhalten mit kognitiven und evolutionstheoretischen Modellen und Sachzusammenhängen, erläutern die Bedeutung der Empathie für altruistisches Verhalten, p g p Qi p analysieren situative Determinanten und kognitive Aspekte von Hilfeleistung anhand von</t>
  </si>
  <si>
    <t>informativen und normativen sozialen Einfluss mithilfe grundlegender Experimente, unterscheiden prosoziales Verhalten und Altruismus, erklären prosoziales Verhalten mit kognitiven und evolutionstheoretischen Modellen und Sachzusammenhängen, erläutern die Bedeutung der Empathie für altruistisches Verhalten, p g p Qi p analysieren situative Determinanten und kognitive Aspekte von Hilfeleistung anhand von Falldarstellungen und empirischen Untersuchungen, analysieren Feldexperimente kriterienorientiert, erläutern die drei Komponenten der Einstellung, unterscheiden implizite</t>
  </si>
  <si>
    <t>Beruf. Zentrale Aufgabe des Psychologieunterrichts ist die Förderung einer reflektierten psychologischen Kompetenz: Im Unterrichtsfach Psychologie gewinnen die Schülerinnen und Schüler grundlegende Einsichten in individuelle und interindividuelle Prozesse menschlichen Erlebens und Verhaltens aus verschiedenen Perspektiven, wobei Aspekte der wissenschaftlichen Erforschung und Erklärung dieser Phänomene und die inhärenten wissenschaftstheoretischen und kulturhistorischen Prämissen ihrer Menschenbildannahmen berücksichtigt werden. Eine besondere Rolle spielen dabei die Anwendungsfelder</t>
  </si>
  <si>
    <t>deshalb mit Blick auf die nachfolgenden Inhaltsfelder entwickelt werden. p Inhaltsfeld Menschliches Erleben und Verhalten In diesem Inhaltsfeld lernen die Schülerinnen und Schüler anhand ausgewählter Beispiele allgemeinen menschlichen Erlebens und Verhaltens die fünf psychologischen Paradigmen zu unterscheiden. Die Schülerinnen und Schüler befassen sich exemplarisch mit den Bereichen Lernen und Gedächtnis, Wahrnehmung sowie automatische und unbewusste Informationsverarbeitungsprozesse aus der Grundlagendisziplin Allgemeine Psychologie.</t>
  </si>
  <si>
    <t>Schüler die Bedeutung situationaler Einflüsse für menschliches Erleben und Verhalten reflektieren. Inhaltsfeld Die menschliche Persönlichkeit und ihre Entwicklung Die Auseinandersetzung mit diesem Inhaltsfeld ermöglicht Einsicht in die individuelle Bedingtheit menschlichen Verhaltens und Erlebens. In diesem Kontext unterscheiden die Schülerinnen und Schüler verschiedene paradigmatische Sichtweisen auf die menschliche Persönlichkeit und ihre Entwicklung. Die Beschäftigung mit unterschiedlichen Persönlichkeitsmodellen soll zu einer kritischen Reflexion</t>
  </si>
  <si>
    <t>a. Systembegriff, Subsystem, Grenzen, Regeln, Homöostase, unterscheiden Strukturelemente einer Gruppe im Hinblick auf Normen, Rollen, Status und Kohäsion, erläutern Entscheidungsprozesse in Gruppen, erläutern informativen und normativen Einfluss als Hauptfaktoren konformen Verhaltens, erläutern Strukturelemente einer Gruppe und Gruppenprozesse am Beispiel des Stanford-Prison-Experiments, unterscheiden prosoziales Verhalten und Altruismus, erläutern situative Determinanten und kognitive Aspekte anhand von Falldarstellungen und empirischen Untersuchungen von Hilfeverhalten, erklären</t>
  </si>
  <si>
    <t>den Aspekten des biologischen Geschlechts, des psychologischen Geschlechts und des sozialen Geschlechts, bewerten ethische Aspekte und Implikationen sozialpsychologischer Experimente, beurteilen die Anwendbarkeit und den Erklärungswert kognitiver und evolutionstheoretischer Erklärungen prosozialen Verhaltens auf grundlegendem Niveau, beurteilen die mit sozialpsychologischen Methoden erworbenen Daten, beurteilen unterschiedliche Möglichkeiten, Einstellungsänderungen zu evozieren. Inhaltsfeld Die menschliche Persönlichkeit und ihre Entwicklung Inhaltliche Schwerpunkte Persönlichkeitstheorien Persönlichkeitsdiagnostik SACHKOMPETENZ Die Schülerinnen</t>
  </si>
  <si>
    <t>Grenzen, Regeln, Homöostase, unterscheiden Strukturelemente einer Gruppe im Hinblick auf Normen, Rollen, Status und Kohäsion, analysieren Entscheidungsfindung und Deindividuation als zentrale Gruppenprozesse, erläutern informativen und normativen Einfluss als Hauptfaktoren konformen Verhaltens, erläutern Strukturelemente einer Gruppe und Gruppenprozesse am Beispiel des Stanford-Prison-Experiments, erklären anhand der Milgram-Experimente Gehorsam gegenüber Autoritätspersonen und erklären das Verhalten der Versuchspersonen, unterscheiden informativen und normativen sozialen Einfluss mithilfe</t>
  </si>
  <si>
    <t>und den Erklärungswert der mit typisch sozialpsychologischen Methoden u. a. Feldforschung und systematische Beobachtung erworbenen Daten, beurteilen die Anwendbarkeit und den Erklärungswert kognitiver und evolutionstheoretischer Modelle für die Erklärung prosozialen Verhaltens, erörtern Möglichkeiten zur Förderung prosozialen Verhaltens, beurteilen unterschiedliche Möglichkeiten, Einstellungsänderungen zu evozieren. Inhaltsfeld Die menschliche Persönlichkeit und ihre Entwicklung Inhaltliche Schwerpunkte Persönlichkeitstheorien Persönlichkeitsdiagnostik SACHKOMPETENZ Die Schülerinnen und Schüler unterscheiden Kriterien,</t>
  </si>
  <si>
    <t>sozialpsychologischen Methoden u. a. Feldforschung und systematische Beobachtung erworbenen Daten, beurteilen die Anwendbarkeit und den Erklärungswert kognitiver und evolutionstheoretischer Modelle für die Erklärung prosozialen Verhaltens, erörtern Möglichkeiten zur Förderung prosozialen Verhaltens, beurteilen unterschiedliche Möglichkeiten, Einstellungsänderungen zu evozieren. Inhaltsfeld Die menschliche Persönlichkeit und ihre Entwicklung Inhaltliche Schwerpunkte Persönlichkeitstheorien Persönlichkeitsdiagnostik SACHKOMPETENZ Die Schülerinnen und Schüler unterscheiden Kriterien, anhand derer Persönlichkeitsmodelle analysiert werden können,</t>
  </si>
  <si>
    <t>Psychoanalyse als einen klinischen Anwendungsbereich der tiefenpsychologischen Auffassung, erläutern das behavioristische Menschenbild, analysieren kriterienorientiert eine kognitivistische und eine ganzheitlich-humanistische Persönlichkeitstheorie, erklären die Gesprächspsychotherapie als klinischen Anwendungsbereich der ganzheitlich-humanistischen Auffassung, analysieren Verhaltens- und Falldarstellungen mithilfe unterschiedlicher Persönlichkeitsmodelle, erläutern und vergleichen projektive Testverfahren und Persönlichkeitsfragebögen, unterscheiden Situationsbeobachtungen, Interviews, Erhebung von biographischen Daten und Tests im engeren Sinn als grundlegende persönlichkeitsdiagnostische Verfahren, ordnen unterschiedliche</t>
  </si>
  <si>
    <t>Querschnittsaufgabe Kompetenzen und Inhalte im Fach Psychologie Überfachliche Kompetenzen Fachliche Kompetenzen Inhalte Lernen im Fach Psychologie Didaktische Grundsätze Im Rahmen des Psychologieunterrichts setzen sich die Schülerinnen und Schüler mit dem Verhalten und Erleben von Menschen und Menschengruppen sowie mit den verschiedenen Ansätzen auseinander, dieses Verhalten und Erleben wissenschaftlich zu erklären und bei Schwierigkeiten und Störungen Handlungsoptionen abzuleiten. Entsprechend dem Selbstverständnis der</t>
  </si>
  <si>
    <t>Fach Psychologie Didaktische Grundsätze Im Rahmen des Psychologieunterrichts setzen sich die Schülerinnen und Schüler mit dem Verhalten und Erleben von Menschen und Menschengruppen sowie mit den verschiedenen Ansätzen auseinander, dieses Verhalten und Erleben wissenschaftlich zu erklären und bei Schwierigkeiten und Störungen Handlungsoptionen abzuleiten. Entsprechend dem Selbstverständnis der Psychologie als einer empirischen Wissenschaft ergeben sich drei allgemeine Zielsetzungen des Psychologieunterrichts: Zum einen</t>
  </si>
  <si>
    <t>psychologischen Phänomenen anhand klarer Kriterien gegenübergestellt. Die Schülerinnen und Schüler lernen mit der Verschiedenheit und Widersprüchlichkeit psychologischer Anschauungen angemessen umzugehen, auf der Grundlage differenzierter Kenntnisse zu alltäglichen Fragen, die menschliches Verhalten und Erleben betreffen, fundiert und kritisch Stellung zu nehmen und die Ergebnisse ihrer Analysen und Reflexionen in ihrem Alltag anzuwenden. Der Unterricht greift in vielen Aspekten sowohl natur- und gesellschaftswissenschaftliche</t>
  </si>
  <si>
    <t>auf die Lebenswelt der Schülerinnen und Schüler durch die Auswahl solcher Unterrichtsthemen und entsprechender Anwendungsbeispiele hergestellt werden, die nicht direkt in ihre Privatsphäre eindringen. Da der Psychologieunterricht auch Missverständnisse, abweichendes Verhalten und psychosoziale Störungen thematisiert, verlangt er den Schülerinnen und Schülern eine besondere Sensibilität und implizit auch die Bereitschaft ab, Vorurteilen entgegenzutreten und soziale Verantwortung in der analogen und digitalen Welt</t>
  </si>
  <si>
    <t>mit Toleranz und interkultureller Akzeptanz zu begegnen sowie Handlungsoptionen in alltagsrelevanten Situationen umzusetzen. Bildung für nachhaltige Entwicklung BNE Das Fach Psychologie orientiert sich an der Fachwissenschaft Psychologie, deren Gegenstand das Verhalten und Erleben des Menschen ist. Im Unterricht haben Schülerinnen und Schüler die Möglichkeit, sich mit dem reziproken Verhältnis von Mensch und Umwelt auf ihr Erleben und Verhalten auseinanderzusetzen. Sie werden</t>
  </si>
  <si>
    <t>deren Gegenstand das Verhalten und Erleben des Menschen ist. Im Unterricht haben Schülerinnen und Schüler die Möglichkeit, sich mit dem reziproken Verhältnis von Mensch und Umwelt auf ihr Erleben und Verhalten auseinanderzusetzen. Sie werden dafür sensibilisiert, Umwelteinflüsse bewusster wahrzunehmen sowie nicht-nachhaltige Einstellungen zu erkennen und zu reflektieren, aber auch dafür, welchen Einfluss sie persönlich bzw. andere auf die Umwelt haben. Somit</t>
  </si>
  <si>
    <t>soziale Phänomene bzw. Sachverhalte in der analogen und digitalen Umgebung entwickeln. Interessengeleitete Setzung, Verbreitung und Dominanz psychologischer Themen in analogen und digitalen Umgebungen erschließen und beurteilen. Handlungskompetenz: Sich in seinem Verhalten in sozialen Situationen bewusst und reflektierend auf andere einstellen. In analogen und digitalen Interaktionssituationen sach- und personengerecht kommunizieren Auswahl des Kommunikationsmediums, Verhaltensregeln, Netiquette, Anpassung der Kommunikation. Psychologische und metakommunikative Kenntnisse</t>
  </si>
  <si>
    <t>oder S. Gesundheitspsychologie oder S. Arbeits- und Organisations-psychologie Keine ergänzende Auswahl vorgesehen. S Sozialpsychologie S. Soziale Kognition S. Soziale Wahrnehmung S. Selbst und Identität S. Einstellungen und Einstellungsänderung S. Antisoziales Verhalten Die Zuordnung der Themenbereiche zu den Semestern der gymnasialen Oberstufe ist eine dringende Empfehlung, die sich aus den fachtheoretischen Abhängigkeiten einzelner Unterrichtsinhalte untereinander ergibt, von der aber z. B. je</t>
  </si>
  <si>
    <t>Sinnessysteme z. B. Wahrnehmungsmittel nach Sherrington Wahrnehmungsablauf Bottom-up- und Top-down-Prozesse Kompetenzen gA Kompetenzen eA Fachinterne Bezüge M Paradigmen S. Soziale Kognition S. Soziale Wahrnehmung S. Einstellungen und Einstellungsänderung S. Antisoziales Verhalten bleibt zunächst leer Wahrnehmungsorganisation Anhand eines Wahrnehmungssystems z. B. visuelles, auditives System: Aufmerksamkeit z. B. Methode des dichotischen Hörens nach Broadbent Gestaltgesetze z. B. Figur-Grund-Gesetz, Gesetz der Nähe, Ähnlichkeit, Geschlossenheit,</t>
  </si>
  <si>
    <t>Umsetzungshilfen Aufgabengebiete Sexualerziehung Sprachbildung Fachübergreifende Bezüge Grundbegriffe Komponenten physiologisch, konativ, kognitiv, motivational primäre und sekundäre Emotionen Kompetenzen gA Kompetenzen eA Fachinterne Bezüge M Paradigmen S. Bindung S. Stresstheorien S. Antisoziales Verhalten bleibt zunächst leer Emotionstheorien James-Lange-Theorie der Körperreaktion Zwei-Faktoren-Theorie nach Schachter und Singer Emotionstheorie der kognitiven Bewertung nach Lazarus Ergänzend für eA: Cannon-Bard-Theorie neuronaler Prozesse Funktionen von Emotionen informativ, motivational, sozial</t>
  </si>
  <si>
    <t>ÜBER-ICH und die Dynamik der Instanzen ICH-Stärke/ICH-Schwäche Phasen bis des psychosexuellen Phasenmodells oral, anal, phallisch Sozialkognitive Lerntheorie Bandura Grundannahmen der sozial-kognitiven Lerntheorie o Selbstregulation/Selbststeuerung des Menschen o reziproker Determinismus Person, Verhalten, Umwelt Modelllernen Aufmerksamkeit, Gedächtnis, Reproduktion, Motivation o Ergebniserwartung o Kompetenzerwartung o Selbstbekräftigung Effekte des Modelllernens modellierend, enthemmend, hemmend, auslösend Selbstwirksamkeit Ergänzend für eA: In Abhängigkeit vom Profilschwerpunkt und/oder von der</t>
  </si>
  <si>
    <t>fachbezogener und fachübergreifender Anwendungsbezüge Paradigmen der Psychologie: Psychobiologie Alltagsbezüge: Bindung und Bindungsstörungen im Kontext von z. B. MutterKind-Beziehung, Vater-Kind-Beziehung, Paarbeziehung, eigener Persönlichkeit, Heimerziehung, KiTa, Schule Schulangst, Leistungsverweigerung, Dissozialität und delinquentes Verhalten Forschungsmethoden: Beschreibung von und Auseinandersetzung mit klassischen Experimenten und Formen der Datenerhebung, z. B. Experiment zur körperlichen Zuwendung und sozialen Erfahrung Harlow, Zimmermann Fremde-Situation-Test Ainsworth et al. Langzeitstudie Bielefelder Studie</t>
  </si>
  <si>
    <t>der Bedeutung digitaler Arbeitsweisen im modernen Arbeitsalltag. S S. Soziale Kognition Übergreifend Inhalte Fachbezogen Umsetzungshilfen Aufgabengebiete Interkulturelle Erziehung Sprachbildung Fachübergreifende Bezüge Grundlagen sozialer Kognition Zusammenhang von mentalen Prozessen und sozialem Verhalten automatische und kontrollierte Prozesse Kategorien, Schemata und Heuristiken: o Stereotype und soziale Kategorisierung o Repräsentativitäts-, Verfügbarkeits- und Ankerheuristik o Priming in der Forschung Kompetenzen gA Kompetenzen eA Fachinterne Bezüge M</t>
  </si>
  <si>
    <t>von Einstellungen explizite und implizite Maße von Einstellungen o Messung expliziter Maße mittels Tests und das Problem der sozialen Erwünschtheit o Impliziter Assoziationstest IAT nach Greenwald et al. Einstellungen und Verhalten Korrespondenz zwischen Einstellungen und Verhalten Modelle der Einstellungs-Verhaltens-Beziehung eines der folgenden Modelle soll behandelt werden, auf eA: zwei: o Theorie überlegten Handelns nach Fishbein und Ajzen und deren Überarbeitung o</t>
  </si>
  <si>
    <t>Maße von Einstellungen o Messung expliziter Maße mittels Tests und das Problem der sozialen Erwünschtheit o Impliziter Assoziationstest IAT nach Greenwald et al. Einstellungen und Verhalten Korrespondenz zwischen Einstellungen und Verhalten Modelle der Einstellungs-Verhaltens-Beziehung eines der folgenden Modelle soll behandelt werden, auf eA: zwei: o Theorie überlegten Handelns nach Fishbein und Ajzen und deren Überarbeitung o MODE-Modell nach Fazio o RIM-Modell</t>
  </si>
  <si>
    <t>Kaufverhalten, Werbung, politisches Engagement, Wahlkampf Forschungsmethoden: Beschreibung von und Auseinandersetzung mit klassischen Experimenten und Formen der Datenerhebung, z. B. -Dollar-Experiment Festinger Carlsmith zur Dissonanz Experiment zum Zusammenhang von Einstellungen und Verhalten von Shavitt und Fazio Impliziter Assoziationstest IAT Greenwald et al. und weitere Tests zur Einstellungsmessung z. B. zu Schule, Gesellschaft, Fairness im Sport etc. und Testgütekriterien Nur für eA: Bogus-Pipeline-Verfahren</t>
  </si>
  <si>
    <t>mit gesellschaftlich relevanten Werten, Einstellungen und Handlungsweisen. BNE: Rolle von Einstellungen und Einstellungsänderungen bzgl. der Entwicklung eines nachhaltigen Umgangs mit Ressourcen, vgl. z. B. SDG , , , S Antisoziales Verhalten Übergreifend Inhalte Fachbezogen Umsetzungshilfen Leitperspektiven Aufgabengebiete Medienerziehung Sexualerziehung Sprachbildung Fachübergreifende Bezüge Begriffsbestimmung Begriffsunterscheidung Aggression, Aggressivität und Gewalt Formen antisozialen Verhaltens: Unterscheidung zwischen ... o instrumenteller und feindseliger Aggression o physischer</t>
  </si>
  <si>
    <t>antisozialen Verhaltens: Unterscheidung zwischen ... o instrumenteller und feindseliger Aggression o physischer und verbaler Aggression o direkter und indirekter Aggression Kompetenzen gA Kompetenzen eA Fachinterne Bezüge M Paradigmen M Prosoziales Verhalten S. Wahrnehmung S. Sozialkognitive Lerntheorie bleibt zunächst leer Erklärungsansätze Hier sollen mindestens zwei, für eA mindestens drei Ansätze behandelt werden: triebtheoretischer Ansatz Freud und die Katharsishypothese biologischer Ansatz Lorenz Frustrations-Aggressions-Hypothese</t>
  </si>
  <si>
    <t>Modelle der einzelnen Strömungen in den jeweiligen Fachdisziplinen der Psychologie. Im Mittelpunkt des Unterrichts stehen vor allem psychische Alltagsphänomene, wie z. B. Lernen, Wahrnehmung oder Persönlichkeit. Bereiche menschlichen Erlebens und Verhaltens, die auch in der Lebenswirklichkeit der Schülerinnen und Schüler einen konkreten Stellenwert haben und mit den Modellen und Methoden ganz unterschiedlicher Strömungen oder Theorien des Fachs untersucht werden können. Dabei</t>
  </si>
  <si>
    <t>o Messung expliziter Maße mittels Tests und das Problem der sozialen Erwünschtheit o Impliziter Assoziationstest IAT nach Greenwald et al. Einstellungen und Verhalten Korrespondenz zwischen Einstellungen und Verhalten Modelle der Einstellungs-Verhaltens-Beziehung eines der folgenden Modelle soll behandelt werden, auf eA: zwei: o Theorie überlegten Handelns nach Fishbein und Ajzen und deren Überarbeitung o MODE-Modell nach Fazio o RIM-Modell nach Strack und</t>
  </si>
  <si>
    <t>Ressourcen, vgl. z. B. SDG , , , S Antisoziales Verhalten Übergreifend Inhalte Fachbezogen Umsetzungshilfen Leitperspektiven Aufgabengebiete Medienerziehung Sexualerziehung Sprachbildung Fachübergreifende Bezüge Begriffsbestimmung Begriffsunterscheidung Aggression, Aggressivität und Gewalt Formen antisozialen Verhaltens: Unterscheidung zwischen ... o instrumenteller und feindseliger Aggression o physischer und verbaler Aggression o direkter und indirekter Aggression Kompetenzen gA Kompetenzen eA Fachinterne Bezüge M Paradigmen M Prosoziales Verhalten S.</t>
  </si>
  <si>
    <t>Serotonin, Testosteron Theorie aggressiver Skripte nach Huesmann Allgemeines Aggressionsmodell nach Anderson et al. Konkretisierung fachbezogener und fachübergreifender Anwendungsbezüge Paradigmen der Psychologie: Kognitivismus Tiefenpsychologie Nur für eA: Psychobiologie Alltagsbezüge: Rolle antisozialen Verhaltens bzgl. z. B. Gewalt in den Medien, Fan-Gewalt Sport, Gewalt in Partnerschaften oder Familie, Mobbing, Bullying, Cyber-Mobbing, Anti-Aggressions-Programme z. B. Streitschlichter-Programme, Faustlos, Coolness, Verhaltenstrainings von Petermann et al. Forschungsmethoden: Beschreibung</t>
  </si>
  <si>
    <t>den Medien Hate Speech Sexualerziehung: sexualisierte Gewalt Formen und Folgen, Rolle digitaler Medien, Unterstützungsangebote Beitrag zu den Leitperspektiven W und D: W: Förderung eines kritisch-reflektierten Umgangs bzgl. verschiedener Formen antisozialen Verhaltens im Kontext gesellschaftlicher Normen und Werte. D: Förderung eines kritisch-reflektierten Umgangs bzgl. eines Zusammenhangs von digitalen Medien und der Entstehung antisozialen Verhaltens. W D B E Bio Spo F M</t>
  </si>
  <si>
    <t>Förderung eines kritisch-reflektierten Umgangs bzgl. verschiedener Formen antisozialen Verhaltens im Kontext gesellschaftlicher Normen und Werte. D: Förderung eines kritisch-reflektierten Umgangs bzgl. eines Zusammenhangs von digitalen Medien und der Entstehung antisozialen Verhaltens. W D B E Bio Spo F M U H F M U H www.hamburg.de/bildungsplaene</t>
  </si>
  <si>
    <t>für den Unterricht mit erhöhtem Anforderungsniveau Werbung Essstörungen Führungsstile Aufgaben für den Unterricht mit grundlegendem Anforderungsniveau Testtheorie Weitere Aufgaben Aufgabenbeispiele für die mündliche Abiturprüfung Soziale Kognition - Einstellungen Therapie Abweichendes Verhalten Fachpräambel Im gesellschaftswissenschaftlichen Aufgabenfeld werden gesellschaftliche Sachverhalte in struktureller und historischer Sicht erkennbar gemacht. Durch geeignete, auch fach-übergreifende und fächerverbindende Themenwahl sollen Einsichten in historische, politische, soziale, geografische, wirtschaftliche und</t>
  </si>
  <si>
    <t>Psychologie, Pädagogische Psychologie, Wirtschaftspsychologie mit ihren konkreten wissenschaftlichen Forschungsprogrammen. Dimension III - Alltags- und Erfahrungsbezug Eine Besonderheit des Psychologieunterrichts besteht darin, dass der Gegenstandsbereich der Bezugswissenschaft, das menschliche Erleben und Verhalten, stets auch im Unterrichtsraum präsent ist. Deshalb ist für den Psychologieunterricht der Alltags- und Erfahrungsbezug von zentraler Bedeutung. Die Anwendung und Anwendbarkeit des Wissens auf eigenes oder im Alltag bei</t>
  </si>
  <si>
    <t>präsent ist. Deshalb ist für den Psychologieunterricht der Alltags- und Erfahrungsbezug von zentraler Bedeutung. Die Anwendung und Anwendbarkeit des Wissens auf eigenes oder im Alltag bei anderen erfahrenes Erleben und Verhalten und die damit verbundene Förderung der Selbst- und Sozialkompetenz der Schülerinnen und Schüler sind zentrale Aufgaben des Psychologieunterrichts. Diese drei Dimensionen spannen gemeinsam einen Raum auf, in dem die konkreten</t>
  </si>
  <si>
    <t>Phänomen persönliche Konsistenz und Commitment Kg Themenbereiche Konkrete Gegenstände und ihre paradigmatische Zuordnung Abk.: Tf - Tiefenpsychologie, Gz - Ganzheitspsychologie, Bh - Behaviorismus, Pb - Psychobiologie, Kg - Kognitivismus Prosoziales Verhalten und Altruismus Prozessmodell hilfreichen Verhaltens Kg reziproker Altruismus und Verwandtenselektion Pb Persönlichkeits- und Entwicklungspsychologie Deskriptive Persönlichkeitstheorien Kognitive Persönlichkeitskonstrukttheorie Kelley Kg Trait-Konzept und behavioristische Persönlichkeitstheorie Bh Entwicklungstheorien der Persönlichkeit Die Entwicklung</t>
  </si>
  <si>
    <t>Blockierung der Identitätsbildung der Tochter. In der frühkindlichen Beziehung der Anorektikerin zu ihrer Mutter mögen traumatische Erfahrungen eine Rolle spielen, als das Kind von einer überfürsorglichen Mutter nicht zu selbstinitiiertem Verhalten ermutigt wird, seine Bedürfnisse nicht als eigene erkennt und entwickelt, bzw. diese, wenn vorhanden, nicht befriedigt werden. Daraus folgen ein defizitäres Selbstbild und mangelnde Ich-Stärke. Die Anorektikerin ist unfähig körperliche</t>
  </si>
  <si>
    <t>erotischen Frau. Anforderungsbereich II/vorwiegend Aufgabe AB II ca. Der hier beschriebene Münzverstärkungsplan ist der Therapieform aus der Sicht der Verhaltenstherapie zuzuordnen, die auf den Lerntheorien basiert. Zentrale Aussage ist, dass Verhalten gelernt wurde und wieder verlernt werden kann. Gelernt wird durch klassisches und operantes Konditionieren und das Modelllernen. Symptome gelten als Ausdruck der Unangepasstheit eines Individuums und werden mit der Störung</t>
  </si>
  <si>
    <t>Symptome gelten als Ausdruck der Unangepasstheit eines Individuums und werden mit der Störung gleichgesetzt. Beim hier beschriebenen Münzverstärkungsplan geht es um operantes Konditionieren. Die Therapie beruht darauf, dass das erwünschte Verhalten die gewünschte Reaktion durch das Hinzufügen eines lustbetonten, als angenehm empfundenen Reizes positiv verstärkt wird. Die Auftretenswahrscheinlichkeit dieser Reaktion steigt. Dieses von Skinner im Tierexperiment erforschte Lerngesetz, welches das Streben</t>
  </si>
  <si>
    <t>Reaktion steigt. Dieses von Skinner im Tierexperiment erforschte Lerngesetz, welches das Streben nach Belohnung als Antrieb des Handelns voraussetzt, wurde um kognitive Komponenten erweitert. Auch antizipierte Belohnungen können das gewünschte Verhalten evozieren. In diesem Beispiel entspricht die Gewichtszunahme der Reaktion, die Preise dem Verstärker, die Münzen/ Punkte dienen lediglich der Staffelung. Es liegt also eine operante Konditionierung vor. Als weitere Therapietechniken</t>
  </si>
  <si>
    <t>Das Modell von Hersey/Blanchard umfasst einen wesentlich umfangreicheren Bereich der für die Unternehmen relevanten Führungsvariablen als das Modell des Social-Man. Im Gegensatz zu vielen anderen Führungsstilmodellen spielt hier auch das Verhalten der Geführten eine Rolle. Birkenbihl übersieht, dass auch die Untergebenen selbstständig agierende Persönlichkeiten sind. Paradigmatische Zuordnung der verwendeten Modelle: Das Modell von Hersey/Blanchard kann der humanistischen Psychologie zugeordnet werden, da</t>
  </si>
  <si>
    <t>nicht verwerten darf und keine Anerkennung bekommt, sich nicht durch die Vertiefung in das Gebiet selbstverwirklichen darf, als gegeben und moralisch nicht bewertbar. Birkenbihl stempelt Friedrich als pathologisch, wobei das Verhalten von Friedrich mehr als verständlich erscheint, da seine Fähigkeiten nicht genutzt werden. Aus einer gewissen Einseitigkeit im beruflichen Bereich und in der Lebensführung wird auf eine Persönlichkeitsschwäche geschlossen, die therapiert</t>
  </si>
  <si>
    <t>Arbeitsauftrag I II III Ein großes Problem aller Unternehmen ist die Frage des effizienten Führungsstils. Stellen Sie die Führungsstilmodelle von Blake/Mouton und Her sey/Blanchard dar. Analysieren Sie die Veränderungen im Verhalten von Friedrich mit Hilfe eines dieser Führungsstilmodelle und zeigen Sie, auf welchem Modell der Vorschlag M.. Birkenbihls aufbaut. Vergleichen Sie die beiden Modelle in Bezug auf den obigen Fall. Beurteilen</t>
  </si>
  <si>
    <t>Im Übrigen gelten die Anmerkungen unter II. für die schriftliche Abiturprüfung. Soziale Kognition - Einstellungen A Aufgabenstellung A. Materialien Sozialer Druck Je geringer der soziale Druck auf Personen, ein bestimmtes Verhalten oder eine bestimmte Einstellung zu vertreten, desto besser stimmen Handlung und Einstellung überein Die Mehrheit der amerikanischen Kongressabgeordneten stimmte für die Invasion des Irak - in einer Befragung lehnten die</t>
  </si>
  <si>
    <t>und Selbst problematisiert werden. Für die Note ausreichend wird erwartet, dass zentrale Punkte von Festingers Theorie dargestellt und an Beispielen auf den Text angewendet werden können. Im Gespräch soll das Verhalten der Abgeordneten weiter problematisiert werden. Dabei dürfen Hilfen durch die Prüfenden gegeben werden. Therapie A Aufgabenstellung A. Materialien Lisa ist eine Frau, die ihren Mann, einen Musiker, bei einem Unfall</t>
  </si>
  <si>
    <t>Leistung ist ausreichend, wenn der Text in seinen einzelnen Punkten der Psychoanalyse zugeordnet werden kann. Wesentliche Strukturmerkmale der Theorie, die für den Fall wichtig sind, sollen fehlerfrei dargestellt werden. Abweichendes Verhalten A Aufgabenstellung A. Materialien Offener Brief eines hyperaktiven Kindes: Liebe Eltern, Lehrer, Erzieher, mein Name ist Christian. Ich bin eigentlich ein sehr netter Mensch und gar nicht dumm. Ich kriege</t>
  </si>
  <si>
    <t>Christian Quelle: http//:www.zappelphilipp.de/brief.htm vom .. A. Arbeitsanweisung Teil - Selbstständige Prüfungsleistung Kinder mit Hyperaktivität sind verhaltensauffällig. Sie haben Schwierigkeiten mit dem sinnlichen Erfahren ihrer Umgebung. Stellen Sie den Begriff Abweichendes Verhalten am Beispiel des Offenen Briefes dar. Diskutieren Sie in diesem Zusammenhang auch die Problematik des Normbegriffs. Erklären Sie, wie durch das Zusammenwirken verschiedener Ursachen Verhaltensstörungen hervorgerufen werden können. Welche Maßnahmen</t>
  </si>
  <si>
    <t>von individueller und gesellschaftlicher Ebene kann vorgenommen werden. Dabei ist jedoch zu beachten, dass der Bezug zum Fach Psychologie gewahrt bleibt. - Möglichkeit der Selbstverwirklichung für einen Menschen mit abweichendem Verhalten Bedürfnisse nach Maslow. - Auswirkung der Tabubrüche auf die Lebensführung des Einzelnen Bezüge zur Tiefenpsychologie. Das Problem der Bedeutung von Psychopharmaka bei der Behandlung seelischer Störungen kann gerade am Fall</t>
  </si>
  <si>
    <t>Christian angewandt werden. Diese Darstellung ist die Basis für die weiterführende Auseinandersetzung mit dem Normbegriff, der in seiner historischen, gesellschaftlichen und kulturellen Dimension vorgestellt werden soll. Beim Transfer auf das Verhalten von Christian sollen diese Aspekte inklusive des Zeitgeists berücksichtigt werden. Die multikausale Verursachung des problematischen Verhaltens soll vermittelt werden. Für die Note ausreichend muss die Definition auf den Fall angewandt</t>
  </si>
  <si>
    <t>inklusive des Zeitgeists berücksichtigt werden. Die multikausale Verursachung des problematischen Verhaltens soll vermittelt werden. Für die Note ausreichend muss die Definition auf den Fall angewandt und erkannt werden, dass abweichendes Verhalten vorliegt. Die Normen des Verhaltens müssen als veränderbare Größe dargestellt und in einem Beispiel auf den Fall bezogen werden. Die Problematik von genetischen Verhaltensursachen und entgegenstehenden sozialen Normen soll im</t>
  </si>
  <si>
    <t>Gesellschaft, Kultur und Natur mit Hilfe empirischen und geisteswissenschaftlicher Methoden untersucht werden. Im Fach Psychologie gewinnen die Schülerinnen und Schüler grundlegende Einsichten in individuelle und interindividuelle Prozesse menschlichen Erlebens und Verhaltens aus verschiedenen Perspektiven, wobei Aspekte der wissenschaftlichen Erforschung und Erklärung dieser Phänomene und die inhärenten wissenschaftstheoretischen und kulturhistorischen Prämissen ihrer Menschenbildannahmen berücksichtigt werden. Eine besondere Rolle spielt dabei die Anwendung</t>
  </si>
  <si>
    <t>Annahmen. Praktische Anwendung psychologischen Wissens Anwendung psychologischer Gesetzmäßigkeiten und Verfahrensweisen psychologische Forschungsmethoden und Interventionstechniken, dazu gehört: zielgerechte psychologische Forschungs- und Erkenntnisprozesse zu planen und durchzuführen, dabei Phänomene des Erlebens und Verhaltens systematisch beobachten, beschreiben und anschließend induktiv Gesetzmäßigkeiten postulieren, psychologische Experimente und Untersuchungen selbstständig planen, durchführen und auswerten; psychologische Theorien auf Alltagsphänomene und -problemstellungen anwenden, dabei psychologische Sachverhalte mit Hilfe bekannter</t>
  </si>
  <si>
    <t>Kg Themenbereiche Konkrete Gegenstände und ihre paradigmatische Zuordnung Abk.: Tf - Tiefenpsychologie, Gz - Ganzheitspsychologie, Bh - Behaviorismus, Pb - Psychobiologie, Kg - Kognitivismus Prosoziales Verhalten und Altruismus Prozessmodell hilfreichen Verhaltens Kg reziproker Altruismus und Verwandtenselektion Pb Persönlichkeits- und Entwicklungspsychologie Deskriptive Persönlichkeitstheorien Kognitive Persönlichkeitskonstrukttheorie Kelley Kg Trait-Konzept und behavioristische Persönlichkeitstheorie Bh Entwicklungstheorien der Persönlichkeit Die Entwicklung der Bindungsfähigkeit Pb Die psychodynamische</t>
  </si>
  <si>
    <t>ermöglichen. Die folgenden Beispiele beschreiben Themenbereiche, aus denen Teilaspekte als Prüfungsthemen für die fünfte Prüfungskomponente als mündliche Prüfung in neuer Form besonders geeignet erscheinen: Langzeitbeobachtungen und -messungen des Erlebens und Verhaltens von Menschen mit entsprechenden Auswertungen Planung und Durchführung psychologischer Experimente und Untersuchungen Entwicklung und Anwendung von Tests und anderen Untersuchungsmethoden Psychologische Analyse von Medien Filmen, Fernsehsendungen usw. Selbstständige Konstruktion und</t>
  </si>
  <si>
    <t>Wissen aus den verschiedenen Bereichen des Behaviorismus und der Humanistischen Psychologie, der Kommunikationspsychologie und der Wirtschaftspsychologie vernetzen und anwenden, den Fall also aus der Sichtweise verschiedener Paradigmen untersuchen. Einordnung des Verhaltens von Friedrich in das situative Modell von Hersey/Blanchard. Dies ergibt sich aus der selbstbewussten und leistungsorientierten Haltung von Friedrich. Friedrich ist nach diesem Modell ein sehr reifer Mitarbeiter, der für</t>
  </si>
  <si>
    <t>Erwachsene, ist zu abhängig ist roh zu Tieren, quält sie Quelle: Steinhausen, Hans-Christoph: Seelische Störungen im Kindesalter. Klett-Cotta. Stuttgart S. f. A. Arbeitsanweisung Svens Eltern suchen eine Beratungsstelle wegen des Verhaltens ihres Sohnes auf. Die Therapeutin erklärt in diesem Gespräch den Eltern, dass sie mit Sven den Baumtest machen werde. Die Eltern sollen den oben gezeigten merkmalsorientierten Elternfragebogen ausfüllen. Erläutern Sie</t>
  </si>
  <si>
    <t>Maßnahmen schlagen Sie vor B. Unterrichtliche Voraussetzungen Der folgende Lösungsvorschlag geht davon aus, dass das Thema Hyperkinetische Störung nicht im Unterricht behandelt wurde. Behandelt wurde jedoch die Problematik des abweichenden Verhaltens unter Berücksichtigung verschiedener psychologischer Erklärungsansätze. B. Erwartungshorizont Die Problematik der Erklärung abweichenden Verhaltens, hier speziell der Hyperaktivität, soll aufgegriffen werden. Verschiedene Paradigmen können in ihrem Erklärungsgehalt verglichen und einander gegenübergestellt</t>
  </si>
  <si>
    <t>dass das Thema Hyperkinetische Störung nicht im Unterricht behandelt wurde. Behandelt wurde jedoch die Problematik des abweichenden Verhaltens unter Berücksichtigung verschiedener psychologischer Erklärungsansätze. B. Erwartungshorizont Die Problematik der Erklärung abweichenden Verhaltens, hier speziell der Hyperaktivität, soll aufgegriffen werden. Verschiedene Paradigmen können in ihrem Erklärungsgehalt verglichen und einander gegenübergestellt werden. AB II u. III Darauf basierende Beratungs- und Therapieansätze sind vorzustellen und</t>
  </si>
  <si>
    <t>in den Vordergrund stellt, sollten genetische Ursachen auf jeden Fall angesprochen werden. Dabei ist, gerade unter Berücksichtigung der Normverstöße von Christian, ein Eingehen auf die Wechselwirkung von genetischen Grundlagen des Verhaltens und sozialen Reaktionen der Umwelt gefordert. AB I u. II Teil - Weiterführende Aspekte Das Problem der Sekundärfolgen und die Vorbeugung. Normverstöße/Tabubrüche in der Werbung sind heute oft schon zu</t>
  </si>
  <si>
    <t>auf die soziale Umwelt gut behandelt werden. AB II u. III B. Bewertungshorizont für die Noten gut und ausreichend Für die Note gut sollten die Merkmale der Definition des abweichenden Verhaltens vollständig dargestellt und zutreffend auf den Fall Christian angewandt werden. Diese Darstellung ist die Basis für die weiterführende Auseinandersetzung mit dem Normbegriff, der in seiner historischen, gesellschaftlichen und kulturellen Dimension</t>
  </si>
  <si>
    <t>in seiner historischen, gesellschaftlichen und kulturellen Dimension vorgestellt werden soll. Beim Transfer auf das Verhalten von Christian sollen diese Aspekte inklusive des Zeitgeists berücksichtigt werden. Die multikausale Verursachung des problematischen Verhaltens soll vermittelt werden. Für die Note ausreichend muss die Definition auf den Fall angewandt und erkannt werden, dass abweichendes Verhalten vorliegt. Die Normen des Verhaltens müssen als veränderbare Größe dargestellt</t>
  </si>
  <si>
    <t>Die multikausale Verursachung des problematischen Verhaltens soll vermittelt werden. Für die Note ausreichend muss die Definition auf den Fall angewandt und erkannt werden, dass abweichendes Verhalten vorliegt. Die Normen des Verhaltens müssen als veränderbare Größe dargestellt und in einem Beispiel auf den Fall bezogen werden. Die Problematik von genetischen Verhaltensursachen und entgegenstehenden sozialen Normen soll im Ansatz erkannt werden.</t>
  </si>
  <si>
    <t>von Kritikpunkten, die im Unterricht erarbeitet wurden, keine eigenständige Leistung im Urteilsbereich sondern lediglich Reproduktion vgl. Anforderungsbereich I. Kreativität und Originalität Schöpferischer Umgang mit vorhandenen Kenntnissen, Fähigkeiten, Fertigkeiten, Einstellungen und Verhaltensweisen in variablen Anwendungssituationen; selbstständiges Finden von Problemen; eigenständiges Entwickeln von Bewertungskriterien; künstlerische Kreativität. Bewertungskriterien sind z. B.: Relevanz der gefundenen Probleme Angemessenheit der gefundenen Bewertungskriterien Grad der Originalität und der</t>
  </si>
  <si>
    <t>zur Alltagspsychologie Erkenntnisziele, Methoden der Erkenntnisgewinnung Betrachtung psychischer Phänomene Erklärungsaspekte für psychische Phänomene: innere Prozesse, personale Dispositionen, Situationsfaktoren, Entwicklung ausgewählte Paradigmen: Tiefenpsychologie, Behaviorismus, Kognitivismus Vernetzungen, Anregungen NOLTING-PAULUS-Modell zur Erklärung von Verhalten und Erleben Tätigkeitsbereiche von Psychologinnen und Psychologen Werbung unter paradigmatischen Aspekten das Experiment in den Naturwissenschaften Menschenbilder in der Philosophie/ Geschichte/ Kunstgeschichte/ Literatur Einführung in die Wissenschaft Psychologie Kompetenzbezug Die</t>
  </si>
  <si>
    <t>Aspekten das Experiment in den Naturwissenschaften Menschenbilder in der Philosophie/ Geschichte/ Kunstgeschichte/ Literatur Einführung in die Wissenschaft Psychologie Kompetenzbezug Die Schülerinnen und Schüler formulieren aus eigener Erfahrung bekanntes Erleben und Verhalten und erfassen so psychologische Aspekte im Alltag. Auf dieser Grundlage identifizieren sie alltagspsychologische Herangehensweisen und unterscheiden diese von wissenschaftlichen. Sie erschließen sowohl Möglichkeiten der Wissenschaft Psychologie bei der Betrachtung menschlichen</t>
  </si>
  <si>
    <t>Ursache - Wirkung- Beziehungen zur Erklärung psychischer Phänomene. Sie identifizieren multifaktorielle Kausalbezüge und analysieren die Komplexität menschlichen Erlebens und Verhaltens. Mithilfe geeigneter Systeme erfassen und erklären sie menschliches Erleben und Verhalten. Erklärungsaspekte für psychische Phänomene: innere Prozesse personale Dispositionen Situationsfaktoren Entwicklung Ausgewählte Paradigmen Kompetenzbezug Bei der Beschäftigung mit grundlegenden theoretischen Strömungen innerhalb der Psychologie schaffen sich die Schülerinnen und Schüler ein</t>
  </si>
  <si>
    <t>und Schüler ein grobes, inhaltliches Grundgerüst, in das psychologische Themen auch in Zukunft eingeordnet werden können. Die Schülerinnen und Schüler identifizieren die Existenz verschiedener Perspektiven der Betrachtung von Erleben und Verhalten, nehmen erste vergleichende Wertungen vor und berücksichtigen historische Bezüge. Sie kommunizieren auf der Grundlage von Achtung und Toleranz. Die Lernenden nutzen sachgerecht fachspezifische Medien. Inhalte Tiefenpsychologie Behaviorismus Kognitivismus Bildung und</t>
  </si>
  <si>
    <t>selbstständig allein und in Gruppen herzustellen und wertvolle Erfahrungen zu sammeln. Praktische Leistungen Beitrag des Faches Psychologie zum Kompetenzerwerb Fachprofil Ausgehend vom Selbstverständnis der Psychologie als einer empirischen Wissenschaft vom Verhalten und Erleben des Menschen stehen im Unterrichtsfach Psychologie zwei allgemeine Zielsetzungen im Mittelpunkt. Zum einen geht es darum, die Schülerinnen und Schüler wissenschaftspropädeutisch mit den grundlegenden Themen, Theorien und Forschungsmethoden</t>
  </si>
  <si>
    <t>es entsprechend, dass die Schülerinnen und Schüler mit dieser Verschiedenheit angemessen umgehen können, sie auf ihren Alltag anwenden können und auf der Grundlage differenzierter Kenntnisse zu alltäglichen Fragen, die menschliches Verhalten und Erleben betreffen, fundiert und kritisch Stellung nehmen können. Das Unterrichtsfach Psychologie orientiert sich bezüglich seiner Zielsetzungen an der Wissenschaft Psychologie. Das Fach greift in vielen Aspekten sowohl natur- und</t>
  </si>
  <si>
    <t>Medien inhaltlich zu erschließen, Zusammenhänge adäquat wiederzugeben und sachlich zu argumentieren Kommunikationsfähigkeiten, die insbesondere auf die gegenseitige Toleranz und Achtung und auf Verständigung ausgerichtet sind Neugier und Offenheit für das Verhalten und Erleben anderer die Bereitschaft zur Selbstreflexion Sie haben fachliche Kompetenzen erworben, indem sie Vorstellungen über die Psychologie im Allgemeinen, psychologische Grundlagendisziplinen und über die Arbeitsfelder von Psychologinnen und Psychologen</t>
  </si>
  <si>
    <t>Entwicklung Untersuchungsmethoden, Forschungstechniken psychoanalytische Gesprächssituation Introspektion freie Assoziation, Widerstandsanalyse Deutung Theoriebildung durch Vergleich von Einzelfallstudien Das Paradigma des Behaviorismus Inhalte Forschungsgegenstände Reize physikalische Auslöser Reaktionen messbare Aktivitäten des Organismus offenes Verhalten Black-Box-Modell S-R-Schema Erklärungsmodelle klassisches Konditionieren operantes Konditionieren Prinzipien der Reizsubstitution, Reizdiskriminierung, Reizgeneralisierung, Löschung Untersuchungsmethoden, Forschungstechniken Laborexperiment objektive Kontrolle der untersuchten Variablen Reduktionismus Theoriebildung durch Verallgemeinerung experimenteller Befunde Das Paradigma des</t>
  </si>
  <si>
    <t>operantes Konditionieren Prinzipien der Reizsubstitution, Reizdiskriminierung, Reizgeneralisierung, Löschung Untersuchungsmethoden, Forschungstechniken Laborexperiment objektive Kontrolle der untersuchten Variablen Reduktionismus Theoriebildung durch Verallgemeinerung experimenteller Befunde Das Paradigma des Kognitivismus Inhalte Forschungsgegenstände Erleben und Verhalten als Informationsaufnahme, -verarbeitung, -speicherung kognitive Repräsentationen Handlungsregulation Erklärungsmodelle Modelle des Gedächtnisses und des problemlösenden Denkens Modelle der Überzeugungen, Einstellungen, Selbstkonzepte, Attributionen Untersuchungsmethoden, Forschungstechniken: quantitative Verfahren Feld und Labor repräsentative Befragungen</t>
  </si>
  <si>
    <t>Denkens Modelle der Überzeugungen, Einstellungen, Selbstkonzepte, Attributionen Untersuchungsmethoden, Forschungstechniken: quantitative Verfahren Feld und Labor repräsentative Befragungen Theoriebildung durch Verallgemeinerung experimenteller Befunde Computersimulationen Das Paradigma der Psychobiologie Inhalte Forschungsgegenstände biologisch adaptives Verhalten Erleben und Verhalten als genetisch bedingt zur Sicherung des Überlebens und der Fortpflanzung Erklärungsmodelle Anpassung und Reproduktion evolutionäre Prozesse reproduktive Fitnessmaximierung Bindungsverhalten Untersuchungsmethoden, Forschungstechniken ungestörte und künstliche Beobachtungs- und Experimentalsituationen</t>
  </si>
  <si>
    <t>Überzeugungen, Einstellungen, Selbstkonzepte, Attributionen Untersuchungsmethoden, Forschungstechniken: quantitative Verfahren Feld und Labor repräsentative Befragungen Theoriebildung durch Verallgemeinerung experimenteller Befunde Computersimulationen Das Paradigma der Psychobiologie Inhalte Forschungsgegenstände biologisch adaptives Verhalten Erleben und Verhalten als genetisch bedingt zur Sicherung des Überlebens und der Fortpflanzung Erklärungsmodelle Anpassung und Reproduktion evolutionäre Prozesse reproduktive Fitnessmaximierung Bindungsverhalten Untersuchungsmethoden, Forschungstechniken ungestörte und künstliche Beobachtungs- und Experimentalsituationen Fragebogen Theoriebildung durch</t>
  </si>
  <si>
    <t>Psychobiologie - peripheres und zentrales Nervensystem - Reizleitung - Hirnarchitektur - visuelles System - Bindungstheorie BOWLBY P A R A D I G M - Konstitutionstypologien - Temperamente - prosoziales Verhalten und Altruismus HAMILTON, TRIVERS E N - Kritische Psychologie - Subjektstandpunkt - Begründungsdiskurs - gesellschaftliche Vermitteltheit - Reinterpretation von Lerntheorien - defensives/ expansives Lernen - Kolonisierung der Kindheit - restriktive</t>
  </si>
  <si>
    <t>so psychologische Aspekte im Alltag. Auf dieser Grundlage identifizieren sie alltagspsychologische Herangehensweisen und unterscheiden diese von wissenschaftlichen. Sie erschließen sowohl Möglichkeiten der Wissenschaft Psychologie bei der Betrachtung menschlichen Erlebens und Verhaltens als auch die Berührungspunkte zu anderen Wissenschaften. Sie nutzen selbst im Rahmen einer einfachen psychologischen Fragestellung eine geeignete wissenschaftliche Methode. Inhalte Gegenstand der Psychologie Tätigkeitsbereiche von Psychologinnen und Psychologen Abgrenzung</t>
  </si>
  <si>
    <t>von Verhaltensbeschreibungen aus ihrer Lebenswelt suchen die Schülerinnen und Schüler nach Ursache - Wirkung- Beziehungen zur Erklärung psychischer Phänomene. Sie identifizieren multifaktorielle Kausalbezüge und analysieren die Komplexität menschlichen Erlebens und Verhaltens. Mithilfe geeigneter Systeme erfassen und erklären sie menschliches Erleben und Verhalten. Erklärungsaspekte für psychische Phänomene: innere Prozesse personale Dispositionen Situationsfaktoren Entwicklung Ausgewählte Paradigmen Kompetenzbezug Bei der Beschäftigung mit grundlegenden theoretischen</t>
  </si>
  <si>
    <t>Vier Kompetenzbereiche werden für das Fach Psychologie definiert: Fachwissen - psychische Phänomene, Begriffe, Methoden, Theorien verwenden und grundlegenden theoretischen Wissenschaftsströmungen Paradigmen oder Sichtweisen zuordnen Die Psychologie beginnt die Betrachtung des Verhaltens und Erlebens von Individuen und Gruppen phänomenlogisch und benutzt zum Auffinden und Beschreiben von Gesetzmäßigkeiten spezifische Methoden, Begriffe und Theorien aus der Perspektive unterschiedlicher Paradigmen. Der Kompetenzbereich Fachwissen umfasst daher:</t>
  </si>
  <si>
    <t>in präzisierter Form als Thema einer schriftlichen Ausarbeitung geeignet scheinen. Teilaspekte dieser Themen können als Prüfungsthemen für die mündliche Form der fünften Prüfungskomponente fungieren: Langzeitbeobachtungen und -messungen des Erlebens und Verhaltens von Menschen mit entsprechenden Auswertungen Planung und Durchführung psychologischer Experimente und Untersuchungen Entwicklung und Anwendung von Tests und anderen Untersuchungsmethoden psychologische Analyse von Medien Filmen, Fernsehsendungen usw. selbstständige Konstruktion und</t>
  </si>
  <si>
    <t>III enthält zwei Teilbereiche: Problemlösung, Bewertung und Urteilsbildung selbstständiges Lösen von Problemstellungen; wissenschaftlich begründetes Stellungnehmen und Urteilen und Kreativität und Originalität schöpferischer Umgang mit vorhandenen Kenntnissen, Fähigkeiten, Fertigkeiten, Einstellungen und Verhaltensweisen in variablen Anwendungssituationen; selbstständiges Finden von Problemen; eigenständiges Entwickeln von Bewertungskriterien; künstlerische Kreativität. Fünfte Prüfungskomponente Für die fünfte Prüfungskomponente sind zwei Formen, die zusätzliche mündliche Prüfung und die besondere Lernleistung,</t>
  </si>
  <si>
    <t>der jeweiligen individuellen, gesellschaftlichen, zeit- und raumbezogenen Bedingungen und Auswirkungen. Bei der Betrachtung von Alltagsphänomenen mithilfe evidenzbasierter, wissenschaftlicher Beschreibungen und Erklärungsansätze erfolgt eine bewusste multiperspektivische Auseinandersetzung mit fremdem sowie eigenem Verhalten und Erleben. Dies ermöglicht den Schülerinnen und Schülern eine reflektierte Auseinandersetzung mit unterschiedlichen sich schnell verändernden Lebenswirklichkeiten sowie eine selbstständige Urteilsbildung und eröffnet ihnen ferner neue Handlungsoptionen, z. B. im</t>
  </si>
  <si>
    <t>wissenschaftlich zu beschreiben, empirisch zu untersuchen und auf der Grundlage psychologischer Theorien zu erklären. Dadurch erfassen sie die Bedeutsamkeit der gewonnenen wissenschaftlichen Erkenntnisse und entwickeln Handlungsoptionen und Strategien zum verantwortungsbewussten Verhalten gegenüber der eigenen physischen sowie psychischen Gesundheit und der ihrer Mitmenschen. Der Psychologieunterricht trägt somit dazu bei, lebenspraktische Herausforderungen, respektive Fragestellungen systematisch zu analysieren und entsprechend ihrer individuellen Relevanz zu</t>
  </si>
  <si>
    <t>Denn die Schülerinnen und Schüler entwickeln die Fähigkeit und Bereitschaft, sowohl ihre eigene Lebenswelt zu reflektieren, diese im verantwortungsvollen Umgang mit sich und anderen zu gestalten Handlungskompetenz als auch beobachtbares Verhalten und subjektives Erleben sprachlich zu erfassen sowie mitzuteilen Kommunikationskompetenz. Die Entwicklung der beiden Rahmenkompetenzen wird durch die phänomenologische Kompetenz, die Analyse- und Bewertungskompetenz gefördert. Im Unterricht untersuchen die Schülerinnen und</t>
  </si>
  <si>
    <t>mitzuteilen Kommunikationskompetenz. Die Entwicklung der beiden Rahmenkompetenzen wird durch die phänomenologische Kompetenz, die Analyse- und Bewertungskompetenz gefördert. Im Unterricht untersuchen die Schülerinnen und Schüler psychische Phänomene und erklären Erleben und Verhalten in situativen Kontexten auf der Grundlage verschiedener Paradigmen sowie Modelle unter Anwendung wissenschaftlicher Methoden. Dabei ist unter dem Begriff des Paradigmas eine grundsätzliche Denkweise zu verstehen, die durch die fünf</t>
  </si>
  <si>
    <t>die Fertigkeit sowie die Bereitschaft, psychologische Erkenntnisse konstruktiv und verantwortungsvoll einerseits für die Bewältigung sozialer Situationen und andererseits für das eigene Leben anzuwenden. Sie erkennen im konkreten menschlichen Erleben und Verhalten psychologische Problemstellungen, leiten selbstständig psychologische Fragestellungen ab und können so durch Nutzung psychologischer Theorien und Methoden zur Lösung von Alltagsproblemen beitragen. Die Schülerinnen und Schüler werden befähigt, Strategien zur Selbsterkenntnis</t>
  </si>
  <si>
    <t>Integrierende Modell beziehen, deren Bedeutung für die rationale Bewältigung des täglichen Lebens analysieren und damit einen verantwortlichen Umgang mit sich selbst und der sozialen Umgebung entwickeln, ihr eigenes Erleben und Verhalten sowie das Verhalten anderer situations- und anforderungsangemessen einordnen und beurteilen, diese Erkenntnisse verantwortungsbewusst im täglichen Handeln anwenden. Die Schülerinnen und Schüler können sachbezogen, situationsangemessen und adressatengerecht zu psychologischen Themen sprechen</t>
  </si>
  <si>
    <t>deren Bedeutung für die rationale Bewältigung des täglichen Lebens analysieren und damit einen verantwortlichen Umgang mit sich selbst und der sozialen Umgebung entwickeln, ihr eigenes Erleben und Verhalten sowie das Verhalten anderer situations- und anforderungsangemessen einordnen und beurteilen, diese Erkenntnisse verantwortungsbewusst im täglichen Handeln anwenden. Die Schülerinnen und Schüler können sachbezogen, situationsangemessen und adressatengerecht zu psychologischen Themen sprechen und schreiben sowie</t>
  </si>
  <si>
    <t>psychologische Erkenntnisse sachlogisch und konstruktiv führen und moderieren, psychologische Sachverhalte für Nichtfachleute verständlich darstellen, erklären und auf Alltagsbeispiele übertragen, eigenes Erleben nachvollziehbar beschreiben, die häufig vorhandene Diskrepanz zwischen Erleben und Verhalten sprachlich und mit Fachbegriffen angemessen verständlich darstellen. Kompetenzbereich Phänomenologische Kompetenz Eine individuelle Unstimmigkeitserfahrung Disäquilibration geht als Ausgangspunkt zur Entwicklung der fachspezifischen Kompetenzen jeglicher Auseinandersetzung mit Fachinhalten voran, d. h. neue</t>
  </si>
  <si>
    <t>zu erschließen und einzuschätzen. Dabei werden sowohl widersprüchliche als auch konkurrierende Perspektiven und dahinterstehende Argumentationen einbezogen. Am Ende der Qualifikationsphase können die Schülerinnen und Schüler in der Regel Erleben und Verhalten aus verschiedenen psychologischen Perspektiven systematisch beobachten und beschreiben sowie daraus induktiv psychologische Gesetzmäßigkeiten ableiten, psychische Phänomene auf der Grundlage psychologischer Gesetzmäßigkeiten und Erkenntnismethoden der Psychologie interpretieren, in systematische Zusammenhänge einordnen</t>
  </si>
  <si>
    <t>aufzugreifen und zu untersuchen. Dadurch leistet das Fach einen umfänglichen Beitrag zur Herausbildung der im Grundsatzband ausgewiesenen fächerübergreifenden Schlüsselkompetenzen. Durch die bewusste Auseinandersetzung mit dem eigenen und fremden Erleben und Verhalten wird im Besonderen die Entwicklung der Sozialund Sprachkompetenz unterstützt, denn die im Psychologieunterricht geforderte Fähigkeit, über menschliches Erleben und Verhalten in korrekter Fachsprache schriftlich und mündlich zu kommunizieren, fördert explizit</t>
  </si>
  <si>
    <t>die bewusste Auseinandersetzung mit dem eigenen und fremden Erleben und Verhalten wird im Besonderen die Entwicklung der Sozialund Sprachkompetenz unterstützt, denn die im Psychologieunterricht geforderte Fähigkeit, über menschliches Erleben und Verhalten in korrekter Fachsprache schriftlich und mündlich zu kommunizieren, fördert explizit die Sprachkompetenz der Schülerinnen und Schüler. Auf der Grundlage des Kennenlernens von Entstehungs- und Funktionsmechanismen entwickeln sie ein Verständnis für</t>
  </si>
  <si>
    <t>mündlich zu kommunizieren, fördert explizit die Sprachkompetenz der Schülerinnen und Schüler. Auf der Grundlage des Kennenlernens von Entstehungs- und Funktionsmechanismen entwickeln sie ein Verständnis für fremde Einstellungen oder für das Verhalten anderer. Darüber hinaus sie anwendbare Lösungsstrategien für interpersonelle und intrapersonelle Konflikte, wodurch gleichzeitig die Herausbildung der Demokratiekompetenz gefördert wird. Der Beitrag des Psychologieunterrichts zur Ausbildung der Lernkompetenz ergibt sich aus</t>
  </si>
  <si>
    <t>in der Regel unterschiedliche Standpunkte zu pädagogischen und psychologischen Phänomenen vertreten, Verständnis für entgegengesetzte Standpunkte entwickeln, Fachsprachkenntnisse selbstständig aneignen und korrekt nutzen, Fachtexte selbstständig hinsichtlich relevanter Aussagen zum menschlichen Erleben, Verhalten und Handeln analysieren und bewerten sowie fachsprachlich korrekt kommunizieren, kontinuierlich und erfolgreich in bewusst gestalteten Lernsituationen zu pädagogischen und psychologischen Themen individuell und in Kooperation mit anderen lernen und handeln,</t>
  </si>
  <si>
    <t>Wissenschaft Psychologie darstellen Phänomenologische Kompetenz - aus eigener Erfahrung gewonnene alltagspsychologische Kenntnisse identifizieren und von Merkmalen der wissenschaftlichen Theorie unterscheiden - Gegenstand der Psychologie durch die Betrachtung von Erleben und Verhalten auf Alltagsphänomene anwenden Analysekompetenz - Gegenstand der Psychologie durch die Betrachtung von Erleben und Verhalten sowie deren Wechselwirkungen ermitteln - Ziele der Psychologie beschreiben und am Beispiel erläutern - psychologische</t>
  </si>
  <si>
    <t>Merkmalen der wissenschaftlichen Theorie unterscheiden - Gegenstand der Psychologie durch die Betrachtung von Erleben und Verhalten auf Alltagsphänomene anwenden Analysekompetenz - Gegenstand der Psychologie durch die Betrachtung von Erleben und Verhalten sowie deren Wechselwirkungen ermitteln - Ziele der Psychologie beschreiben und am Beispiel erläutern - psychologische Fragestellungen verschiedener Disziplinen und ausgewählter Anwendungsgebiete unterscheiden und zuordnen - zur Erfassung verschiedener Erklärungsmöglichkeiten für</t>
  </si>
  <si>
    <t>deren Wechselwirkungen ermitteln - Ziele der Psychologie beschreiben und am Beispiel erläutern - psychologische Fragestellungen verschiedener Disziplinen und ausgewählter Anwendungsgebiete unterscheiden und zuordnen - zur Erfassung verschiedener Erklärungsmöglichkeiten für ausgewähltes Verhalten Grundannahmen unterschiedlicher paradigmatischer Erklärungsmodelle in Ansätzen beschreiben Bewertungskompetenz - alltagspsychologische Erfahrungen und daraus folgende subjektive Verallgemeinerungen prüfen und beurteilen - Berechtigung verschiedener Erklärungsansätze für Alltagsbeispiele auf Grundlage der Paradigmen unter</t>
  </si>
  <si>
    <t>- alltagspsychologische Erfahrungen und daraus folgende subjektive Verallgemeinerungen prüfen und beurteilen - Berechtigung verschiedener Erklärungsansätze für Alltagsbeispiele auf Grundlage der Paradigmen unter Anleitung beurteilen Handlungskompetenz - Beschreibung und Interpretation von Verhalten in sozialen Situationen bewusst unterscheiden - anhand ausgewählter Beispiele des Erlebens und Verhaltens Paradigmen unterscheiden und dieses Grundgerüst für die Untersuchung psychischer Phänomene nutzen - psychologisches Wissen für systemisches und</t>
  </si>
  <si>
    <t>Kommunikationskompetenz - als Voraussetzung für die differenzierte und zielgerichtete Anwendung der Fachsprache Inhalte psychologischer Begriffe wiedergeben und zuordnen Grundlegende Wissensbestände - Merkmale und Funktion der Alltagspsychologie - Gegenstand Erleben und Verhalten und Ziele Beschreiben, Erklären, Vorhersagen, Verändern und Bewerten der Wissenschaft Psychologie - Disziplinen und ausgewählte Anwendungsgebiete der Psychologie - Grundaussagen ausgewählter Paradigmen der Psychologie im Überblick z. B. Tiefenpsychologie, Behaviorismus,</t>
  </si>
  <si>
    <t>Paradigmen der Psychologie im Überblick z. B. Tiefenpsychologie, Behaviorismus, Biopsychologie, Kognitivismus, Ganzheitspsychologie Möglichkeiten zur Abstimmung im Schuljahrgang - Biologie: Wechselwirkungen zwischen Mensch und Umwelt darstellen Einfluss der Umwelt auf eigenes Verhalten bewerten z. B. Gruppennorm, Stressoren Kompetenzschwerpunkt: Ausgewählte Methoden der Psychologie beschreiben und anwenden Phänomenologische Kompetenz - auf Basis von Unstimmigkeitserfahrungen in Alltagssituationen, z. B. sozial-ökologische Krisen, eine wissenschaftliche Fragestellung ableiten</t>
  </si>
  <si>
    <t>Pluralität mit der Frage nach Gott auseinandersetzen Erkenntnismethoden von Geisteswissenschaften und Naturwissenschaften Kompetenzschwerpunkt: Psychische Phänomene: Wahrnehmung erklären Phänomenologische Kompetenz - Multidimensionalität von Wahrnehmung skizzieren - die Diskrepanz zwischen Erleben und Verhalten einer Person wahrnehmen - Effekte und Fehler bei der Personenwahrnehmung unter Nutzung von Experimenten ableiten und auf Alltagserfahrungen übertragen - die Bedeutung der positiven wie negativen Effekte der Personenwahrnehmung für</t>
  </si>
  <si>
    <t>Sozialformen wahrnehmen und erkennen - Auswirkungen von Gruppenkonstellationen auf den Einzelnen beschreiben Analysekompetenz - Merkmale und Arten von Gruppen sowie Gruppenentwicklungsprozesse beschreiben und auf verschiedene eigene Gruppenzugehörigkeiten anwenden - konformes Verhalten und Gehorsam gegenüber Autoritäten auf der Grundlage der Analyse historischer Experimente ganzheitspsychologisch erklären und auf Alltagssituationen übertragen - soziale Rollen und damit zusammenhängende Intra- und Interrollenkonflikte erläutern sowie soziometrische Strukturen</t>
  </si>
  <si>
    <t>- Zusammenhänge von Gruppe und Leistung experimentell prüfen und auf den schulischen Kontext übertragen Bewertungskompetenz - ethische Aspekte sozialpsychologischer Experimente bewerten - Einfluss von Gruppendruck, Gruppennormen und Autorität auf das Verhalten des Einzelnen als Voraussetzung für die Erklärung von Verhalten in Alltagssituationen beurteilen - Einflüsse der digitalen Welt auf Gruppenbildung, -werte und -strukturen reflektieren Handlungskompetenz - eigenes Verhalten in Gruppen, insbesondere</t>
  </si>
  <si>
    <t>auf den schulischen Kontext übertragen Bewertungskompetenz - ethische Aspekte sozialpsychologischer Experimente bewerten - Einfluss von Gruppendruck, Gruppennormen und Autorität auf das Verhalten des Einzelnen als Voraussetzung für die Erklärung von Verhalten in Alltagssituationen beurteilen - Einflüsse der digitalen Welt auf Gruppenbildung, -werte und -strukturen reflektieren Handlungskompetenz - eigenes Verhalten in Gruppen, insbesondere gegenüber Autoritäten situations- und anforderungsangemessen einschätzen und regulieren -</t>
  </si>
  <si>
    <t>Autorität auf das Verhalten des Einzelnen als Voraussetzung für die Erklärung von Verhalten in Alltagssituationen beurteilen - Einflüsse der digitalen Welt auf Gruppenbildung, -werte und -strukturen reflektieren Handlungskompetenz - eigenes Verhalten in Gruppen, insbesondere gegenüber Autoritäten situations- und anforderungsangemessen einschätzen und regulieren - eigene digitale Produkte zur Veranschaulichung von Gruppenstrukturen und -normen entwickeln - eigene Forschungsfragen zu den Zusammenhängen von Gruppe</t>
  </si>
  <si>
    <t>Deutsch, Englisch, Französisch, Spanisch, Russisch, Italienisch, Latein, Griechisch, Geschichte, Sozialkunde, Evangelischer Religionsunterricht, Katholischer Religionsunterricht, Geographie Kompetenzschwerpunkt: Integrierendes Modell beschreiben und übertragen Phänomenologische Kompetenz - verschiedene Alltagssituationen charakterisieren - Erleben und Verhalten als multifaktoriell erklärbar erkennen - individuelle Erklärmuster bewusst wahrnehmen und beschreiben Analysekompetenz - anhand von Alltagssituationen und Fallbeispielen grundlegende Aspekte des psychischen Systems identifizieren - die Notwendigkeit der Sensibilisierung in</t>
  </si>
  <si>
    <t>beschreiben Analysekompetenz - anhand von Alltagssituationen und Fallbeispielen grundlegende Aspekte des psychischen Systems identifizieren - die Notwendigkeit der Sensibilisierung in Bezug auf nachhaltiges Handeln im Alltag ermitteln - Erleben und Verhalten auf der Grundlage des Zusammenwirkens der Aspekte beschreiben und unter Berücksichtigung von Ursache-Wirkungs-Beziehungen erklären - zur Strukturierung psychologischen Wissens paradigmatische Ansätze und Disziplinen den Aspekten des Integrierenden Modells zuordnen Bewertungskompetenz</t>
  </si>
  <si>
    <t>Berücksichtigung von Ursache-Wirkungs-Beziehungen erklären - zur Strukturierung psychologischen Wissens paradigmatische Ansätze und Disziplinen den Aspekten des Integrierenden Modells zuordnen Bewertungskompetenz - Eignung des integrierenden Modells zur Erklärung von Erleben und Verhalten multifaktoriell beurteilen Handlungskompetenz - eigenes und fremdes Verhalten auf Grundlage des integrierenden Modells interpretieren und für eigenes Handeln Verantwortung übernehmen - Aspekte der Nachhaltigkeit für die eigene gesunde, aktive und</t>
  </si>
  <si>
    <t>Wissens paradigmatische Ansätze und Disziplinen den Aspekten des Integrierenden Modells zuordnen Bewertungskompetenz - Eignung des integrierenden Modells zur Erklärung von Erleben und Verhalten multifaktoriell beurteilen Handlungskompetenz - eigenes und fremdes Verhalten auf Grundlage des integrierenden Modells interpretieren und für eigenes Handeln Verantwortung übernehmen - Aspekte der Nachhaltigkeit für die eigene gesunde, aktive und nachhaltige Lebensgestaltung ableiten Kommunikationskompetenz - zur Darstellung der</t>
  </si>
  <si>
    <t>Modells interpretieren und für eigenes Handeln Verantwortung übernehmen - Aspekte der Nachhaltigkeit für die eigene gesunde, aktive und nachhaltige Lebensgestaltung ableiten Kommunikationskompetenz - zur Darstellung der Komplexität von Erleben und Verhalten multikausale Bezüge zu grundlegenden Aspekten des psychischen Systems diskutieren - reale und konstruierte Fallbeispiele aus verschiedenen Medien auswählen, präsentieren und interpretieren Grundlegende Wissensbestände - Integrierendes Modell von Nolting und Paulus</t>
  </si>
  <si>
    <t>und Rogers auf der Grundlage fachspezifischer Quellen erläutern und vergleichen - sich mit den Bedingungen für die Entwicklung des ICHs und des Selbstkonzepts im schulischen und familiären Kontext auseinandersetzen - Verhalten und Persönlichkeitsmerkmale aus der Sicht der Persönlichkeitstheorien anhand von Fallbeispielen erklären Bewertungskompetenz - Erklärungswert verschiedener Persönlichkeitstheorien hinsichtlich der Praxisrelevanz beurteilen - zum Einsatz persönlichkeitsdiagnostischer Verfahren und des Anwendungskontextes Stellung nehmen</t>
  </si>
  <si>
    <t>- zum Einsatz persönlichkeitsdiagnostischer Verfahren und des Anwendungskontextes Stellung nehmen - Einfluss eines Erziehenden auf die individuelle Entwicklung beurteilen Handlungskompetenz - individuelle Möglichkeiten der Kontrolle und Steuerung von Erleben und Verhalten aus den Erkenntnissen der Persönlichkeitstheorien ableiten und verantwortungsbewusst einsetzen Kommunikationskompetenz - Möglichkeiten und Grenzen der Beeinflussung der Persönlichkeit durch Erziehung und Therapie diskutieren - ausgewählte Inhalte der Persönlichkeitstheorien problembezogen und</t>
  </si>
  <si>
    <t>Therapien Kurs : Ausgewählte sozialpsychologische Phänomene interpretieren Phänomenologische Kompetenz - ein psychisches Phänomen mithilfe von drei Paradigmen charakterisieren - verschiedene psychologische Untersuchungen und Fallbeispiele beschreiben - alltagsgebräuchliche Begriffe Aggression, hilfreiches Verhalten oder Einstellung und deren jeweiliges psychologisches Konstrukt charakterisieren - differenzierte Präventions-, Interventions- und Therapiemaßnahmen skizzieren Analysekompetenz - ausgewählte psychische Phänomene auf der Grundlage psychologischer Gesetzmäßigkeiten selbstständig erschließen und multiperspektivisch interpretieren</t>
  </si>
  <si>
    <t>Phänomene auf der Grundlage psychologischer Gesetzmäßigkeiten selbstständig erschließen und multiperspektivisch interpretieren - Ergebnisse psychologischer Untersuchungen sowie Fallbeispiele aus verschiedenen Medien hypothesengeleitet und theoriebezogen selbstständig auswerten und Interventionsmöglichkeiten begründet ableiten - Verhalten anderer Personen kriteriengeleitet analysieren Bewertungskompetenz - psychologische Erklärungsmodelle zu ausgewählten psychischen Phänomenen aus verschiedenen paradigmatischen Perspektiven in Bezug auf ihre Reichweite und Gültigkeit einschätzen - psychologisches Wissen zur Erweiterung der</t>
  </si>
  <si>
    <t>Erweiterung der eigenen sozialen Handlungsfähigkeit sowie zur Selbstwahrnehmung, Selbstreflexion und Selbststeuerung konstruktiv beurteilen - Interventionsmöglichkeiten in ihrer praktischen Relevanz bewerten sowie nach ethischen Gesichtspunkten beurteilen Handlungskompetenz - eigenes Erleben und Verhalten gemäß aktueller Anforderungen gestalten - einen verantwortlichen Umgang mit sich selbst und der sozialen Umgebung entwickeln Kommunikationskompetenz - theoretische Konstrukte, psychologische Gesetzmäßigkeiten und Ergebnisse empirischer Untersuchungen zusammenhängend und in korrekter</t>
  </si>
  <si>
    <t>problembezogen und adressatengerecht multimedial präsentieren - psychologisch argumentieren sowie einen Diskurs über kontroverse psychologische Erkenntnisse sachlogisch und konstruktiv führen und moderieren Grundlegende Wissensbestände - zwei ausgewählte psychische Phänomene Aggression, prosoziales Verhalten, Einstellungen aus der Sicht von drei Paradigmen - Merkmale von Aggression, aggressivem Verhalten und Aggressivität, Formen aggressiven Verhaltens einschließlich Mobbing sowie Theorien und Modelle der Entstehung von Aggression z. B.</t>
  </si>
  <si>
    <t>psychologische Erkenntnisse sachlogisch und konstruktiv führen und moderieren Grundlegende Wissensbestände - zwei ausgewählte psychische Phänomene Aggression, prosoziales Verhalten, Einstellungen aus der Sicht von drei Paradigmen - Merkmale von Aggression, aggressivem Verhalten und Aggressivität, Formen aggressiven Verhaltens einschließlich Mobbing sowie Theorien und Modelle der Entstehung von Aggression z. B. Triebtheorien, Frustrations-Aggressions-Theorie, Theorie aggressiver Hinweisreize von Berkowitz, Lerntheorien, Präventions- und Interventionsmaßnahmen - Unterschiede</t>
  </si>
  <si>
    <t>Formen aggressiven Verhaltens einschließlich Mobbing sowie Theorien und Modelle der Entstehung von Aggression z. B. Triebtheorien, Frustrations-Aggressions-Theorie, Theorie aggressiver Hinweisreize von Berkowitz, Lerntheorien, Präventions- und Interventionsmaßnahmen - Unterschiede von hilfreichem Verhalten, prosozialem Verhalten und Altruismus, Motive und Folgen prosozialen Verhaltens sowie Erklärungsansätze z. B. Reziprozität, Lerntheorien, Affekt-Priming-Modell - Merkmale, insbesondere Komponenten, und Funktionen von Einstellungen sowie Theorien des Einstellungserwerbs und der</t>
  </si>
  <si>
    <t>Verhaltens einschließlich Mobbing sowie Theorien und Modelle der Entstehung von Aggression z. B. Triebtheorien, Frustrations-Aggressions-Theorie, Theorie aggressiver Hinweisreize von Berkowitz, Lerntheorien, Präventions- und Interventionsmaßnahmen - Unterschiede von hilfreichem Verhalten, prosozialem Verhalten und Altruismus, Motive und Folgen prosozialen Verhaltens sowie Erklärungsansätze z. B. Reziprozität, Lerntheorien, Affekt-Priming-Modell - Merkmale, insbesondere Komponenten, und Funktionen von Einstellungen sowie Theorien des Einstellungserwerbs und der Einstellungsänderung z.</t>
  </si>
  <si>
    <t>Bildung und Erziehung im Fach Psychologie Teilhabe und Teilnahme am gesellschaftlichen Leben Im Fach Psychologie gewinnen die Schülerinnen und Schüler grundlegende Einsichten in intrapersonelle und interpersonelle Prozesse menschlichen Erlebens und Verhaltens unter Berücksichtigung der jeweiligen individuellen, gesellschaftlichen, zeit- und raumbezogenen Bedingungen und Auswirkungen. Bei der Betrachtung von Alltagsphänomenen mithilfe evidenzbasierter, wissenschaftlicher Beschreibungen und Erklärungsansätze erfolgt eine bewusste multiperspektivische Auseinandersetzung mit fremdem</t>
  </si>
  <si>
    <t>eigene Person vorzunehmen. Dabei sind kommunikative und kooperative Fähigkeiten erforderlich. Am Ende der Qualifikationsphase können die Schülerinnen und Schüler in der Regel Handlungsalternativen bezüglich der Kontrolle und Steuerung des eigenen Verhaltens, z. B. in Bezug auf Themen wie Nachhaltigkeit und Digitalität, sowie des Lern- und Arbeitsprozesses bewusst einsetzen sowie erfolgs- und zielorientiert auswerten, theoretische Konstrukte und Modelle auf das Integrierende Modell</t>
  </si>
  <si>
    <t>und andere mögliche Sichtweisen skizzieren. Die Schülerinnen und Schüler können mithilfe fachwissenschaftlicher Methoden und auf der Grundlage ausgewählter psychologischer Theorien und Modelle aus verschiedenen Paradigmen und Disziplinen der Psychologie konkrete Verhaltens- und Erlebensprozesse von Menschen beschreiben und erklären sowie daraus entstehende interpersonelle und intrapersonelle Probleme sachlich beurteilen. Des Weiteren sind sie in der Lage, die aus den unterschiedlichen theoretischen Erklärungsansätzen abgeleiteten</t>
  </si>
  <si>
    <t>ethischen Gesichtspunkten bewerten, psychologisches Wissen zur Erweiterung der eigenen sozialen Handlungsfähigkeit sowie zur Selbstwahrnehmung, Selbstreflexion und Selbststeuerung konstruktiv beurteilen, zu unterschiedlichen Lebenswirklichkeiten sowie interpersonellen und intrapersonellen Unterschieden menschlichen Erlebens und Verhaltens begründet Stellung nehmen. Beitrag zur Entwicklung der Schlüsselkompetenzen Aufgrund der biopsychischen Determination des Menschen ist es für das Unterrichtsfach Psychologie charakteristisch, psychische Phänomene im Schnittpunkt von Natur, Kultur und Gesellschaft</t>
  </si>
  <si>
    <t>verschiedener Erklärungsansätze für Alltagsbeispiele auf Grundlage der Paradigmen unter Anleitung beurteilen Handlungskompetenz - Beschreibung und Interpretation von Verhalten in sozialen Situationen bewusst unterscheiden - anhand ausgewählter Beispiele des Erlebens und Verhaltens Paradigmen unterscheiden und dieses Grundgerüst für die Untersuchung psychischer Phänomene nutzen - psychologisches Wissen für systemisches und lebenslanges Lernen anwenden Kommunikationskompetenz - als Voraussetzung für die differenzierte und zielgerichtete Anwendung</t>
  </si>
  <si>
    <t>- alltagsgebräuchlichen Begriff der Persönlichkeit und psychologisches Konstrukt Persönlichkeit benennen - individuelle Ausprägungen des psychologischen Konstrukts Persönlichkeit beschreiben - verschiedene Persönlichkeitstheorien darstellen - Bewusstwerden der individuellen Persönlichkeitsmerkmale sowie des individuellen Verhaltens - unterschiedliche Persönlichkeitsdiagnostikverfahren und deren Anwendung charakterisieren - differenzierte Beeinflussungsmöglichkeiten der Persönlichkeit skizzieren Analysekompetenz - Konstrukt Persönlichkeit und dessen Beschreibung vom alltagspsychologischen Persönlichkeitsbegriff unterscheiden - Persönlichkeitstheorien von Freud und Rogers</t>
  </si>
  <si>
    <t>führen und moderieren Grundlegende Wissensbestände - zwei ausgewählte psychische Phänomene Aggression, prosoziales Verhalten, Einstellungen aus der Sicht von drei Paradigmen - Merkmale von Aggression, aggressivem Verhalten und Aggressivität, Formen aggressiven Verhaltens einschließlich Mobbing sowie Theorien und Modelle der Entstehung von Aggression z. B. Triebtheorien, Frustrations-Aggressions-Theorie, Theorie aggressiver Hinweisreize von Berkowitz, Lerntheorien, Präventions- und Interventionsmaßnahmen - Unterschiede von hilfreichem Verhalten, prosozialem Verhalten</t>
  </si>
  <si>
    <t>der Entstehung von Aggression z. B. Triebtheorien, Frustrations-Aggressions-Theorie, Theorie aggressiver Hinweisreize von Berkowitz, Lerntheorien, Präventions- und Interventionsmaßnahmen - Unterschiede von hilfreichem Verhalten, prosozialem Verhalten und Altruismus, Motive und Folgen prosozialen Verhaltens sowie Erklärungsansätze z. B. Reziprozität, Lerntheorien, Affekt-Priming-Modell - Merkmale, insbesondere Komponenten, und Funktionen von Einstellungen sowie Theorien des Einstellungserwerbs und der Einstellungsänderung z. B. kognitive Dissonanz und Commitment von Festing,</t>
  </si>
  <si>
    <t>Umfeld reflektiert Beziehungen aufzubauen, zu pflegen sowie Verantwortung für sich und das Wohl anderer zu übernehmen. Das impliziert die Ausbildung individueller Lebens- und Werteorientierungen, das Verständnis für unterschiedliche Denk- und Verhaltensweisen sowie die stetige Entwicklung der eigenen Handlungsfähigkeit in Bezug auf Kommunikation, Kooperation und Konfliktlösungsstrategien. Basierend auf dieser Grundlage werden sie ermutigt und befähigt, die gegenwärtige sowie zukünftige Wirklichkeit in individuellen,</t>
  </si>
  <si>
    <t>geben. Lebensweltbezogenes Lernen Die Schülerinnen und Schüler erwerben grundlegende Fähigkeiten und Fertigkeiten wissenschaftlichen Arbeitens, die auf einem handlungsorientierten und auf Weiterentwicklung der Selbstständigkeit beruhenden Fachunterricht basieren. In dessen Verlauf werden Verhaltensweisen und Persönlichkeitseigenschaften wie Anstrengungsbereitschaft, Selbstständigkeit, Eigenverantwortung, Gewissenhaftigkeit und Ausdauer gefördert, die dazu dienen, den komplexen Anforderungen von Studium, Beruf und Gesellschaft gerecht zu werden. Für die Bewältigung dieser Anforderungen ist</t>
  </si>
  <si>
    <t>anwenden, eigene Hypothesen im Sinne einer Verifizierung bzw. Falsifizierung überprüfen und die Ergebnisse fachkompetent sowie fachsprachlich kommunizieren. Andererseits werden sie auf diese Weise befähigt, zentrale Alltagsprobleme sowie eigene Erfahrungen und Verhaltensweisen wissenschaftsorientiert zu reflektieren. Zudem fördert die Betrachtung psychischer Phänomene aus der Sicht der verschiedenen Hauptströmungen der Psychologie das multiperspektivische Denken und lässt die Schülerinnen und Schüler die Grenzen von psychologischen</t>
  </si>
  <si>
    <t>Medienpsychologie Klinische Psychologie und Gesundheitspsychologie Operatoren Anhang Verweise Abkürzungen Geschlechtergerechte Sprache Besondere Schriftauszeichnungen Leitgedanken zum Kompetenzerwerb Bildungswert des Faches Im Psychologieunterricht gewinnen die Schülerinnen und Schüler grundlegende Einsichten in das Verhalten und Erleben des Menschen und erhalten Anregungen zur Selbstreflexion und zum Verständnis ihrer Mitmenschen. Die Schülerinnen und Schüler lernen dabei den wissenschaftlichen Zugriff auf psychologische Phänomene kennen, der sich von</t>
  </si>
  <si>
    <t>der wissenschaftlichen Psychologie Die Schülerinnen und Schüler erwerben Grundkenntnisse, wie die Psychologie als Wissenschaft systematisch zu Erkenntnissen gelangt, und setzen sich mit der Pluralität verschiedener Erklärungsansätze für menschliches Erleben und Verhalten auseinander. Die Schülerinnen und Schüler können Gegenstand, Grundlagen- und Anwendungsgebiete zum Beispiel integratives Modell des psychischen Systems nach H. P. Nolting / P. Paulus sowie Ziele der Psychologie darlegen Medienpsychologie</t>
  </si>
  <si>
    <t>Motivation Die Schülerinnen und Schüler setzen sich mit der Komplexität menschlicher Wahrnehmungs-, Gedächtnis- und Lernprozesse auseinander. Sie erkennen, wie Kognition, Emotion und Motivation zusammenwirken und können vor diesem Hintergrund eigenes Verhalten und Erleben reflektieren. Die Schülerinnen und Schüler können den Begriff und den Prozess der menschlichen Wahrnehmung darstellen sowie Faktoren, die diese beeinflussen, anhand von Beispielen erläutern Soziale Wahrnehmung und Gruppe</t>
  </si>
  <si>
    <t>Nervensystem , , MB Medienanalyse; Mediengesellschaft Die Schülerinnen und Schüler können ein psychologisches Gedächtnismodell darlegen, den Begriff Intelligenz beschreiben und problematisieren sowie Strategien zur Verbesserung kognitiven Lernens für das eigene Verhalten entwickeln Analyse- und Methodenkompetenz , Orientierungs- und Handlungskompetenz , , BIO Nervensystem , menschliches Erleben und Verhalten beispielhaft mit psychologischen Lern- und Motivationstheorien zum Beispiel Konditionierung, Lernen am Modell, Lernen</t>
  </si>
  <si>
    <t>Intelligenz beschreiben und problematisieren sowie Strategien zur Verbesserung kognitiven Lernens für das eigene Verhalten entwickeln Analyse- und Methodenkompetenz , Orientierungs- und Handlungskompetenz , , BIO Nervensystem , menschliches Erleben und Verhalten beispielhaft mit psychologischen Lern- und Motivationstheorien zum Beispiel Konditionierung, Lernen am Modell, Lernen durch Einsicht, Selbstbewertungsmodell, Rubikonmodell beschreiben und reflektieren Reflexions- und Urteilskompetenz Soziale Wahrnehmung und Gruppe Medienpsychologie SPO Wissen</t>
  </si>
  <si>
    <t>nach P. Watzlawick oder nach F. Schulz von Thun erläutern und sich mit den Möglichkeiten und Grenzen des Modells auseinandersetzen Reflexions- und Urteilskompetenz D Funktion von Äußerungen , , gesprächshemmendes Verhalten und Probleme in Kommunikationssituationen analysieren sowie gesprächsförderliches Verhalten, auch im Rahmen von praktischen Übungen, entwickeln zum Beispiel nach C. Rogers und auf das eigene Kommunikationsverhalten anwenden Konfliktlösungsstrategien erläutern zum Beispiel</t>
  </si>
  <si>
    <t>Thun erläutern und sich mit den Möglichkeiten und Grenzen des Modells auseinandersetzen Reflexions- und Urteilskompetenz D Funktion von Äußerungen , , gesprächshemmendes Verhalten und Probleme in Kommunikationssituationen analysieren sowie gesprächsförderliches Verhalten, auch im Rahmen von praktischen Übungen, entwickeln zum Beispiel nach C. Rogers und auf das eigene Kommunikationsverhalten anwenden Konfliktlösungsstrategien erläutern zum Beispiel Win-Win-Modell nach T. Gordon, Gewaltfreie Kommunikation nach M.</t>
  </si>
  <si>
    <t>MB Kommunikation und Kooperation PG Mobbing und Gewalt Soziale Wahrnehmung und Gruppe Die Schülerinnen und Schüler befassen sich mit sozialen Wahrnehmungsprozessen, Einstellungen und Vorurteilen. Sie erkennen, wie menschliches Erleben und Verhalten durch Situation und Interaktion beeinflusst wird und setzen sich auf der Basis ihrer eigenen Erfahrungen damit auseinander. Die Schülerinnen und Schüler können soziale Wahrnehmungsprozesse, auch anhand von Beispielen aus ihrer</t>
  </si>
  <si>
    <t>und Handlungskompetenz BTV Formen von Vorurteilen, Stereotypen, Klischees Merkmale von Gruppen beschreiben und grundlegende gruppendynamische Prozesse erläutern zum Beispiel Rollen, Phasen der Gruppenbildung BTV Minderheitenschutz darlegen, wie andere auf menschliches Verhalten einwirken können zum Beispiel Konformität und Gehorsam anhand klassischer sozialpsychologischer Experimente, Führungsstile, Werbung Kognition, Emotion und Motivation Kommunikation D Funktion von Äußerungen , ETH Freiheit und Naturalismus , GK Grundlagen</t>
  </si>
  <si>
    <t>des politischen Systems MB Medienanalyse; Mediengesellschaft PG Mobbing und Gewalt VB Bedürfnisse und Wünsche; Medien als Einflussfaktoren Angewandte Psychologie Medienpsychologie Die Schülerinnen und Schüler setzen sich mit menschlichem Erleben und Verhalten im Umgang mit Medien auseinander. Sie reflektieren, wie sie den Herausforderungen der Mediengesellschaft selbstbewusst begegnen und sich zu mündigen und kompetenten Rezipienten entwickeln können. Die Schülerinnen und Schüler können die</t>
  </si>
  <si>
    <t>Fach Psychologie Didaktische Grundsätze Im Rahmen des Psychologieunterrichts setzen sich die Schülerinnen und Schüler mit dem Verhalten und Erleben von Menschen und Menschengruppen sowie mit den verschiedenen Ansätzen auseinander, dieses Verhalten und Erleben wissenschaftlich zu erklären und bei Schwierigkeiten und Störungen Handlungsoptionen abzuleiten. Entsprechend dem Selbstverständnis der Psychologie als einer empirischen Wissenschaft ergeben sich drei allgemeine Zielsetzungen des Psychologieunterrichts: Die Schülerinnen</t>
  </si>
  <si>
    <t>exemplarische Konzepte und Modelle der einzelnen Strömungen in den jeweiligen Fachdisziplinen der Psychologie. Im Mittelpunkt des Unterrichts stehen vor allem psychische Alltagsphänomene des Erlebens und Verhaltens. Das menschliche Erleben und Verhalten hat auch in der Lebenswirklichkeit der Schülerinnen und Schüler einen konkreten Stellenwert und kann mit ausgewählten Modellen und Methoden ganz unterschiedlicher Strömungen oder Theorien des Fachs untersucht werden. Dabei dient</t>
  </si>
  <si>
    <t>auf die Lebenswelt der Schülerinnen und Schüler durch eine Auswahl von Unterrichtsthemen und geeigneten Anwendungsbeispielen hergestellt werden, die nicht direkt in ihre Privatsphäre eindringen. Da der Psychologieunterricht auch Missverständnisse, abweichendes Verhalten und psychosoziale Störungen thematisiert, verlangt er den Schülerinnen und Schülern eine besondere Sensibilität und implizit auch die Bereitschaft ab, Vorurteilen entgegenzutreten und soziale Verantwortung in der analogen und digitalen Welt</t>
  </si>
  <si>
    <t>mit Toleranz und interkultureller Akzeptanz zu begegnen sowie Handlungsoptionen in alltagsrelevanten Situationen umzusetzen. Bildung für nachhaltige Entwicklung BNE Das Fach Psychologie orientiert sich an der Fachwissenschaft Psychologie, deren Gegenstand das Verhalten und Erleben des Menschen ist. Im Unterricht haben die Schülerinnen und Schüler die Möglichkeit, sich mit dem reziproken Verhältnis von Mensch und Umwelt und dessen Einfluss auf ihr Erleben und</t>
  </si>
  <si>
    <t>und Erleben des Menschen ist. Im Unterricht haben die Schülerinnen und Schüler die Möglichkeit, sich mit dem reziproken Verhältnis von Mensch und Umwelt und dessen Einfluss auf ihr Erleben und Verhalten auseinanderzusetzen. Sie werden sensibilisiert, Umwelteinflüsse bewusst wahrzunehmen sowie nicht-nachhaltige Einstellungen - auch bzgl. ihrer eigenen Gesundheit - zu erkennen und zu reflektieren, und sie setzen sich mit der Frage auseinander,</t>
  </si>
  <si>
    <t>soziale Phänomene bzw. Sachverhalte in der analogen und digitalen Umgebung entwickeln, interessengeleitete Setzung, Verbreitung und Dominanz psychologischer Themen in analogen und digitalen Umgebungen erschließen und beurteilen. Handlungskompetenz: Sich in seinem Verhalten in sozialen Situationen bewusst und reflektierend auf andere einstellen, in analogen und digitalen Interaktionssituationen sach- und personengerecht kommunizieren Auswahl Kommunikationsmedium, Verhaltensregeln, Netiquette, Anpassung der Kommunikation, psychologische und metakommunikative Kenntnisse und</t>
  </si>
  <si>
    <t>Sicherheit, Überschaubarkeit, Alltagsbewältigung, Schutz und Orientierung Merkmale wissenschaftlicher Psychologie z. B. Allgemeingültigkeit, Falsifizierbarkeit, Überprüfbarkeit, Wiederholbarkeit, Objektivität, Systematik/Methodik, Operationalisierung Gegenstand der Psychologie Psychologiebegriff Begriffe und Zusammenhänge: o Erleben und Selbstbeobachtung o Verhalten und Fremdbeobachtung Handeln und Intentionalität Ziele und Forschungsmethoden der wissenschaftlichen Psychologie Das wissenschaftliche Vorgehen: Beobachtung Forschungsmethode Beschreiben Fallbeispiele Erklären Theoriebildung Vorhersagen Hypothesenbildung Intervention Therapie Vorbereitend auf die Studienstufe sollen die</t>
  </si>
  <si>
    <t>Die Paradigmen der Psychologie Fachübergreifend Inhalte Fachbezogen Umsetzungshilfen Leitperspektiven Sprachbildung Die Schülerinnen und Schüler lernen in diesem Modul mindestens fünf Paradigmen der Psychologie und deren verschiedene Sichtweisen auf das menschliche Verhalten kennen. Kompetenzen Fachinterne Bezüge M Tiefenpsychologie M Behaviorismus M Kognitivismus SS Verortung der Themen bleibt zunächst leer Erklärungsansätze menschlichen Verhaltens Hauptvertreter, Menschenbild, theoretische Grundannahmen, zeithistorischer Kontext der Paradigmen: o Tiefenpsychologie</t>
  </si>
  <si>
    <t>diesem Modul exemplarisch Formen des Erkenntnisgewinns der kognitivistisch orientierten Psychologie kennen. Die Vertiefung des Paradigmas des Kognitivismus soll dabei entweder anhand des Themas Psychologie der Gruppe oder des Themas Prosoziales Verhalten erfolgen. Kompetenzen Fachinterne Bezüge S. Motivation S. Soziale Wahrnehmung S. Antisoziales Verhalten bleibt zunächst leer Psychologie der Gruppe Arten von Gruppen, Gründe für Gruppenbildung, soziale Rollen und Normen, Gruppenzusammenhalt, Leistung</t>
  </si>
  <si>
    <t>Vertiefung des Paradigmas des Kognitivismus soll dabei entweder anhand des Themas Psychologie der Gruppe oder des Themas Prosoziales Verhalten erfolgen. Kompetenzen Fachinterne Bezüge S. Motivation S. Soziale Wahrnehmung S. Antisoziales Verhalten bleibt zunächst leer Psychologie der Gruppe Arten von Gruppen, Gründe für Gruppenbildung, soziale Rollen und Normen, Gruppenzusammenhalt, Leistung in Gruppen Social loafing Latané et al. Informativer Sherif und normativer Asch</t>
  </si>
  <si>
    <t>für Gruppenbildung, soziale Rollen und Normen, Gruppenzusammenhalt, Leistung in Gruppen Social loafing Latané et al. Informativer Sherif und normativer Asch sozialer Einfluss Einfluss von Kultur und Selbstsicht interdependent, independent Prosoziales Verhalten Stufen zur Hilfeleistung Prozessmodell nach Latané und Darley Phänomene Verantwortungsdiffusion, Bystander-Effekt, subjektives Kompetenzgefühl, pluralistische Ignoranz sowie experimentelle Nachweise der Phänomene z. B. Latané und Darley; Schwartz und David Ergänzende Inhalte</t>
  </si>
  <si>
    <t>fachübergreifender Bezüge Bezüge zu den Aufgabengebieten: Interkulturelle Erziehung: vgl. Psychologie der Gruppe Einfluss von Kultur und Selbstsicht z. B. auf Leistung in Gruppen Sozial- und Rechtserziehung: innerhalb des Themas Prosoziales Verhalten Erste Hilfe am Unfallort und unterlassene Hilfeleistung Beitrag zur Leitperspektive W: Die Schülerinnen und Schüler setzen sich innerhalb des Themenkomplexes mit ihrer individuellen Verantwortung im sozialen Miteinander auseinander. Wesentliche Werte</t>
  </si>
  <si>
    <t>mit ihrer individuellen Verantwortung im sozialen Miteinander auseinander. Wesentliche Werte können zudem über die Unterthemen Kultur und Selbstsicht sowie unterlassene Hilfeleistung vermittelt werden. Beitrag zur Leitperspektive BNE: Das Thema Prosoziales Verhalten beinhaltet die Auseinandersetzung mit Verantwortung und sozialer Teilhabe, die als wesentliche Punkte in mehreren SDGs aufgeführt werden. Beitrag zur Leitperspektive D: Die Schülerinnen und Schüler können sich vertieft mit dem</t>
  </si>
  <si>
    <t>beinhaltet die Auseinandersetzung mit Verantwortung und sozialer Teilhabe, die als wesentliche Punkte in mehreren SDGs aufgeführt werden. Beitrag zur Leitperspektive D: Die Schülerinnen und Schüler können sich vertieft mit dem Verhalten von Gruppen in sozialen Medien auseinandersetzen, z. B. im Blick auf Anonymität in Foren oder Vergleichsdruck, und auf diesem Wege Sensibilität auch für das dialektische Verhältnis des Menschen zu sozialen</t>
  </si>
  <si>
    <t>und Schüler angeleitet werden, sich kritisch und selbstbestimmt mit Kommunikationswegen und der Entstehung von Kommunikationsstörungen zu befassen. Kompetenzen Fachinterne Bezüge M Psychologie der Gruppe S. Konstruktivismus S. AOPsychologie S. Antisoziales Verhalten bleibt zunächst leer Grundbegriffe der Kommunikation Soziale Kommunikation und soziale Interaktion Verbales, nonverbales und paraverbales Verhalten Erfolgs- und Misserfolgskriterien der Kommunikation Kommunikationstheorien Eine der folgenden Theorien soll behandelt werden: Kommunikationstheorie</t>
  </si>
  <si>
    <t>befassen. Kompetenzen Fachinterne Bezüge M Psychologie der Gruppe S. Konstruktivismus S. AOPsychologie S. Antisoziales Verhalten bleibt zunächst leer Grundbegriffe der Kommunikation Soziale Kommunikation und soziale Interaktion Verbales, nonverbales und paraverbales Verhalten Erfolgs- und Misserfolgskriterien der Kommunikation Kommunikationstheorien Eine der folgenden Theorien soll behandelt werden: Kommunikationstheorie von Watzlawick et al.: Axiome der Kommunikation nach Watzlawick Wirklichkeitskonstruktion/Konstruktivismus z. B. postfaktisches Zeitalter, sich selbst</t>
  </si>
  <si>
    <t>Paradoxien Metakommunikation oder Kommunikationsmodell nach Schulz von Thun: Nachrichtenquadrat -Ohren-Modell Kommunikationsstile und inneres Team Doppelbindungen Kommunikation und neue Medien Social Media Einer der folgenden Bereiche medienvermittelter Kommunikation menschliches Erleben und Verhalten im Zusammenhang mit der Nutzung von Medien soll vertieft behandelt werden: Sozialpsychologische Bedingungen des Erlebens und Verhaltens bei der Nutzung von Medien soziale Vergleichsprozesse Medienvermitteltes Erleben und Verhalten aus persönlichkeitspsychologischer</t>
  </si>
  <si>
    <t>Erleben und Verhalten im Zusammenhang mit der Nutzung von Medien soll vertieft behandelt werden: Sozialpsychologische Bedingungen des Erlebens und Verhaltens bei der Nutzung von Medien soziale Vergleichsprozesse Medienvermitteltes Erleben und Verhalten aus persönlichkeitspsychologischer Perspektive Gewalt in den Medien Eigenständige medienpsychologische Theoriebildungen Theorie des Stimmungsmanagements Weitere optionale Vertiefungen: Medieneffekte Mediennutzung und Medienwirkung Kommunikation und soziale Beziehungen im Internet Konkretisierung fachübergreifender Bezüge Bezüge</t>
  </si>
  <si>
    <t>Wahrnehmung S. Selbst und Identität bleibt zunächst leer Jugendalter Jugend als Lebensphase Entwicklungsaufgaben im Jugendalter: o Formen des Identitätsstatus nach Marcia o Entwicklungsaufgaben nach Havighurst o Risikoverhalten z. B. suizidales Verhalten als Identitätsproblem o Schutzfaktoren Peer-Beziehungen Funktionen von Peer-Beziehungen im Jugendalter Subkulturen, Cliquen und soziale Netze im Jugendalter Lern- und Entwicklungspotenziale und Entwicklungsrisiken von Peer-Beziehungen Gender und Geschlechtsidentitäten Meilensteine in der</t>
  </si>
  <si>
    <t>selbstbestimmt mit der Definition von Straftaten und dem rechtsstaatlichen Umgang mit Kriminalität zu befassen. Kompetenzen Fachinterne Bezüge M Psychologie der Gruppe S. Entwicklung S. Eigenschaftstheorien S. Klinische Psychologie S. Antisoziales Verhalten bleibt zunächst leer Kriminalitätsbegriff Objektive und subjektive Tatbestandsmerkmale Rechtfertigungsgründe Schuldunfähigkeit Natürliche und juristische Personen Aufgaben der Kriminalpsychologie Entstehung und Aufdeckung von Kriminalität Kriminalprävention Therapie Opfererfahrung und Kriminalitätsbewältigung Aufbau von Fallanalysen</t>
  </si>
  <si>
    <t>erleben oder beobachten, zum anderen exemplarische Konzepte und Modelle der einzelnen Strömungen in den jeweiligen Fachdisziplinen der Psychologie. Im Mittelpunkt des Unterrichts stehen vor allem psychische Alltagsphänomene des Erlebens und Verhaltens. Das menschliche Erleben und Verhalten hat auch in der Lebenswirklichkeit der Schülerinnen und Schüler einen konkreten Stellenwert und kann mit ausgewählten Modellen und Methoden ganz unterschiedlicher Strömungen oder Theorien des</t>
  </si>
  <si>
    <t>psychischen Systems Fachübergreifend Inhalte Fachbezogen Umsetzungshilfen Leitperspektiven Aufgabengebiete Berufsorientierung Sprachbildung Die Schülerinnen und Schüler lernen in diesem Modul die Disziplinen der Psychologie und ein Strukturmodell zur Erklärung der Entstehung menschlichen Verhaltens kennen. Kompetenzen Fachinterne Bezüge SS Erklärungsmodell bleibt zunächst leer Integrierendes Modell nach Nolting und Paulus Vier Grundaspekte: o Innere Prozesse o Situative Bedingungen o Personale Dispositionen o Entwicklungsbedingungen Wiederaufnahme vgl.</t>
  </si>
  <si>
    <t>Paradigmen der Psychologie und deren verschiedene Sichtweisen auf das menschliche Verhalten kennen. Kompetenzen Fachinterne Bezüge M Tiefenpsychologie M Behaviorismus M Kognitivismus SS Verortung der Themen bleibt zunächst leer Erklärungsansätze menschlichen Verhaltens Hauptvertreter, Menschenbild, theoretische Grundannahmen, zeithistorischer Kontext der Paradigmen: o Tiefenpsychologie o Behaviorismus o Kognitivismus o Ganzheitspsychologie o Psychobiologie Entstehung und Erklärungswert dieser und optional weiterer, aktuellerer Strömungen der Psychologie z.</t>
  </si>
  <si>
    <t>neue Medien Social Media Einer der folgenden Bereiche medienvermittelter Kommunikation menschliches Erleben und Verhalten im Zusammenhang mit der Nutzung von Medien soll vertieft behandelt werden: Sozialpsychologische Bedingungen des Erlebens und Verhaltens bei der Nutzung von Medien soziale Vergleichsprozesse Medienvermitteltes Erleben und Verhalten aus persönlichkeitspsychologischer Perspektive Gewalt in den Medien Eigenständige medienpsychologische Theoriebildungen Theorie des Stimmungsmanagements Weitere optionale Vertiefungen: Medieneffekte Mediennutzung und</t>
  </si>
  <si>
    <t>leiten daraus Ansätze für Veränderungen ab. erkennen und umschreiben Alltags- und Arbeitsbereiche, in denen psychologische Erkenntnisse ihre Anwendung finden, und wenden dabei die korrekte Fachterminologie an. Inhalte zu den Kompetenzen: Verhalten und Erleben des Menschen als Forschungsgegenstand der Psychologie: Methoden, z. B. Experimente, Tests und Fragebögen sowie Prinzipien und Gütekriterien wissenschaftlichen Arbeitens: Ziele der psychologischen Forschung, d. h. Beschreiben, Erklären, Verstehen,</t>
  </si>
  <si>
    <t>12,13</t>
  </si>
  <si>
    <t>z. B. Bedürfnis-, Trieboder Erwartungswerttheorien Grundlagen von Emotionen, z. B. Basisemotionen, Einflussfaktoren, Komponenten, Funktionen und Entstehungstheorien, wie psychophysiologische, kognitive oder evolutionsbiologische Theorien Zusammenhänge zwischen den Bereichen Kognition, Emotion und/oder Motivation, Verhalten und Körper, z. B. ABC-Theorie, vier Ebenen der Angst Grundlagen der Intelligenz, z. B. die Entstehungsgeschichte der modernen normorientierten Intelligenzmessung, Einflussfaktoren auf die Intelligenzentwicklung, Intelligenztheorien Ps/ : Modul Entwicklungspsychologie ca.</t>
  </si>
  <si>
    <t>B. Forschung, Frühförderung, Inklusion, Einzelfall-/Gruppen-/Familienberatung Ps/ : Modul Lernpsychologie ca. Std. Kompetenzerwartungen Die Schülerinnen und Schüler ... beschreiben Lernen als grundlegenden und erfahrungsbasierten Prozess. erklären die Entstehung und Veränderung von Verhalten auf Basis von fundierten psychologischen Lerntheorien und wenden ihre Kenntnisse auf Alltagsbeispiele an. beschreiben Grundlagen und Aufbau des Gedächtnisses und erklären damit Prozesse der Informationsaufnahme, -verarbeitung und speicherung. begründen, wie</t>
  </si>
  <si>
    <t>des Behaviorismus, des Kognitivismus, der humanistischen, der systemischen Psychologie, der Biopsychologie anhand ausgewählter Modelle und Theorien Analyse ausgewählter Phänomene mittels psychologischer Modelle und Theorien, z. B. Analyse des Erwerbs verschiedener Verhaltensweisen oder Emotionen mittels der Lerntheorien Überblick bzgl. der Arbeitsfelder von Psychologen, Unterscheidung zwischen Psychologen, psychologischen Psychotherapeuten und Psychiatern sowie Beratung und Therapie, Einblick in verschiedene Therapieformen, z. B. Psychoanalyse, kognitive</t>
  </si>
  <si>
    <t>Wissenschaft Psychologie Betrachtung psychischer Phänomene Paradigmen in der Psychologie Methoden der Psychologie Kompetenzentwicklung im Fach Psychologie Ziele des Unterrichts Die Beschäftigung mit psychologischen Erkenntnissen bedarf der Auseinandersetzung mit dem eigenen Verhalten und Erleben sowie dem anderer Menschen. Psychologische Fähigkeiten und Fertigkeiten sind heute und in Zukunft unerlässlich: in der Wirtschaft, in der Medizin, überall, wo Menschen ausgebildet werden, nicht zuletzt aber</t>
  </si>
  <si>
    <t>heute und in Zukunft unerlässlich: in der Wirtschaft, in der Medizin, überall, wo Menschen ausgebildet werden, nicht zuletzt aber in der Familie und in den persönlichen Beziehungen. Die Möglichkeiten, menschliches Verhalten und Erleben psychologisch zu betrachten, sind vielfältig. Dies erfahren die Schülerinnen und Schüler zum einen durch das Eingebundensein der Wissenschaft Psychologie in gesamtgesellschaftliche und historische Kontexte; zum anderen nehmen die</t>
  </si>
  <si>
    <t>wahr, deren Theorien und wissenschaftliche Methoden sich durch die Auswahl und Interpretation von Alltagsphänomenen unterscheiden. Das Unterrichtsfach Psychologie hält die Schülerinnen und Schüler an, den Menschen, sein Erleben und sein Verhalten aus verschiedenen Perspektiven wahrzunehmen und darüber zu kommunizieren. Diese verschiedenen Perspektiven werden fachsprachlich zu Paradigmen zusammengefasst und bilden die Grundlage des Umgangs mit psychologischem Wissen. Durch den paradigmatischen Zugang zu</t>
  </si>
  <si>
    <t>Inhalte entstammen aus Natur und Gesellschaft und können aus einer individuellen und/oder gruppendynamischen Perspektive betrachtet werden. Aus dem wirkungsvollen Zusammenspiel aller genannten Kompetenzbereiche ergibt sich die Fähigkeit, menschliches Erleben und Verhalten psychologisch zu reflektieren. Fachwissen aufbereiten Die Vielfalt und Interpretationsbreite psychologischer Theorien ermöglichen eine Fülle an Themen und Alltagsbezügen für den Unterricht, deren psychologische Relevanz nicht immer leicht durchschaubar ist. Die</t>
  </si>
  <si>
    <t>formulieren Erklärungsansätze. Die Schülerinnen und Schüler vollziehen zunächst psychologische Erkenntnismethoden nach und erlangen so zunehmend die Fähigkeit, diese Methoden in einfacher Weise selbst zu nutzen. Kommunizieren Die Verständigung über menschliches Verhalten und Erleben Selbst- und Fremdperspektive beschreibt das zentrale Geschehen im Psychologieunterricht. Dabei bleibt die Privatsphäre der Lernenden stets gewahrt. Die Schülerinnen und Schüler erkennen die Notwendigkeit der Präzisierung ihrer Alltagssprache.</t>
  </si>
  <si>
    <t>interpretiert werden können. Um psychologische Interpretationen qualitativ einzuschätzen, wählen sie aus vorgegebenen Kriterien geeignete aus. Sie formulieren fachlich begründete Vermutungen über die mit den verschiedenen Deutungen verbundenen Absichten. Erleben und Verhalten psychologisch reflektieren Die Schülerinnen und Schüler zeigen sich kompetent in den beschriebenen Kompetenzbereichen, wenn sie auf der Grundlage psychologischen Wissens einfache psychische Phänomene des menschlichen Erlebens und Verhaltens aus unterschiedlichen</t>
  </si>
  <si>
    <t>konkrete psychische Phänomene des menschlichen Verhaltens und Erlebens identifizieren Fachinhalte von Begriffen und Modellen wiedergeben psychische Phänomene und psychologische Fragestellungen verschiedenen Teildisziplinen der Psychologie zuordnen unterschiedliche paradigmatische Erklärungsmodelle für menschliches Verhalten und Erleben beschreiben G konkrete psychische Phänomene des menschlichen Verhaltens und Erlebens unterscheiden Fachbegriffe und Modelle im Kontext richtig verwenden Aussagen/Texte hinsichtlich ihres wissenschaftlichen Gehaltes untersuchen und begründet von der</t>
  </si>
  <si>
    <t>des menschlichen Verhaltens und Erlebens nach vorgegebenen Kriterien konstruieren ähnliche Fachbegriffe voneinander abgrenzen und interpretieren eigene Fragestellungen zu verschiedenen Teildisziplinen der Psychologie formulieren Erklärungen unterschiedlicher Quellen und Darstellungen zu menschlichem Verhalten und Erleben begründet einem Paradigma zuordnen Erkenntnisse gewinnen Alltagsphänomene beobachten und beschreiben Sachgerechte Informationen mithilfe geeigneter Materialien erschließen Psychologische Modelle und Erklärungsansätze auf Beispiele anwenden Die Schülerinnen und Schüler können</t>
  </si>
  <si>
    <t>Elemente auswählen und diese adäquat nutzen unterschiedliche Darstellungen, Positionen gleichberechtigt diskutieren alltagssprachliche Formulierungen in Fachsprache übersetzen Fachzusammenhänge für einen Informationsempfänger adäquat formulieren und illustrieren Bewerten Die Qualität von Alltagswissen zum Verhalten und Erleben von Menschen einschätzen Eigenes Erleben und Verhalten reflektieren sich selbst auf die Schliche kommen Die Vieldeutigkeit psychologischer Erklärungen für ein und dasselbe psychische Phänomen zum Ausdruck bringen Die</t>
  </si>
  <si>
    <t>gleichberechtigt diskutieren alltagssprachliche Formulierungen in Fachsprache übersetzen Fachzusammenhänge für einen Informationsempfänger adäquat formulieren und illustrieren Bewerten Die Qualität von Alltagswissen zum Verhalten und Erleben von Menschen einschätzen Eigenes Erleben und Verhalten reflektieren sich selbst auf die Schliche kommen Die Vieldeutigkeit psychologischer Erklärungen für ein und dasselbe psychische Phänomen zum Ausdruck bringen Die Schülerinnen und Schüler können E F ihre eigene Einschätzung</t>
  </si>
  <si>
    <t>und dasselbe psychische Phänomen zum Ausdruck bringen Die Schülerinnen und Schüler können E F ihre eigene Einschätzung zur Qualität von Alltagswissen begründen konkrete Situationen beschreiben, in denen sie ihr eigenes Verhalten und Erleben an psychologischen Erkenntnissen orientieren mindestens zwei Erklärungen für ein und dasselbe psychische Phänomen wiedergeben G begründen, dass ihre eigene Einschätzung zu alltagspsychologischem Wissen nicht allgemeingültig ist aufgrund psychologischer</t>
  </si>
  <si>
    <t>zu alltagspsychologischem Wissen nicht allgemeingültig ist aufgrund psychologischer Erkenntnisse Vermutungen zu eigenen Entwicklungspotenzialen formulieren verschiedene Erklärungen ein und desselben psychischen Phänomens vergleichen und diskutieren H die Qualität von Erklärungen zum Verhalten und Erleben aus verschiedenen Quellen des Lebensumfeldes fachbezogen einschätpsychologische Erkenntnisse zur Orientierung in der eigenen Lebenswelt nutzen die Berechtigung mehrerer Erklärungsansätze zur Erfassung psychischer Phänomene erörtern Themen und Inhalte Die</t>
  </si>
  <si>
    <t>Basis für die Unterrichtspraxis als auch einen zentralen Inhalt im Sinne des inklusiven Lernens. Einführung in die Wissenschaft Psychologie Die Schülerinnen und Schüler formulieren aus eigener Erfahrung bekanntes Erleben und Verhalten und erfassen so psychologische Aspekte im Alltag. Auf dieser Grundlage identifizieren sie alltagspsychologische Herangehensweisen und unterscheiden diese von wissenschaftlichen. Die Schülerinnen und Schüler erschließen sowohl Möglichkeiten der Wissenschaft Psychologie bei</t>
  </si>
  <si>
    <t>identifizieren multifaktorielle Kausalbezüge und analysieren die Komplexität menschlichen Erlebens und Verhaltens. Mithilfe geeigneter Systeme erfassen und erkennen sie die individuelle Vielfalt menschlichen Erlebens und Verhaltens. Thema Inhalte Mögliche Konkretisierungen Warum verhalten wir uns so Analyse menschlichen Verhaltens und Erlebens Erklärungsaspekte für psychische Phänomene: - innere Prozesse - personale Dispositionen - Situationsfaktoren - Entwicklung Beobachtungen im Supermarkt - einfache Verhaltensanalysen Wie funktioniert</t>
  </si>
  <si>
    <t>und Schüler ein grobes inhaltliches Grundgerüst, in das psychologische Themen auch in Zukunft eingeordnet werden können. Die Schülerinnen und Schüler identifizieren die Existenz verschiedener Perspektiven der Betrachtung von Erleben und Verhalten, nehmen erste vergleichende Wertungen vor und berücksichtigen historische Bezüge. Thema Inhalte Mögliche Konkretisierungen Welche Erklärungsmodelle bietet die Psychologie an Paradigmen erste paradigmatische Betrachtungsweise: - behavioristisch - psychoanalytisch - kognitivistisch -</t>
  </si>
  <si>
    <t>Themen und Alltagsbezügen für den Unterricht, deren psychologische Relevanz nicht immer leicht durchschaubar ist. Die Schülerinnen und Schüler verwenden deshalb Paradigmen als zentrale, erkenntnisleitende Prinzipien, um konkrete Phänomene des menschlichen Verhaltens und Erlebens, theoretische Aspekte, Begriffe und Methoden zu erfassen und zu nutzen. Sie erkennen die Zusammenhänge und Unterschiede zwischen Alltagspsychologie und wissenschaftlicher Psychologie und bedienen sich naturwissenschaftlicher und gesellschaftswissenschaftlicher Herangehensweisen.</t>
  </si>
  <si>
    <t>Erleben und Verhalten psychologisch reflektieren Die Schülerinnen und Schüler zeigen sich kompetent in den beschriebenen Kompetenzbereichen, wenn sie auf der Grundlage psychologischen Wissens einfache psychische Phänomene des menschlichen Erlebens und Verhaltens aus unterschiedlichen Perspektiven nachvollziehbar analysieren und kommunizieren können. Sie beziehen das Erlernte auf ihr Lebensumfeld und entwickeln so die Möglichkeit einer qualitativ neuen Bewältigung alltäglicher Situationen. Kompetenzen und Standards Regelungen</t>
  </si>
  <si>
    <t>nutzen die Schülerinnen und Schüler ihre bereits erworbenen Kompetenzen und vertiefen diese. Am Ende der Jahrgangsstufe wird das entsprechende Übergangs- bzw. Abschlussniveau erreicht. Fachwissen aufbereiten Psychologische Aspekte menschlichen Erlebens und Verhaltens erkennen und beschreiben Psychische Phänomene mit geeigneten Fachbegriffen und Modellen beschreiben Zusammenhänge und Unterschiede zwischen Alltagspsychologie und wissenschaftlicher Psychologie erkennen und verwenden Paradigmen als zentrale, erkenntnisleitende Prinzipien verwenden Die Schülerinnen</t>
  </si>
  <si>
    <t>beschreiben Zusammenhänge und Unterschiede zwischen Alltagspsychologie und wissenschaftlicher Psychologie erkennen und verwenden Paradigmen als zentrale, erkenntnisleitende Prinzipien verwenden Die Schülerinnen und Schüler können E F konkrete psychische Phänomene des menschlichen Verhaltens und Erlebens identifizieren Fachinhalte von Begriffen und Modellen wiedergeben psychische Phänomene und psychologische Fragestellungen verschiedenen Teildisziplinen der Psychologie zuordnen unterschiedliche paradigmatische Erklärungsmodelle für menschliches Verhalten und Erleben beschreiben G konkrete</t>
  </si>
  <si>
    <t>von Begriffen und Modellen wiedergeben psychische Phänomene und psychologische Fragestellungen verschiedenen Teildisziplinen der Psychologie zuordnen unterschiedliche paradigmatische Erklärungsmodelle für menschliches Verhalten und Erleben beschreiben G konkrete psychische Phänomene des menschlichen Verhaltens und Erlebens unterscheiden Fachbegriffe und Modelle im Kontext richtig verwenden Aussagen/Texte hinsichtlich ihres wissenschaftlichen Gehaltes untersuchen und begründet von der Alltagspsychologie unterscheiden paradigmatische Erklärungsmodelle bezüglich vorgegebener Kriterien z. B. Menschenbild,</t>
  </si>
  <si>
    <t>Aussagen/Texte hinsichtlich ihres wissenschaftlichen Gehaltes untersuchen und begründet von der Alltagspsychologie unterscheiden paradigmatische Erklärungsmodelle bezüglich vorgegebener Kriterien z. B. Menschenbild, Wissenschaftlichkeit vergleichen H Beispiele für konkrete psychische Phänomene des menschlichen Verhaltens und Erlebens nach vorgegebenen Kriterien konstruieren ähnliche Fachbegriffe voneinander abgrenzen und interpretieren eigene Fragestellungen zu verschiedenen Teildisziplinen der Psychologie formulieren Erklärungen unterschiedlicher Quellen und Darstellungen zu menschlichem Verhalten und Erleben</t>
  </si>
  <si>
    <t>im Alltag. Auf dieser Grundlage identifizieren sie alltagspsychologische Herangehensweisen und unterscheiden diese von wissenschaftlichen. Die Schülerinnen und Schüler erschließen sowohl Möglichkeiten der Wissenschaft Psychologie bei der Betrachtung menschlichen Erlebens und Verhaltens als auch Berührungspunkte zu anderen Wissenschaften. Sie nutzen selbst eine geeignete wissenschaftliche Methode im Rahmen einer einfachen psychologischen Fragestellung. Thema Inhalte Mögliche Konkretisierungen Was ist Psychologie Psychologie als Wissenschaft -</t>
  </si>
  <si>
    <t>Auf der Grundlage von Verhaltensbeschreibungen aus ihrer Lebenswelt suchen die Schülerinnen und Schüler nach Ursache-Wirkungs-Beziehungen zur Erklärung psychischer Phänomene. Sie identifizieren multifaktorielle Kausalbezüge und analysieren die Komplexität menschlichen Erlebens und Verhaltens. Mithilfe geeigneter Systeme erfassen und erkennen sie die individuelle Vielfalt menschlichen Erlebens und Verhaltens. Thema Inhalte Mögliche Konkretisierungen Warum verhalten wir uns so Analyse menschlichen Verhaltens und Erlebens Erklärungsaspekte für</t>
  </si>
  <si>
    <t>Ursache-Wirkungs-Beziehungen zur Erklärung psychischer Phänomene. Sie identifizieren multifaktorielle Kausalbezüge und analysieren die Komplexität menschlichen Erlebens und Verhaltens. Mithilfe geeigneter Systeme erfassen und erkennen sie die individuelle Vielfalt menschlichen Erlebens und Verhaltens. Thema Inhalte Mögliche Konkretisierungen Warum verhalten wir uns so Analyse menschlichen Verhaltens und Erlebens Erklärungsaspekte für psychische Phänomene: - innere Prozesse - personale Dispositionen - Situationsfaktoren - Entwicklung Beobachtungen im</t>
  </si>
  <si>
    <t>Komplexität menschlichen Erlebens und Verhaltens. Mithilfe geeigneter Systeme erfassen und erkennen sie die individuelle Vielfalt menschlichen Erlebens und Verhaltens. Thema Inhalte Mögliche Konkretisierungen Warum verhalten wir uns so Analyse menschlichen Verhaltens und Erlebens Erklärungsaspekte für psychische Phänomene: - innere Prozesse - personale Dispositionen - Situationsfaktoren - Entwicklung Beobachtungen im Supermarkt - einfache Verhaltensanalysen Wie funktioniert Wahrnehmung, Denken, Gefühl ... Betrachtung innerer</t>
  </si>
  <si>
    <t>Hauptrefinanzierungsgeschäfte unverändert bei ,. Der damit vergleichbare Zinssatz in den USA beträgt ,. Stellen Sie jeweils eine Wirkungskette auf, in der die idealtypischen Auswirkungen einer Senkung des EZB-Leitzinses auf das Verhalten der Unternehmer, das Verhalten der Haushalte, den Kurs des Euro gegenüber dem Dollar veranschaulicht werden. BE Untersuchen Sie, durch welche Faktoren die Wirksamkeit der Geldpolitik der EZB begrenzt ist. BE</t>
  </si>
  <si>
    <t>Sozialkunde</t>
  </si>
  <si>
    <t>Der damit vergleichbare Zinssatz in den USA beträgt ,. Stellen Sie jeweils eine Wirkungskette auf, in der die idealtypischen Auswirkungen einer Senkung des EZB-Leitzinses auf das Verhalten der Unternehmer, das Verhalten der Haushalte, den Kurs des Euro gegenüber dem Dollar veranschaulicht werden. BE Untersuchen Sie, durch welche Faktoren die Wirksamkeit der Geldpolitik der EZB begrenzt ist. BE Angenommen, Sie nähmen an</t>
  </si>
  <si>
    <t>Ablauf und Strukturierung der Präsentation Zeitmanagement optimal angemessen gelegentlich unangemessen häufig unangemessen sehr stark eingeschränkt Kommunikationsfähigkeit Wahl einer adressatenbezogenen Sprachebene Darstellung eines Sachzusammenhangs auf fachsprachlicher und allgemein verständlicher Ebene Verbales Verhalten Rhetorik: Verständlichkeit, Wortwahl, Satzbau, Tempo, freies Sprechen Nonverbales Verhalten Blickkontakt, Gestik, Mimik, Haltung optimal angemessen gelegentlich unangemessen häufig unangemessen sehr stark eingeschränkt Gesamtpunktzahl</t>
  </si>
  <si>
    <t>unangemessen häufig unangemessen sehr stark eingeschränkt Kommunikationsfähigkeit Wahl einer adressatenbezogenen Sprachebene Darstellung eines Sachzusammenhangs auf fachsprachlicher und allgemein verständlicher Ebene Verbales Verhalten Rhetorik: Verständlichkeit, Wortwahl, Satzbau, Tempo, freies Sprechen Nonverbales Verhalten Blickkontakt, Gestik, Mimik, Haltung optimal angemessen gelegentlich unangemessen häufig unangemessen sehr stark eingeschränkt Gesamtpunktzahl</t>
  </si>
  <si>
    <t>eigenen Wünschen, gesellschaftlichen Erwartungen und politischen, ökonomischen und sozialen Erfordernissen - Einfluss von Medien auf die Identitätsbildung - Wertepluralismus in der Demokratie Individuum, Familie, Freunde, Gesellschaft - Jugendkriminalität und deviantes Verhalten: Ursachen, präventive und repressive Maßnahmen Sachkompetenz Die Schülerinnen und Schüler erklären den Einfluss sozialer Erwartungen auf die Identitätsbildung von Jugendlichen, beschreiben mediale Einflussfaktoren und deren Auswirkungen auf verschiedene Bereiche der</t>
  </si>
  <si>
    <t>Meinungsbildung und Entscheidungsfindung unter Wahrung demokratischer Grundprinzipien mit der notwendigen Konflikt- und Kompromissbereitschaft weitgehend selbstständig beteiligen, eigene Positionen zu politischen und wirtschaftlichen Lösungsmöglichkeiten formulieren und vor anderen begründend vertreten, undemokratisches Verhalten erkennen und Möglichkeiten der Abwehr verfassungsfeindlicher Positionen und von Fremdenfeindlichkeit in Diskussionen formulieren, sich mit Möglichkeiten des Engagements auseinandersetzen und ein historisches Beispiel hiermit in Verbindung bringen, in Arbeitsgruppen, deren</t>
  </si>
  <si>
    <t>ist in der Bundesrepublik Deutschland die Basis gesellrter sozialer Gerechtigkeit. Dabei ist die europäische Integration von besonderer Bedeutung okratischen Gestaltungsprozess als auch für die Entwicklung des Sozialstaates. suchung von demokratiefeindlichen Verhaltensweisen im lebensweltlichen Nahbereich und in ammenhängen ist ein weiterer zentraler Bestandteil dieses Inhaltsfeldes. e Marktwirtschaft sowie die nationale und internationale Verflechtung von Wirtschaft und Geeutung sind dabei die Funktionsprinzipien des</t>
  </si>
  <si>
    <t>.., oder . Wahlpflichtmodul zum Thema Nachhaltigkeit Pflicht: ein Modul in der Studienstufe Wahlpflichtmodul mit mathematischen Anteilen für das erhöhte Anforderungsniveau Pflicht eA: ein Modul in der Studienstufe H- Menschliches Verhalten in ökonomisch geprägten Lebenssituation . Gütermarkt und Arbeitsmarkt unter besonderer Berücksichtigung der privaten Haushalte . Marktmodell und Preisbildung . U- Unternehmertum und Innovation . Marketing als strategisches Managementkonzept . Nachhaltiges</t>
  </si>
  <si>
    <t>Wirtschaftsordnung . Wirtschaftspolitik . Auf erhöhtem Niveau: Geldpolitik und Finanzmärkte im internationalen Zusammenhang . Internationale Wirtschaftsbeziehungen . Theorie und Praxis der Nachhaltigkeitspolitik .; dieses Modul kann oder ersetzen S- Menschliches Verhalten in ökonomisch geprägten Lebenssituationen Übergreifend Inhalte Fachbezogen Umsetzungshilfen Leitperspektiven Aufgabengebiete Berufsorientierung Sozial- und Rechtserziehung Sprachbildung Fachübergreifende Bezüge Propädeutik Erkenntnisbereich der Wirtschaftswissenschaften und Unterscheidung zu Politikwissenschaft und Soziologie Überblick über Wissenschaftsdisziplinen</t>
  </si>
  <si>
    <t>SWOT-Analyse Operatives Marketing Marketing-Mix Produktpolitik Kommunikationspolitik Preispolitik Distributionspolitik Beitrag zur Leitperspektive D: Die zunehmende Rolle digitaler Medien führt zu einer veränderten Ausrichtung von Marketingkonzepten. Die Auswirkungen dieser Konzepte auf das Verhalten der Konsumierenden bietet Anlässe für eine kritische Reflexion digital veränderter Ökonomie. D BK Ma Psy D E E E S S B B S- Nachhaltiges Unternehmertum alternativ zu Modul oder</t>
  </si>
  <si>
    <t>Beitrag zur Leitperspektive BNE: Die Vorstellung eines primär an Wachstum und Konsuminteressen orientierten Individuums kann ebenso kritisch hinterfragt werden wie Vorstellungen prinzipiell grenzenlosen wirtschaftlichen Wachstums. Indem die verschiedenen Erklärungsansätze menschlichen Verhaltens auf Möglichkeiten und Grenzen individuellen nachhaltigen Verhaltens bezogen werden z. B. auf Milieuebene, kann auch dieses Modul mit einem Nachhaltigkeitsschwerpunkt unterrichtet werden. W BNE B PGW Phi Psy E E</t>
  </si>
  <si>
    <t>primär an Wachstum und Konsuminteressen orientierten Individuums kann ebenso kritisch hinterfragt werden wie Vorstellungen prinzipiell grenzenlosen wirtschaftlichen Wachstums. Indem die verschiedenen Erklärungsansätze menschlichen Verhaltens auf Möglichkeiten und Grenzen individuellen nachhaltigen Verhaltens bezogen werden z. B. auf Milieuebene, kann auch dieses Modul mit einem Nachhaltigkeitsschwerpunkt unterrichtet werden. W BNE B PGW Phi Psy E E E E B B S S S-</t>
  </si>
  <si>
    <t>Teil Gemeinschaftsschule Im Einklang mit den Grundprinzipien der Gemeinschaftsschule steht im Mittelpunkt des Lernbereichs Gesellschaftswissenschaften die Befähigung der Schülerinnen und Schüler zu verantwortungsvoller Partizipation, zu demokratischem Handeln und zu nachhaltigem Verhalten in unserer Gesellschaft. Die Fächer des Lernbereichs Gesellschaftswissenschaften tragen zudem zur Sensibilisierung für unterschiedliche Geschlechterperspektiven, zur Werteerziehung, zum Aufbau sozialer Verantwortung, zur kulturellen Mitgestaltung, zum interkulturellen Verständnis sowie zur Vorbereitung</t>
  </si>
  <si>
    <t>eigenen Person - in die Gesellschaft ermöglichen. Dies erfolgt sowohl auf der zeitlichen als auch auf der räumlichen Ebene. Die Schülerinnen und Schüler erkennen und vergleichen eigenes, aber auch fremdes Verhalten ausgehend von ihrem unmittelbaren sozialen Umfeld und mit zunehmendem Alter auch in größeren Organisationsformen. Sie erfahren, dass das Alltagsleben verbindlicher Regelungen und Gesetze bedarf, um ein friedliches Zusammenleben in Freiheit</t>
  </si>
  <si>
    <t>Konfliktlösungsansätze vermittelt den Schülerinnen und Schülern das nötige Verständnis für die Bedeutung supranationaler Organisationen und internationaler Vereinbarungen. In diesem Zusammenhang sind sie vor allem auch zu Fremdverstehen und zu mitmenschlichem Verhalten aufgefordert. Daraus ergibt sich eine enge Verbindung zu den Perspektiven Im Bereich der Vorschläge und Hinweise werden auch Anregungen zur Berufsorientierung formuliert, die jeweils einen engen inhaltlichen Bezug zum jeweiligen</t>
  </si>
  <si>
    <t>mit alltäglichen Ausgrenzungen z. B. Rassismus, Antisemitismus oder Sexismus und erfassen Möglichkeiten des persönlichen Engagements für Minderheitenschutz und Gleichberechtigung im demokratischen Rechtsstaat. vergleichen Möglichkeiten der staatlichen Einwirkung auf das menschliche Verhalten im Spannungsfeld zwischen Verboten und Strafandrohung einerseits und der Schaffung von Anreizen andererseits, um den Wert eigenverantwortlichen Handelns im Rahmen staatlicher Regelungen zu erkennen. setzen sich mit Funktionsweisen z. B.</t>
  </si>
  <si>
    <t>unterschiedlicher Darstellungsweisen zu beurteilen. reflektieren zentrale Ursachen des demografischen Wandels, um grundsätzliche Möglichkeiten und Grenzen staatlicher Lenkung zu diskutieren und eine aktuelle politische Maßnahme z. B. im Bereich des generativen Verhaltens oder der Migration zu bewerten. informieren sich über eine familienpolitische Maßnahme aus der jüngsten Vergangenheit in Deutschland, um deren Auswirkungen auf die demografische Situation zu beurteilen und Grenzen staatlicher Einflussnahme</t>
  </si>
  <si>
    <t>Demokratie wurde wirtschaftliche Not, politische Polarisierung und Radikalisierung Vertrauensverlust in die Demokratie Selbstentmachtung des Parlaments wichtige Ursachen für das Scheitern der ersten deutschen Demokratie kennen Krisen, Strukturmängel, Mentalitäten, Einstellung und Verhalten von Führungseliten wichtige Stationen der Zerstörung der Demokratie und des Aufbaus der nationalsozialistischen Diktatur in Deutschland kennen Machtergreifung, Gleichschaltung, Einparteiensystem, Verschränkung von Partei und Staat, Propaganda Konzentrationslager wichtige Grundelemente der</t>
  </si>
  <si>
    <t>Verschränkung von Partei und Staat, Propaganda Konzentrationslager wichtige Grundelemente der nationalsozialistischen Ideologie kennen und reflektieren Rassenideologie, Antisemitismus, Lebensraumkonzept, Führerprinzip, Weltherrschaftsanspruch, Demokratiefeindschaft die Auswirkungen der NS-Herrschaft auf einzelne Lebensbereiche und das Verhalten der Menschen beispielhaft erkennen und beurteilen können Jugend, Frau, Familie, Wirtschafts- und Arbeitswelt, Kunst und Kultur Begeisterung-Anpassung-Angst innere und echte Emigration Einsicht gewinnen in Möglichkeiten, Formen und Risiken des Widerstandes</t>
  </si>
  <si>
    <t>GG: Chancengleichheit / -gerechtigkeit Frauengesetzgebung Zusammenleben mit Ausländern und Asylrecht Die Schülerinnen und Schüler sollen einen Einblick gewinnen in Fragen und Probleme des Zusammenlebens mit zugewanderten Minderheiten Fremdheit, Vorurteile, individuelles Verhalten Fremdenfeindlichkeit, Rechtsextremismus, Gewalt Bürgerrechte, Minderheitenschutz, Ausländerrecht und Asylrecht, Einwanderungspolitik multikulturelle Gesellschaft Die große Wanderung. Ursachen, Erscheinungsformen und Folgen von Migration PZ-Information / Jugend im Wandel Lernziele Inhaltsaspekte Die Schülerinnen und</t>
  </si>
  <si>
    <t>in der Politik Zusammenleben mit Ausländern und Asylrecht Lernziele Inhaltsaspekte Die Schülerinnen und Schüler sollen Probleme bei der Gestaltung des Zusammenlebens von Deutschen mit zugewanderten Minderheiten erörtern Fremdheit, Vorurteile, individuelles Verhalten Fremdenfeindlichkeit, Rechtsextremismus, Gewalt Chancen und Risiken von Konzepten anhand der Kriterien des Notwendigen, Machbaren und Wünschenswerten beurteilen Bürgerrechte, Minderheitsrechte Ausländerrecht und Asylrecht, Einwanderungspolitik Assimilation, Integration multikulturelle Gesellschaft Jugend im Wandel</t>
  </si>
  <si>
    <t>Subsistenzwirtschaft/Marktorientierung, Produktivität Industrie: Rohstoffe und eigene Rohstoffverarbeitung, Arbeits- und Kapitalintensität Handel: Exportorientierung Tourismus: Ausmaß und Auswirkungen in wirtschaftlicher, sozialer, kultureller und ökologischer Hinsicht Bevölkerungsstruktur und Auswirkungen des Bevölkerungsdrucks erklären generatives Verhalten, Altersaufbau, Lebenserwartung, Bevölkerungswachstumsrate, Analogien zu Entwicklungsphasen in Industrieländern; Migration die Herausbildung eines regionalen Dualismus innerhalb eines Staates erkennen Zentrum-Peripherie-Gefälle, Landflucht und unkontrollierter Verstädterungsprozess, Ausbau des Verkehrs- u. Versorgungswesens die Bedeutung</t>
  </si>
  <si>
    <t>weil sie sich als notwendig erweisen im methodischen Nachdenken über politische Zusammenhänge. Politisches Denken bewegt sich auf der Ebene der politischen Soziologie im Beschreiben und Analysieren politischer Strukturen, Konstellationen und Verhaltensweisen, der politischen Theorie im Analysieren und/oder Interpretieren politischer Möglichkeiten in bestimmten Situationen, der politischen Ethik im Ermitteln und Anwenden von Maßstäben politischen Urteilens und Entscheidens. Es kann als einsichtig bezeichnet</t>
  </si>
  <si>
    <t>Macht, Raumnutzungsmuster in verschiedenen gesellschaftlichen, politischen, ökonomischen und ökologischen Systemen, Wandlungen räumlicher Ordnungssysteme durch wirtschaftliche und soziale Prozesse, Räumliche Planung im Konflikt zwischen Zielen und Methoden von Interessengruppen, Raumwirksamkeit verschiedener Verhaltensweisen von Bevölkerungsgruppen und daraus resultierende unterschiedliche Interessen. Bei der Auswahl von Themen und Raumbeispielen ist zu fragen nach ihrem Bezug zur Erfahrungswelt des Schülers, ihrer Zukunftsrelevanz, ihrer Repräsentativität für die</t>
  </si>
  <si>
    <t>Wohnumfeld. Sie lernen, sich im Straßenverkehr z. B. zu Fuß, mit dem Fahrrad, mit motorisierten Fahrzeugen oder als Mitfahrende in privaten und öffentlichen Verkehrsmitteln umsichtig und sicherheits- und gefahrenbewusst zu verhalten. Sie erweitern ihre motorischen Fertigkeiten sowie ihr Wahrnehmungs- und Reaktionsvermögen. Regelwissen, verkehrsspezifische sowie verkehrsrechtliche Kenntnisse befähigen sie, mit zunehmendem Alter flexibel und situationsbezogen zu handeln, Gefahren im Straßenverkehr zu erkennen</t>
  </si>
  <si>
    <t>normative Grundlage Jugendschutzgesetz, Jugendarbeitsschutz Familienrecht, Kaufrecht, z. B. Kaufverträge im Internet, Taschengeldparagraph AWT Jugendstrafrecht, Sinn und Zweck von Strafe, Erziehungsmaßnahmen und Auflagen Informatik und Medienbildung Reflexion des eigenen und fremden Verhaltens Umgang mit persönlichen Daten Prüfung der Seriosität von Informationen Einfluss von Algorithmen und Künstlicher Intelligenz auf die Meinungsbildung Formen von Diskriminierung und Verletzung von Persönlichkeitsrechten Ethische und Rechtliche Grundlagen Mobbing/</t>
  </si>
  <si>
    <t>der Perspektive von Konsument, Arbeitnehmer, Unternehmer oder Staatsbürger Problemstellungen kriterienorientiert analysieren, beurteilen und lösen können. Das im Fach Wirtschaft und Recht erworbene Strukturwissen ermöglicht es den Schülerinnen und Schülern, ökonomisches Verhalten unterschiedlicher Akteure und wirtschaftliche Systemzusammenhänge zu analysieren, rechtliche Rahmenbedingungen zu verstehen und vor diesem Hintergrund Konfliktsituationen aus verschiedenen Perspektiven zu beurteilen. In aktuellen, handlungsorientierten Szenarien wenden sie im Unterricht geeignete</t>
  </si>
  <si>
    <t>Schülerinnen und Schüler eigene Entscheidungen aus Sicht der Verhaltensökonomie kritisch. Zudem analysieren sie unternehmerische und politische Maßnahmen aus verhaltensökonomischer Perspektive. Dabei diskutieren sie auch ethische Aspekte bei der Beeinflussung von Verhalten durch verhaltensökonomische Maßnahmen. In Jahrgangsstufe wird das Fach Wirtschaft und Recht seiner Leitfachfunktion für die Politische Bildung im besonderen Maße gerecht. Es weitet sich der Blick auf gesamtwirtschaftliche Zusammenhänge in</t>
  </si>
  <si>
    <t>der Einführungsphase und der Qualifikationsphase sind insofern beabsichtigt, Doppelungen sollen aber im Unterricht vermieden werden. A Familie, Kindheit und Jugend Inhalte Familienrecht Familienpolitik Individuum und Gruppe Konsum und Vertragsrecht abweichendes Verhalten Kompetenzerwerb im Themenfeld Die Schülerinnen und Schüler entwickeln und stärken ihre Fähigkeit zum sozialwissenschaftlichen Analysieren, indem sie das Handeln des Jugendlichen und seinen Sozialisationsprozess aus der Perspektive von Eltern und</t>
  </si>
  <si>
    <t>sich die Schülerinnen und Schüler im Gebrauch sozialwissenschaftlicher Begriffe und Methoden sozialwissenschaftliches Analysieren und in der Fähigkeit zum Perspektivenwechsel. Indem die Schülerinnen und Schüler Widersprüche zwischen einzel- und gesamtwirtschaftlich rationalem Verhalten und Fehlallokationen aufgrund nicht vom Markt bewerteter externer Effekte feststellen, nehmen sie unterschiedliche Handlungsperspektiven wahr Fähigkeit zur Perspektivenübernahme und wenden eine wirtschaftswissenschaftliche Theorie zur Bestimmung staatlichen Handelns an Fähigkeit zum</t>
  </si>
  <si>
    <t>unter dem Aspekt: selbstständige Arbeit vs. Erwerbsarbeit Chancen und Risiken; Gesetz zum Schutz der arbeitenden Jugend Jugendarbeitsschutzgesetz - JArbSchG; Mitbestimmung in Betrieben Existenzgründung/Wirtschaft: Schülerfirmen und Schülergenossenschaften Erfahrungen sammeln und dokumentieren: Verhalten im Betrieb, Regeln der Kommunikation bei Konflikten im Betrieb Klima und Klimawandel Gesellschaftswissenschaften Leitperspektive: Lebensraum Erde - Disparitäten Der Klimawandel ist eines der zentralen Themen der Gegenwart und der Umgang</t>
  </si>
  <si>
    <t>Grundkursfach Leistungskursfach Die Schülerinnen und Schüler präsentieren Erkenntnisse situations- und anforderungsgemäß mündlich, schriftlich, medienunterstützt, legen eigene Auffassungen im Bewusstsein der gewählten Perspektive dar, stellen sich der kritischen Beurteilung durch andere, verhalten sich in Diskussionen dialogisch der sozialen Situation angemessen. verhalten sich in Diskussionen dialogisch, sowohl der sozialen Situation angemessen als auch dem Anspruch der multiperspektivischen Betrachtung Rechnung tragend. Urteils- und Orientierungskompetenz</t>
  </si>
  <si>
    <t>und anforderungsgemäß mündlich, schriftlich, medienunterstützt, legen eigene Auffassungen im Bewusstsein der gewählten Perspektive dar, stellen sich der kritischen Beurteilung durch andere, verhalten sich in Diskussionen dialogisch der sozialen Situation angemessen. verhalten sich in Diskussionen dialogisch, sowohl der sozialen Situation angemessen als auch dem Anspruch der multiperspektivischen Betrachtung Rechnung tragend. Urteils- und Orientierungskompetenz Grundkursfach Leistungskursfach Die Schülerinnen und Schüler ordnen die jeweiligen</t>
  </si>
  <si>
    <t>Sozialwissenschaften ihre Lernwege und die Ergebnisse ihrer Arbeit. Solch ein Ansatz erfordert eine Unterrichtsgestaltung, in der eigene Lernwege bewusst und kritisch-konstruktiv zum Gegenstand der Diskussion werden. So können Einstellungen und Verhaltensweisen gefördert werden, die für ein Studium oder eine vergleichbare berufliche Ausbildung Voraussetzung sind. Allgemeine Hochschulreife Zur Vorbereitung auf ein Studium oder eine vergleichbare berufliche Ausbildung ist wissenschaftspropädeutisches Arbeiten unverzichtbar. Die</t>
  </si>
  <si>
    <t>Entwicklung von wirtschaftlichem Wachstum und Lebensqualität und deren Beschreibungsmöglichkeiten - Tauschbeziehungen und Koordination durch Märkte Geld- und Güterkreislauf, gegebenenfalls vom einfachen zum erweiterten Wirtschaftskreislauf Modellbildungen - gesamtwirtschaftliche Auswirkungen individuellen ökonomischen Verhaltens Aggregation, insbesondere Investieren und Sparen - Produktionsfaktoren, Wirtschaftswachstum und dessen Kehrseiten / Grenzen des Wachstums - Aussagekraft und Grenzen des BIP, alternative Indikatoren - ausgewählte Kontroversen um den Begriff der</t>
  </si>
  <si>
    <t>Lösung nationaler, europäischer und globaler Herausforderungen wie etwa im Bereich der Asyl- und Migrationspolitik zu verstehen und sich mit unterschiedlichen Lösungsperspektiven auseinanderzusetzen, dabei - eine Widerstandshaltung gegen inhumane und undemokratische Verhaltensweisen zu entwickeln, aber auch demokratisch legitimierte Herrschaft und ökonomische Entscheidungen kritisch zu begleiten, - soziale Ungerechtigkeiten, Unterdrückungs- und Ausgrenzungsmechanismen wie etwa Sexismus, Rassismus, Antisemitismus und Antitziganismus und Demokratiedefizite zu erkennen</t>
  </si>
  <si>
    <t>sich in politischen, gesellschaftlichen und ökonomischen Auseinandersetzungen reflektiert mit sozialer, geschlechtsspezifischer und kultureller Differenz auseinandersetzen, H anderen Positionen tolerant und gegebenenfalls begründet kritisch begegnen, H undemokratische und rechtsstaatswidrige Einstellungen und Verhaltensweisen identifizieren und kritisieren, H interdisziplinäre Handlungsperspektiven entwickeln und reflektieren. Kompetenzbereich: Methodenkompetenz M grundlegendes Niveau Grundkurs und Leistungskurs Die Lernenden können M Fachmethoden fachspezifische Arbeitstechniken, Mikromethoden zur Wahrnehmung, Analyse und Beurteilung</t>
  </si>
  <si>
    <t>anderer kriteriengeleitet überprüfen g, U: den Zusammenhang von Sinn-vorstellungen und gesellschaftlichen Strukturen reflektieren e, H: anderen Positionen tolerant und gegebenenfalls begründet kritisch begegnen g, H: undemokratische und rechtsstaatswidrige Einstellungen und Verhaltensweisen identifizieren und kritisieren g, M: Medienkritik in politischen, ökonomischen und sozialen Kontexten wertorientiert formulieren g, A: zur Analyse des jeweiligen Themas verschiedene Perspektiven im Sinne interdisziplinärer Betrachtung einnehmen, miteinander verschränken</t>
  </si>
  <si>
    <t>Entwicklung von wirtschaftlichem Wachstum und Lebensqualität und deren Beschreibungsmöglichkeiten - Tauschbeziehungen und Koordination durch Märkte Geld- und Güterkreislauf, gegebenenfalls vom einfachen zum erweiterten Wirtschaftskreislauf Modellbildungen - gesamtwirtschaftliche Auswirkungen individuellen ökonomischen Verhaltens Aggregation, insbesondere Investieren und Sparen - Produktionsfaktoren, Wirtschaftswachstum und dessen Kehrseiten / Grenzen des Wachstums - Aussagekraft und Grenzen des Bruttoinlandsprodukts BIP, alternative Indikatoren - ausgewählte Kontroversen um den Begriff</t>
  </si>
  <si>
    <t>mit zu entwickeln Demokratie lernen, - Ansätze zur Lösung nationaler, europäischer und globaler Herausforderungen zu verstehen und sich mit unterschiedlichen Lösungsperspektiven auseinanderzusetzen, dabei - eine Widerstandshaltung gegen inhumane und undemokratische Verhaltensweisen zu entwickeln, aber auch demokratisch legitimierte Herrschaft und ökonomische Entscheidungen kritisch zu begleiten, - soziale Ungerechtigkeiten, Unterdrückungs- und Ausgrenzungsmechanismen wie etwa Sexismus und Rassismus und Demokratiedefizite zu erkennen und gegebenenfalls</t>
  </si>
  <si>
    <t>Intention unterschiedlicher Darstellungsweisen zu beurteilen. reflektieren zentrale Ursachen des demografischen Wandels, um Möglichkeiten und Grenzen staatlicher Lenkung zu erkennen und eine aktuelle politische Maßnahme z. B. im Bereich des generativen Verhaltens oder der Migration zu bewerten. analysieren mögliche Auswirkungen demografischer Entwicklungen auf unterschiedliche Lebensbereiche z. B. Wohnungsmarkt, ÖPNV, Bildung, um die Bedeutung staatlichen Gestaltens für den Zusammenhalt der Gesellschaft zu erkennen.</t>
  </si>
  <si>
    <t>Leerkosten. begründen verbal und grafisch die Entstehung von Nutz- und Leerkosten und die Möglichkeit der Abbaubarkeit der Leerkosten Beurteilungskompetenz. Marktformen und Marktprozesse auf dem vollkommenen Markt Wirtschaftslehre Hauptphase GK Das Verhalten der Marktteilnehmerinnen und -teilnehmer und die damit verbundene Auswirkung auf die Preisbildung, wie auch auf die Intensität des Wettbewerbes, werden nicht zuletzt durch die Marktform bestimmt. Die Analyse der Marktformen</t>
  </si>
  <si>
    <t>Handlungskompetenz Die Schülerinnen und Schüler erklären die Verhaltensweisen und Marktstrategien eines Oligopolisten, Die Schülerinnen und Schüler beurteilen die grundsätzlichen Möglichkeiten eines Oligopolisten, sich seinen Konkurrenten gegenüber wirtschaftsfriedlich oder wirtschaftsfeindlich zu verhalten Beurteilungskompetenz, Notwendigkeit einer Wettbewerbskontrolle und Grenzen staatlicher Wettbewerbspolitik begründen die Notwendigkeit staatlicher Wettbewerbsaufsicht bzw. -kontrolle, diskutieren die Vorteile des freien Wettbewerbs in einer marktwirtschaftlichen Ordnung Beurteilungskompetenz, erkennen die Erfordernis staatlicher</t>
  </si>
  <si>
    <t>Methoden-, Beurteilungsund Handlungskompetenz Modell des Gütermarktes und Wirtschaftssektoren Die Schülerinnen und Schüler erläutern den grundsätzlichen Unterschied zwischen der Mikroökonomie und der Makroökonomie, Die Schülerinnen und Schüler grenzen einzelwirtschaftliches und gesamtwirtschaftliches Verhalten voneinander ab Beurteilungskompetenz, beschreiben das makroökonomische Gleichgewicht, ordnen der gesamtwirtschaftlichen Nachfrage die vier Wirtschaftssektoren Aggregation einzelwirtschaftlicher Größen und deren Handlungen zu: private Haushalte C, private Unternehmen I, Staat ASt, Ausland</t>
  </si>
  <si>
    <t>Märkten Wirtschaftslehre Hauptphase GK In der Realität eröffnet die Unvollkommenheit von Märkten durch z. B. das Fehlen von Markttransparenz und ein verzögertes Reaktionsverhalten der Marktteilnehmerinnen und -teilnehmer weitreichende Möglichkeiten strategischen Verhaltens. Dadurch können Unternehmen ihre Gewinnsituation und Marktposition maßgeblich verbessern. Für das Verständnis der Verhaltensweisen der Marktteilnehmerinnen und -teilnehmer in den Marktformen ist die tiefergehende Analyse von Strategien z. B. akquisitorisches</t>
  </si>
  <si>
    <t>B. das Fehlen von Markttransparenz und ein verzögertes Reaktionsverhalten der Marktteilnehmerinnen und -teilnehmer weitreichende Möglichkeiten strategischen Verhaltens. Dadurch können Unternehmen ihre Gewinnsituation und Marktposition maßgeblich verbessern. Für das Verständnis der Verhaltensweisen der Marktteilnehmerinnen und -teilnehmer in den Marktformen ist die tiefergehende Analyse von Strategien z. B. akquisitorisches Potenzial eine zwingende Voraussetzung. Zudem sollte an dieser Stelle eine kritische Analyse der Auswirkungen</t>
  </si>
  <si>
    <t>und Reaktionsverbundenheit und die damit einhergehende Unsicherheit anhand einer vorgegebenen Preis-Absatz-Funktion Handlungskompetenz. Preisbildung auf unvollkommenen Märkten Wirtschaftslehre Hauptphase GK Sachkompetenz Orientierungs-, Methoden-, Beurteilungsund Handlungskompetenz Die Schülerinnen und Schüler erklären die Verhaltensweisen und Marktstrategien eines Oligopolisten, Die Schülerinnen und Schüler beurteilen die grundsätzlichen Möglichkeiten eines Oligopolisten, sich seinen Konkurrenten gegenüber wirtschaftsfriedlich oder wirtschaftsfeindlich zu verhalten Beurteilungskompetenz, Notwendigkeit einer Wettbewerbskontrolle und Grenzen staatlicher</t>
  </si>
  <si>
    <t>- die Notwendigkeit der Arbeitsteilung in der Familie beschreiben, - die historische Entwicklung der Arbeitsteilung in der Familie darstellen, - die Vielfalt der landestypisch geprägten familiären Arbeitsteilung vergleichen, - das Verhalten der Familie als Verbrauchergemeinschaft am Markt begründen, - den ökologisch verantwortungsbewussten jugendlichen Verbraucher beschreiben, - Warenkennzeichnungen als Instrument der Verbraucheraufklärung beurteilen, - anhand ausgewählter Produkte das Preis-Leistungs-Verhältnis sowie ihre Umweltverträglichkeit</t>
  </si>
  <si>
    <t>durch Nutzung neuer Medien erfolgreich an Umweltwettbewerben z. B. Aktion Klima, Erlebter Frühling, NAJU Energiesparclub, Regionalwettbewerb teilnehmen. Selbst - und Sozialkompetenz Der Schüler kann - die Ansprüche eines ökologisch bewussten Verhaltens mit seinem eigenen Handeln vergleichen. Klassenstufen / - realschulbezogener Abschluss Lernausgangslage Teile der Lernbereiche bauen auf die Inhalte Der Private Haushalt, Berufsorientierung, Die Grundlagen des Rechts, Geld und Zahlungsverkehr, Untersuchung</t>
  </si>
  <si>
    <t>Ökobilanzerstellung, das Ökoaudit anschaulich darstellen, - unter Nutzung von verschiedenen Medien Informationen über Umweltberufe gezielt auswerten und präsentieren. Selbst - und Sozialkompetenz Der Schüler kann - gesellschaftlich sowie betrieblich umweltrelevante Verhaltensweisen bewerten, - eine Auswahl von Umweltberufen für seine Berufsorientierung begründen. Lernbereich: Unternehmen im Wandel Der Schüler erwirbt Kenntnisse über die Ursachen und den Verlauf des wirtschaftlichen Wandels in der Region.</t>
  </si>
  <si>
    <t>in Frage stellen sich im Sinne eines Perspektivwechsels in die Situation, Interessen und Denkweisen anderer Menschen versetzen, diese Interessen und Denkweisen simulativ für eine begrenzte Zeit vertreten und das eigene Verhalten in der Rolle reflektieren in politischen Kontroversen konfliktfähig sein, aber auch Kompromisse schließen die Regeln für ein rationales und gewaltfreies Austragen politischer Konflikte einhalten ihre Interessen in schulischen und außerschulischen</t>
  </si>
  <si>
    <t>internationale Politik bestimmen Regeln und Recht, wie Entscheidungen in den internationalen Beziehungen getroffen werden Macht und Entscheidung, welche Akteure die internationale Politik beeinflussen Privatheit und Öffentlichkeit und welche Handlungsmotive das Verhalten der Akteure bestimmen Interessen und Gemeinwohl. Die Schülerinnen und Schüler können die Struktur des internationalen Systems beschreiben Anarchie, Sicherheitsdilemma, Interdependenzen G West- und Osteuropa nach : Streben nach Wohlstand und</t>
  </si>
  <si>
    <t>internationale Politik bestimmen Regeln und Recht, wie Entscheidungen in den internationalen Beziehungen getroffen werden Macht und Entscheidung, welche Akteure die internationale Politik beeinflussen Privatheit und Öffentlichkeit und welche Handlungsmotive ihr Verhalten bestimmen Interessen und Gemeinwohl. Die Schülerinnen und Schüler können die Struktur des internationalen Systems beschreiben Anarchie, Sicherheitsdilemma, Interdependenzen G West- und Osteuropa nach : Streben nach Wohlstand und Partizipation .,</t>
  </si>
  <si>
    <t>Lebensform. Hierbei geht es um Fragen des demokratischen sozialen Zusammenlebens der Menschen, beispielsweise die Interaktionen im Klassenzimmer, in der Schule und in der Familie. Bereits in der Schule müssen demokratische Verhaltens- und Konfliktlösungsmuster gelernt werden, die später von den Schülerinnen und Schülern auf die Lösung gesellschaftlicher Probleme übertragen werden sollen. Die zweite Dimension der Demokratie ist Demokratie als Gesellschaftsform. Demokratie braucht</t>
  </si>
  <si>
    <t>wurde wirtschaftliche Not, politische Polarisierung und Radikalisierung Vertrauensverlust in die Demokratie Selbstentmachtung des Parlaments - wichtige Ursachen für das Scheitern der ersten deutschen Demokratie kennen Krisen, Strukturmängel, Mentalitäten, Einstellung und Verhalten von Führungseliten - wichtige Stationen der Zerstörung der Demokratie und des Aufbaus der nationalsozialistischen Diktatur in Deutschland kennen Machtergreifung, Gleichschaltung, Einparteiensystem, Verschränkung von Partei und Staat, Propaganda Konzentrationslager - wichtige</t>
  </si>
  <si>
    <t>Partei und Staat, Propaganda Konzentrationslager - wichtige Grundelemente der nationalsozialistischen Ideologie kennen und reflektieren Rassenideologie, Antisemitismus, Lebensraumkonzept, Führerprinzip, Weltherrschaftsanspruch, Demokratiefeindschaft - die Auswirkungen der NS-Herrschaft auf einzelne Lebensbereiche und das Verhalten der Menschen beispielhaft erkennen und beurteilen können Jugend, Frau, Familie, Wirtschafts- und Arbeitswelt, Kunst und Kultur Begeisterung-Anpassung-Angst innere und echte Emigration - Einsicht gewinnen in Möglichkeiten, Formen und Risiken des</t>
  </si>
  <si>
    <t>Chancengleichheit / -gerechtigkeit Frauengesetzgebung Zusammenleben mit Ausländern und Asylrecht Die Schülerinnen und Schüler sollen - einen Einblick gewinnen in Fragen und Probleme des Zusammenlebens mit zugewanderten Minderheiten Fremdheit, Vorurteile, individuelles Verhalten Fremdenfeindlichkeit, Rechtsextremismus, Gewalt Bürgerrechte, Minderheitenschutz, Ausländerrecht und Asylrecht, Einwanderungspolititk multikulturelle Gesellschaft Politik als Unterrichtsgegenstand am Beispiel des Asylproblems in: Handreichung zur Jahrgangsstufe PZ-Information / Jugend im Wandel Lernziele Inhaltsaspekte Die</t>
  </si>
  <si>
    <t>der Politik Zusammenleben mit Ausländern und Asylrecht Lernziele Inhaltsaspekte Die Schülerinnen und Schüler sollen - Probleme bei der Gestaltung des Zusammenlebens von Deutschen mit zugewanderten Minderheiten erörtern Fremdheit, Vorurteile, individuelles Verhalten Fremdenfeindlichkeit, Rechtsextremismus, Gewalt - Chancen und Risiken von Konzepten anhand der Kriterien des Notwendigen, Machbaren und Wünschenswerten beurteilen Bürgerrechte, Minderheitsrechte Ausländerrecht und Asylrecht, Einwanderungspolitik Assimilation, Integration multikulturelle Gesellschaft Jugend im</t>
  </si>
  <si>
    <t>Produktivität Industrie: Rohstoffe und eigene Rohstoffverarbeitung, Arbeits- und Kapitalintensität Handel: Exportorientierung Tourismus: Ausmaß und Auswirkungen in wirtschaftlicher, sozialer, kultureller und ökologischer Hinsicht - Bevölkerungsstruktur und Auswirkungen des Bevölkerungsdrucks erklären generatives Verhalten, Altersaufbau, Lebenserwartung, Bevölkerungswachstumsrate, Analogien zu Entwicklungsphasen in Industrieländern; Migration - die Herausbildung eines regionalen Dualismus innerhalb eines Staates erkennen Zentrum-Peripherie-Gefälle, Landflucht und unkontrollierter Verstädterungsprozess, Ausbau des Verkehrs- u. Versorgungswesens Lernziele</t>
  </si>
  <si>
    <t>sie sich als notwendig erweisen im methodischen Nachdenken über politische Zusammenhänge. Politisches Denken bewegt sich auf der Ebene - der politischen Soziologie im Beschreiben und Analysieren politischer Strukturen, Konstellationen und Verhaltensweisen, - der politischen Theorie im Analysieren und/oder Interpretieren politischer Möglichkeiten in bestimmten Situationen, - der politischen Ethik im Ermitteln und Anwenden von Maßstäben politischen Urteilens und Entscheidens. Es kann als</t>
  </si>
  <si>
    <t>verschiedenen gesellschaftlichen, politischen, ökonomischen und ökologischen Systemen, - Wandlungen räumlicher Ordnungssysteme durch wirtschaftliche und soziale Prozesse, - Räumliche Planung im Konflikt zwischen Zielen und Methoden von Interessengruppen, - Raumwirksamkeit verschiedener Verhaltensweisen von Bevölkerungsgruppen und daraus resultierende unterschiedliche Interessen. Bei der Auswahl von Themen und Raumbeispielen ist zu fragen nach - ihrem Bezug zur Erfahrungswelt des Schülers, - ihrer Zukunftsrelevanz, - ihrer</t>
  </si>
  <si>
    <t>Aufgabe des Faches, Schülerinnen und Schüler dabei zu unterstützen, die aktuellen politischen, gesellschaftlichen und wirtschaftlichen Geschehnisse zu verstehen, einzuordnen, sich ein Urteil zu ihnen zu bilden sowie sich dementsprechend zu verhalten. Aktuelle Ereignisse sind dann gewinnbringend für den PGW-Unterricht, wenn sie zu einem aktuell behandelten Themenschwerpunkt passen und ihn vertiefen. Durch sie können die im Unterricht behandelten Strukturen und Theorien exemplarisch</t>
  </si>
  <si>
    <t>die Gegenseite damit konfrontieren. H: sich im Sinne eines Perspektivwechsels in die Situation, die Interessen und die Denkweisen anderer Menschen versetzen, diese Interessen und Denkweisen simulativ vertreten und das eigene Verhalten in der Rolle reflektieren. H: alternative Lebensstile und divergierende Wertvorstellungen auf dem Boden der freiheitlichen demokratischen Grundordnung als gleichwertig zu den je eigenen begreifen. H: in politischen Kontroversen ihre eigene</t>
  </si>
  <si>
    <t>konkreten Beispiels die kritische Menge als Entscheidungskriterium für eine Investition Handlungskompetenz, beurteilen die Kostenvergleichsrechnung als Hilfsmittel betrieblicher Investitionsentscheidungen Beurteilungskompetenz. Marktformen und Marktprozesse auf dem vollkommenen Markt Wirtschaftslehre Hauptphase LK Das Verhalten der Marktteilnehmerinnen und -teilnehmer und die damit verbundene Auswirkung auf die Preisbildung wie auch auf die Intensität des Wettbewerbes werden nicht zuletzt durch die Marktform bestimmt. Die Analyse der Marktformen</t>
  </si>
  <si>
    <t>die damit einhergehende Unsicherheit anhand einer vorgegebenen Preis-Absatz-Funktion Handlungskompetenz, erklären die Verhaltensweisen und Marktstrategien eines Oligopolisten, beurteilen die grundsätzlichen Möglichkeiten eines Oligopolisten, sich seinen Konkurrenten gegenüber wirtschaftsfriedlich oder wirtschaftsfeindlich zu verhalten Beurteilungskompetenz, kritisieren die Neigung zu abgestimmtem Verhalten Beurteilungskompetenz, Notwendigkeit einer Wettbewerbskontrolle und Grenzen staatlicher Wettbewerbspolitik begründen die Notwendigkeit staatlicher Wettbewerbsaufsicht bzw. -kontrolle. diskutieren die Vorteile des freien Wettbewerbs in einer</t>
  </si>
  <si>
    <t>Preis-Absatz-Funktion Handlungskompetenz, erklären die Verhaltensweisen und Marktstrategien eines Oligopolisten, beurteilen die grundsätzlichen Möglichkeiten eines Oligopolisten, sich seinen Konkurrenten gegenüber wirtschaftsfriedlich oder wirtschaftsfeindlich zu verhalten Beurteilungskompetenz, kritisieren die Neigung zu abgestimmtem Verhalten Beurteilungskompetenz, Notwendigkeit einer Wettbewerbskontrolle und Grenzen staatlicher Wettbewerbspolitik begründen die Notwendigkeit staatlicher Wettbewerbsaufsicht bzw. -kontrolle. diskutieren die Vorteile des freien Wettbewerbs in einer marktwirtschaftlichen Ordnung Beurteilungskompetenz, erkennen die Erfordernis staatlicher</t>
  </si>
  <si>
    <t>Handlungskompetenz Einführung: Modell des Gütermarktes Die Schülerinnen und Schüler erläutern den grundsätzlichen Unterschied zwischen der Mikroökonomie und der Makroökonomie, Die Schülerinnen und Schüler grenzen anhand eines Textauszugs einzelwirtschaftliches und gesamtwirtschaftliches Verhalten voneinander ab Methodenkompetenz, charakterisieren die Annahmen eines modellhaft betrachteten Gütermarktes, entwickeln ein Bewusstsein dafür, dass die modellhafte Betrachtung des Gütermarktes grundlegende Erkenntnisse für das Verstehen realer Märkte liefert Beurteilungskompetenz, beschreiben</t>
  </si>
  <si>
    <t>Märkten Wirtschaftslehre Hauptphase LK In der Realität eröffnet die Unvollkommenheit von Märkten durch z. B. das Fehlen von Markttransparenz und ein verzögertes Reaktionsverhalten der Marktteilnehmerinnen und teilnehmer weitreichende Möglichkeiten strategischen Verhaltens. Dadurch können Unternehmen ihre Gewinnsituation und Marktposition maßgeblich verbessern. Für das Verständnis der Verhaltensweisen der Marktteilnehmerinnen und -teilnehmer in den Marktformen ist die tiefergehende Analyse von Strategien z. B. akquisitorisches</t>
  </si>
  <si>
    <t>B. das Fehlen von Markttransparenz und ein verzögertes Reaktionsverhalten der Marktteilnehmerinnen und teilnehmer weitreichende Möglichkeiten strategischen Verhaltens. Dadurch können Unternehmen ihre Gewinnsituation und Marktposition maßgeblich verbessern. Für das Verständnis der Verhaltensweisen der Marktteilnehmerinnen und -teilnehmer in den Marktformen ist die tiefergehende Analyse von Strategien z. B. akquisitorisches Potenzial eine zwingende Voraussetzung. Zudem sollte an dieser Stelle eine kritische Analyse der Auswirkungen</t>
  </si>
  <si>
    <t>Wirtschaft Methodenkompetenz, Beurteilungskompetenz, erklären die Preisbildung im unvollkommenen Oligopol mit Hilfe der einfach-geknickten Preis-Absatz-Funktion, erörtern Preisstarrheit und Reaktionsverbundenheit und die damit einhergehende Unsicherheit anhand einer vorgegebenen Preis-Absatz-Funktion Handlungskompetenz, erklären die Verhaltensweisen und Marktstrategien eines Oligopolisten, beurteilen die grundsätzlichen Möglichkeiten eines Oligopolisten, sich seinen Konkurrenten gegenüber wirtschaftsfriedlich oder wirtschaftsfeindlich zu verhalten Beurteilungskompetenz, kritisieren die Neigung zu abgestimmtem Verhalten Beurteilungskompetenz, Notwendigkeit einer Wettbewerbskontrolle</t>
  </si>
  <si>
    <t>unterschiedlichen Rollen in Spielgruppen charakterisieren, - Spielmaterialien im Hinblick auf ihre Entwicklungsförderung beurteilen, - die Bedeutung des Kindergartens als sekundäre Sozialisationsinstanz erfassen. p Der Schüler kann - mittels Beobachtungen das Verhalten des Kindes in Spielgruppen beschreiben, - den Beruf des Erziehers, z. B. durch Beobachtungen, Interviews und Auswertung von Berufswahlblättern, erschließen. Selbst- und Sozialkompetenz Der Schüler kann - Erlebnisse und Empfindungen</t>
  </si>
  <si>
    <t>durchführen, - Konfliktmodelle, z. B. Eisbergmodell, Dreiecksmodell, und Konfliktlösungsstrategien, z. B. Gordon-Schulkonferenz, anwenden. Selbst- und Sozialkompetenz Der Schüler kann - seine Rolle in der Gruppe Schulklasse erfassen, - auf unangemessenes Verhalten in der Gruppe reagieren, - mit eigenen Konflikten in der Gruppe und mit Gruppendruck angemessen umgehen, - aktiv zuhören und Ich-Botschaften formulieren, - gemeinsam erarbeitete Regeln im Schulalltag anwenden. Auf</t>
  </si>
  <si>
    <t>Menschen, empfohlen. Sachkompetenz Der Schüler kann - die Phasen der Pubertät nennen, - die Pubertät als eine notwendige Phase im Entwicklungsprozess einordnen, - den Einfluss der körperlichen Entwicklung auf das Verhalten beschreiben, - Lösungsstrategien für Probleme in der Pubertät aufzeigen. Methodenkompetenz Der Schüler kann - Wesensveränderungen in der Pubertät, z. B. aus Fallbeispielen, Filmausschnitten und Texten, herausarbeiten, - die Methode Selbst-</t>
  </si>
  <si>
    <t>Hilfe verschiedener Befragungsformen Entwicklungen in der Pubertät aufzeigen. Selbst- und Sozialkompetenz Der Schüler kann - mit Hilfe von Selbsterfahrungs- und Interaktionsübungen eigene Erfahrungen in der Pubertät reflektieren, - sein eigenes Verhalten mit dem Verhalten Gleichaltriger vergleichen, - widersprüchliche Gefühle wahrnehmen. Sozialisation in der Freizeit Lernausgangslage Ethik Der Schüler kann am Ende der Klassenstufe - die Gefahren eines unkritischen Mediengebrauchs reflektieren. Medienkunde</t>
  </si>
  <si>
    <t>Entwicklungen in der Pubertät aufzeigen. Selbst- und Sozialkompetenz Der Schüler kann - mit Hilfe von Selbsterfahrungs- und Interaktionsübungen eigene Erfahrungen in der Pubertät reflektieren, - sein eigenes Verhalten mit dem Verhalten Gleichaltriger vergleichen, - widersprüchliche Gefühle wahrnehmen. Sozialisation in der Freizeit Lernausgangslage Ethik Der Schüler kann am Ende der Klassenstufe - die Gefahren eines unkritischen Mediengebrauchs reflektieren. Medienkunde Der Schüler kann</t>
  </si>
  <si>
    <t>gestaltet werden können. In diesem Lernbereich wird der Besuch regionaler Beratungsstellen und Selbsthilfegruppen empfohlen, in denen der Schüler mögliche Unterstützungsangebote kennenlernt. Klassenstufe Sachkompetenz Der Schüler kann - angepasstes und abweichendes Verhalten im gesellschaftlichen Kontext erklären, - Vor- und Nachteile angepassten und abweichenden Verhaltens vergleichen, - Erscheinungsformen abweichenden Verhaltens in der Jugendphase analysieren, - Möglichkeiten sozialen Engagements im regionalen Umfeld benennen, -</t>
  </si>
  <si>
    <t>Fallbeispielen Entwicklungsaufgaben Jugendlicher beschreiben, - Diagramme und Statistiken mit regionalem Bezug auswerten, - einen Katalog zu regionalen Unterstützungsangeboten erstellen, - Expertenbefragungen durchführen. Selbst- und Sozialkompetenz Der Schüler kann - soziales Verhalten in seinem Umfeld beobachten, - in der Lerngruppe Handlungsstrategien im Umgang mit unterschiedlichen Lebenssituationen entwickeln, - seine individuellen Potentiale für sich und die Gemeinschaft nutzen. Umgang mit Verschiedenheit Der Schüler</t>
  </si>
  <si>
    <t>gestaltet werden können. In diesem Lernbereich wird der Besuch regionaler Beratungsstellen und Selbsthilfegruppen empfohlen, in denen der Schüler mögliche Unterstützungsangebote kennenlernt. Klassenstufe Sachkompetenz Der Schüler kann - angepasstes und abweichendes Verhalten im gesellschaftlichen Kontext erläutern, - Vor- und Nachteile angepassten und abweichenden Verhaltens vergleichen, - Erscheinungsformen abweichenden Verhaltens in der Jugendphase analysieren, - Möglichkeiten sozialen Engagements im regionalen Umfeld beschreiben, -</t>
  </si>
  <si>
    <t>Fallbeispielen Entwicklungsaufgaben Jugendlicher analysieren, - Diagramme und Statistiken mit regionalem Bezug auswerten, - einen Katalog zu regionalen Unterstützungsangeboten erstellen, - Expertenbefragungen durchführen. Selbst- und Sozialkompetenz Der Schüler kann - soziales Verhalten in seinem Umfeld beobachten, - in der Lerngruppe Handlungsstrategien im Umgang mit unterschiedlichen Lebenssituationen entwickeln, - seine individuellen Potentiale für sich und die Gemeinschaft nutzen. Umgang mit Verschiedenheit Der Schüler</t>
  </si>
  <si>
    <t>Selbsthilfegruppen empfohlen, in denen der Schüler mögliche Unterstützungsangebote kennenlernt. Klassenstufe Sachkompetenz Der Schüler kann - angepasstes und abweichendes Verhalten im gesellschaftlichen Kontext erklären, - Vor- und Nachteile angepassten und abweichenden Verhaltens vergleichen, - Erscheinungsformen abweichenden Verhaltens in der Jugendphase analysieren, - Möglichkeiten sozialen Engagements im regionalen Umfeld benennen, - den Inhalt von Gesetzen, z. B. Jugendschutzgesetz, erläutern. p Der Schüler kann</t>
  </si>
  <si>
    <t>Schüler mögliche Unterstützungsangebote kennenlernt. Klassenstufe Sachkompetenz Der Schüler kann - angepasstes und abweichendes Verhalten im gesellschaftlichen Kontext erklären, - Vor- und Nachteile angepassten und abweichenden Verhaltens vergleichen, - Erscheinungsformen abweichenden Verhaltens in der Jugendphase analysieren, - Möglichkeiten sozialen Engagements im regionalen Umfeld benennen, - den Inhalt von Gesetzen, z. B. Jugendschutzgesetz, erläutern. p Der Schüler kann - anhand von Fallbeispielen Entwicklungsaufgaben</t>
  </si>
  <si>
    <t>Selbsthilfegruppen empfohlen, in denen der Schüler mögliche Unterstützungsangebote kennenlernt. Klassenstufe Sachkompetenz Der Schüler kann - angepasstes und abweichendes Verhalten im gesellschaftlichen Kontext erläutern, - Vor- und Nachteile angepassten und abweichenden Verhaltens vergleichen, - Erscheinungsformen abweichenden Verhaltens in der Jugendphase analysieren, - Möglichkeiten sozialen Engagements im regionalen Umfeld beschreiben, - den Inhalt von Gesetzen, z. B. Jugendschutzgesetz, erläutern. p Der Schüler kann</t>
  </si>
  <si>
    <t>Schüler mögliche Unterstützungsangebote kennenlernt. Klassenstufe Sachkompetenz Der Schüler kann - angepasstes und abweichendes Verhalten im gesellschaftlichen Kontext erläutern, - Vor- und Nachteile angepassten und abweichenden Verhaltens vergleichen, - Erscheinungsformen abweichenden Verhaltens in der Jugendphase analysieren, - Möglichkeiten sozialen Engagements im regionalen Umfeld beschreiben, - den Inhalt von Gesetzen, z. B. Jugendschutzgesetz, erläutern. p Der Schüler kann - anhand von Fallbeispielen Entwicklungsaufgaben</t>
  </si>
  <si>
    <t>aber nicht immer befriedigenden Kompromissen. U Sie bewerten Marktwirtschaft und wirtschaftspolitisches Handeln hinsichtlich der Gewährleistung von Freiheit, Gerechtigkeit und ökologischer Verträglichkeit in Wirtschaft und Gesellschaft. U Sie reflektieren ihr eigenes Verhalten als Konsumenten vor dem Hintergrund einer komplexen Wirklichkeit und im Spannungsverhältnis ökonomischer und ökologisch nachhaltiger Ziele. U Sie formulieren begründete Sach- und Werturteile zum aktuellen Stand der europäischen Integration. U</t>
  </si>
  <si>
    <t>Handy, Kleidung etc. M, M. Urteilskompetenz: Sie bewerten Marktwirtschaft und wirtschaftspolitisches Handeln hinsichtlich der Gewährleistung von Freiheit, Gerechtigkeit und ökologischer Verträglichkeit in Wirtschaft und Gesellschaft U. Sie reflektieren ihr eigenes Verhalten als Konsumenten vor dem Hintergrund einer komplexen Wirklichkeit und im Spannungsverhältnis ökonomischer und ökologisch-nachhaltiger Ziele U. Basis: n Jugendliche als Konsumenten auf globalen Märkten n Konsequenzen von Kaufentscheidungen z. B.</t>
  </si>
  <si>
    <t>anderen Lernfeldern Innerhalb des Faches Sozialkunde... Zu den Fächern Erdkunde u. Geschichte... n Demokratie im Erfahrungsbereich der Jugendlichen n Leben in der Mediengesellschaft n G: Auswirkungen von Ideologien auf die Verhaltensweisen von Einzelnen LF II.., Die weltweite Auseinandersetzung um politische Ordnungen - Demokratie Sozialismus - Nationalsozialismus Weltdeutungen n G: Aufbrechen historisch bedingter gesellschaftlicher Strukturen am Beispiel der Familie LF II.., Die</t>
  </si>
  <si>
    <t>bundespolitische Fragen unter den Kriterien der Interessenbezogenheit und der möglichen sozialen und politischen Integrations- bzw. Desintegrationswirkung. Inhaltsfeld Individuum und Gesellschaft Inhaltliche Schwerpunkte Sozialisationsinstanzen Individuelle Zukunftsentwürfe sowie deren Norm- und Wertgebundenheit Verhalten von Individuen in Gruppen Identitätsmodelle Rollenmodelle, Rollenhandeln und Rollenkonflikte Strukturfunktionalismus und Handlungstheorie Soziologische Perspektiven zur Orientierung in der Berufs- und Alltagswelt SACHKOMPETENZ Die Schülerinnen und Schüler vergleichen Zukunftsvorstellungen Jugendlicher im</t>
  </si>
  <si>
    <t>Schüler sowie Lehrkräfte entlasten. Dazu werden neben dem https://ges.engagement-global.de/orientierungsrahmen.html Unterricht in Regelklassen eigene Lerngruppen für Schülerinnen und Schüler mit starken Auffälligkeiten in den Bereichen Sprache oder Lernen oder Auffälligkeiten im Verhalten gebildet. In inklusiven Lerngruppen erhalten Schülerinnen und Schüler eine kooperative Förderung. Dabei sind sie Schülerinnen und Schüler einer regulären Grundschulklasse oder einer regulären Klasse der weiterführenden allgemeinbildenden Schule Bezugsklasse. In</t>
  </si>
  <si>
    <t>- Wege zur Verhinderung von Schulden anhand von Beispielen erläutern. Selbst- und Sozialkompetenz Der Schüler kann - für sich Rückschlüsse im Umgang mit Geld ziehen und Regeln für sein eigenes Verhalten ableiten, - den Einfluss von Werbung auf sein Verbraucherverhalten erkennen und Schlussfolgerungen aufzeigen. Lernbereich: Markt und Preisbildung Klassenstufe Sachkompetenz Der Schüler kann - das Wesen des Marktes als Treffpunkt von</t>
  </si>
  <si>
    <t>die zum Untersuchen und Experimentieren erforderlichen Geräte und Materialien sachgerecht verwenden, - sachgerecht bewerten, d. h. die Anwendung naturwissenschaftlicher Erkenntnisse, Verfahren und Methoden in Forschung und Praxis sowie Entscheidungen und Verhaltensweisen aus naturwissenschaftlichtechnischer Sicht und aus weiteren relevanten Perspektiven z. B. ethisch, sozial, wirtschaftlich nach geeigneten Kriterien analysieren, Schlussfolgerungen ziehen und sich einen Standpunkt bilden, aktuelle Informationen und Aussagen mit naturwissenschaftlich-technischem</t>
  </si>
  <si>
    <t>über die Multiperspektivität die Fähigkeit zum kriteriengestützten Urteilen. Dies lässt sie zu mündigen, handlungsfähigen Bürgerinnen und Bürgern werden: Sie können begründet eine eigene Meinung vertreten, andere Sichtweisen nachvollziehen, sich konfliktfähig verhalten und reflektierte Entscheidungen treffen. Sie handeln als entscheidungs- und interventionsfähige Bürger in der Demokratie zunehmend verantwortungsbewusst. Ausgehend von den komplexen Fragen des Lebensalltags der Schülerinnen und Schüler bildet das Fach</t>
  </si>
  <si>
    <t>die Auseinandersetzung mit politischen, wirtschaftlichen und gesellschaftlichen Sachverhalten, Problemen und Interdependenzen ermöglicht. Die zentrale Aufgabe des politisch-ökonomischen Lernens ist es, den Schülerinnen und Schülern Raum für Eigenständigkeit und Verantwortung für Verhalten und Haltung zu geben, aber auch die Selbstreflexion über die Mündigkeit zu ermöglichen. Das politisch-ökonomische Lernen hat bei dieser Aufgabe eine besondere Funktion: Es vernetzt das politische mit dem ökonomischen</t>
  </si>
  <si>
    <t>und Erlaubnisse, öffentlicher und privater Raum, Hausrecht. Konflikte Konfliktlösungen Wie werden Beziehungen zwischen Einzelnen, Gruppen und Völkern tolerant und gerecht gestaltet analysieren an Beispielen Ursachen, Konsequenzen und Strafen für abweichendes Verhalten. vergleichen Konsequenzen und Strafen für abweichendes Verhalten im Jugend- und Erwachsenenstrafrecht. Medien Kommunikation Wie beeinflussen Medien und Kommunikation die Sicht auf die Wirklichkeit und welche Möglichkeiten bieten sich, andere zu</t>
  </si>
  <si>
    <t>Konflikte Konfliktlösungen Wie werden Beziehungen zwischen Einzelnen, Gruppen und Völkern tolerant und gerecht gestaltet analysieren an Beispielen Ursachen, Konsequenzen und Strafen für abweichendes Verhalten. vergleichen Konsequenzen und Strafen für abweichendes Verhalten im Jugend- und Erwachsenenstrafrecht. Medien Kommunikation Wie beeinflussen Medien und Kommunikation die Sicht auf die Wirklichkeit und welche Möglichkeiten bieten sich, andere zu beeinflussen beurteilen die Verantwortlichkeit jedes Einzelnen für</t>
  </si>
  <si>
    <t>naturgeografischen Gegebenheiten und menschlichen Aktivitäten. Das Ziel des geographischen Lernens ist der mündige Bürger, der die Komplexität der Entwicklung auf der Grundlage von fundiertem Sachwissen erkennt und eine Anpassung bisheriger Verhaltensweisen und Handlungsstrategien vornimmt. Gefordert sind eine Urteils- sowie Problemlösefähigkeit, besonders in den Bereichen Umweltschutz, Sicherung der Ressourcen, wirtschaftlicher Entwicklung und entwicklungspolitischer Zusammenarbeit. Die zentrale Aufgabe des geographischen Lernens ist demnach,</t>
  </si>
  <si>
    <t>Lebens Grundwerte Partizipation Wie entstehen in Gesellschaften Regeln, die das Zusammenleben gestalten und wie wird die Einhaltung derer gewährleistet entwickeln Merkmale zur Überprüfung von Helden, Vorbildern und Idolen. stellen die Verhaltensweisen der für sie bedeutsamen Persönlichkeiten in Bezug auf eine mögliche Vorbildfunktion dar. Globaler Wandel Nachhaltigkeit Wie werden natürliche Lebensgrundlagen und Lebensräume genutzt, erhalten und gestaltet erklären die Notwendigkeit einer öffentlichen</t>
  </si>
  <si>
    <t>die Wirklichkeit und welche Möglichkeiten bieten sich, Andere zu beeinflussen werten Befragungen zum Konsumverhalten aus. - Endlich erwachsen: Wachsende Rechte - wachsende Verantwortung Die Schülerinnen und Schüler erkennen, dass individuelle Verhaltensweisen moralische und rechtliche Konsequenzen haben können. Davon ausgehend erläutern sie die Bedeutung von Recht und Rechtsprechung für ihre eigenen Handlungen. Strukturierende Aspekte und Fragen Inhalts- und prozessbezogene Kompetenzen Die Schülerinnen</t>
  </si>
  <si>
    <t>und Kunst der Goldenen er fachübergreifende Kooperation Bildende Kunst Demokratie und Diktatur im Jahrhundert Gesellschaftswissenschaften Vorschläge und Hinweise Berufsorientierende Aspekte im Zusammenhang mit den Projektideen: Regeln der Kommunikation und angemessenes Verhalten in verschiedenen Situationen; z. B. Selbstpräsentation Berufe kennen lernen: Berufe im Justizwesen; z. B. Richter/in, Staatsanwalt/Staatsanwältin, Rechtspfleger/in, Amtsanwalt/Amtsanwältin, Gerichtshelfer/in, Bewährungshelfer/in, Gerichtsvollzieher/in, Justizfachwirt/in, Justizwachtmeister/in, Verwaltungswirt/in, Justizvollzugsfachwirt/in, Psychologe/Psychologin, Sozialarbeiter/in, Sozialpädagoge/Sozialpädagogin usw. historischer</t>
  </si>
  <si>
    <t>Partizipation sowohl unterstützen als auch gefährden. Medienkompetenz bedeutet in diesem Zusammenhang, den Wahrheitsgehalt von Informationen kritisch zu hinterfragen und Intentionen zu erkennen. Schülerinnen und Schüler müssen darüber hinaus ihr eigenes Verhalten als Konsumentinnen und Konsumenten und Gestaltende von Informationen kritisch prüfen. Eines der zentralen Ziele ist dabei, sie für einen verantwortungsvollen Umgang mit Persönlichkeitsrechten im Internet und insbesondere in sozialen Netzwerken</t>
  </si>
  <si>
    <t>Marsch -, Der große Sprung, Kulturrevolution, Sozialistische Marktwirtschaft beschreiben im Überblick die neuere historische Entwicklung SK, BK, beschreiben das politische System SK, charakterisieren Chinas hybrides Wirtschaftssystem SK, BK, entwickeln angemessene Verhaltensweisen gegenüber fremden Kulturen OK, HK, Globalisierung und Ökonomie Wirtschaftliche Verflechtungen Maximalprinzip, Minimalprinzip, Welthandel, Güterströme, Globalisierung, Global Player, BIP Bruttoinlandsprodukt, Arbeitsmigration, Push- und Pullfaktoren, regionale Disparitäten erklären die Grundsätze wirtschaftlichen Handelns</t>
  </si>
  <si>
    <t>Der Schüler kann - Diskussionsregeln einhalten, - andere Meinungen respektieren, - Ursachen und Folgen gesamtwirtschaftlicher Probleme, u. a. von Arbeitslosigkeit beurteilen, - sich bei der Teilnahme an einer Gerichtsverhandlung normgerecht verhalten. Regionale, nationale und internationale ökonomische Zusammenhänge Lernausgangslage In dem Fach Geografie wurde ein Verständnis gebildet - zu sozialen und ökologischen Problemen bei wirtschaftlichen Wechsellagen, - zu globalen Produktketten. Klassenstufe Sachkompetenz</t>
  </si>
  <si>
    <t>erfordern, sich im Sinne von Perspektivenwechseln in die Situation, Interessen und Denkweisen anderer gesellschaftlicher, wirtschaftlicher und politischer Gruppen zu versetzen und sich in unterschiedlichen sozialen Situationen angemessen und wirkungsvoll zu verhalten. Die beschriebenen Bearbeitungsformen lassen sich nicht exakt auf die Anforderungsbereiche projizieren. Darstellungsleistungen sind am ehesten dem Anforderungsbereich I zuzuordnen, Analyseleistungen erfüllen in der Regel Anforderungsbereich II, Erörterungs- und Gestaltungsaufgaben erfüllen</t>
  </si>
  <si>
    <t>auf den Sozialstaat überträgt, indem er es für sozial gerecht hält, für diejenigen Politik zu machen, die Leistungen zum Erhalt der Gesellschaft und damit des Sozialstaates erbringen, sich also sozialinvestiv verhalten, nicht für diejenigen, die ein sozialkonsumtives Verhalten an den Tag legen Zeilen -. Zugleich erkennen sie, dass Steinbrück außerdem unter sozialer Gerechtigkeit die Armutsvermeidung und nicht Sicherung des Lebensstandards; wer</t>
  </si>
  <si>
    <t>für sozial gerecht hält, für diejenigen Politik zu machen, die Leistungen zum Erhalt der Gesellschaft und damit des Sozialstaates erbringen, sich also sozialinvestiv verhalten, nicht für diejenigen, die ein sozialkonsumtives Verhalten an den Tag legen Zeilen -. Zugleich erkennen sie, dass Steinbrück außerdem unter sozialer Gerechtigkeit die Armutsvermeidung und nicht Sicherung des Lebensstandards; wer das wolle, müsse zusätzlich privat vorsorgen, Zeilen</t>
  </si>
  <si>
    <t>auf den Sozialstaat überträgt, indem er es für sozial gerecht hält, für diejenigen Politik zu machen, die Leistungen zum Erhalt der Gesellschaft und damit des Sozialstaates erbringen, sich also sozialinvestiv verhalten, nicht für diejenigen, die ein sozialkonsumtirungsbasis des Sozialstaates Umstellung auf Steuerfinanzierung, so dass alle Berufsgruppen ihren Beitrag leisten müssen, Z. - versteht. Steinbrücks Vorstellungen von sozialer Gerechtigkeit umfassen zugleich Gerechtigkeit</t>
  </si>
  <si>
    <t>- Handlungsorientiertheit, staatlich - nichtstaatlich. Anschließend müssen die Prüflinge der Frage nachgehen, inwieweit die internationalen Organisationen - allen voran die UNO mit ihren Nebenorganisationen - in der Lage sind, das Verhalten der weltweit agierenden Akteure in einem spezifischen Problemfeld dauerhaft zu steuern. Handlungs- und Organisationsdefizite müssen hier ebenso aufgezeigt werden wie die Erfordernis der Demokratisierung als zentrale Voraussetzung ihrer Akzeptanz. Auch</t>
  </si>
  <si>
    <t>mit dem Inhaltsbereich Internationalisierung und Globalisierung und den damit verbundenen Problemstellungen. Die Prüflinge sind mit verschiedenen Erscheinungsformen des Wandels vertraut: Wandel in der sozialen Rolle der Frau, Veränderungen im generativen Verhalten der Gesellschaften mit den Folgen für die Bevölkerungspyramiden und dem Verhältnis der Generationen sowie den gelockerten Parteibindungen der Wählerschaft, die sich in Wahlenthaltungen und Wählerfluktuationen zeigen. Als allen diesen Veränderungen</t>
  </si>
  <si>
    <t>der Wählerschaft führt zu einem Anstieg von Wechselwählern oder zur Stimmenthaltung. Anforderungsbereiche I und III Prüfungsteil : Prüfungsgespräch Leitfrage: Beurteilen Sie die Konsequenzen des durch den sozialen Wandels bedingten veränderten Verhaltens für die politische Partizipation und den demokratischen Entscheidungsprozess im politischen System. Beschreibung der zu erwartenden Prüfungsleistung für das Prüfungsgespräch Die Beantwortung kann sich in folgendem Rahmen bewegen: Der Soziale Wandel</t>
  </si>
  <si>
    <t>auf keinen einfachen Nenner mehr zu bringen sind. Außerdem operiert das herrschende Regime mit einem ganz neuen Tugendkatalog, der alle früheren ethischen Codes außer Kraft setzt. Prämiert werden Eigenschaften und Verhaltensweisen, die früher eher als verdächtig galten. Als wichtigste Kardinaltugend gilt die Flexibilität. Daneben werden Durchsetzungsvermögen, Mobilität und die Bereitschaft zu raschem, lebenslänglichem Lernen gefordert. Wer da nicht mithalten kann, wird</t>
  </si>
  <si>
    <t>E. die digitale Revolution zu einer neuen Klassenstruktur Z. ff und zur Auflösung der Schichtstruktur Z. - führt und die Lebens- und Arbeitsbedingungen vieler Menschen in Bezug auf Einkommensstruktur und Verhaltensweisen negativ beeinflusst. Sodann ist das von E skizzierte Gesellschaftsbild Horrorszenario des digitalen Kapitalismus zu charakterisieren: Klassenkämpfe finden nur molekular statt, Klassenbewusstsein verschwindet; Flexibilität wird zur geforderten Kardinaltugend und bestimmt über</t>
  </si>
  <si>
    <t>um deren Auswirkungen für das Zusammenleben in der Gesellschaft zu beurteilen. untersuchen ausgewählte, zu sozialer Ungleichheit führende Faktoren und bewerten z. B. in Form eines Audiobeitrags deren Beeinflussbarkeit durch individuelles Verhalten und staatliche Maßnahmen. vergleichen gängige Modelle sozialer Differenzierung und verorten ihre Lebenswelt darin, um deren Grenzen und Nutzen zu beurteilen. lernen anhand von Biografien Formen sozialer Mobilität kennen, um davon</t>
  </si>
  <si>
    <t>Wendel Projektideen Besuch einer Gerichtsverhandlung historischer Vergleich: Rassismus früher und heute Schule ohne Rassismus - Schule mit Courage Berufsorientierende Aspekte im Zusammenhang mit den Projektideen: Regeln der Kommunikation und angemessenes Verhalten in verschiedenen Situationen; z. B. Selbstpräsentation Berufe kennen lernen: Berufe im Justizwesen; z.B. Richter/in, Staatsanwalt/Staatsanwältin, Rechtspfleger/in, Amtsanwalt/Amtsanwältin, Gerichtshelfer/in, Bewährungshelfer/in, Gerichtsvollzieher/in, Justizfachwirt/in, Justizwachtmeister/in, Verwaltungswirt/in, Justizvollzugsfachwirt/in, Psychologe/Psychologin, Sozialarbeiter/in, Sozialpädagoge/Sozialpädagogin usw. e eu</t>
  </si>
  <si>
    <t>Hinsicht können moderne Massenmedien demokratische Partizipation sowohl unterstützen als auch gefährden. Medienkompetenz bedeutet in diesem Zusammenhang, den Wahrheitsgehalt von Informationen zu hinterfragen. Schülerinnen und Schüler müssen darüber hinaus ihr eigenes Verhalten als Konsumenten und Gestalter von Informationen kritisch prüfen. Eines der zentralen Ziele ist dabei, sie für einen verantwortungsvollen Umgang mit Persönlichkeitsrechten im Internet und insbesondere in Sozialen Netzwerken zu sensibilisieren.</t>
  </si>
  <si>
    <t>UNTERRICHT / DEMOKRATIETAG / PROJEKTARBEIT Recherche im örtlichen Reisebüro nach Reiseangeboten für nachhaltiges Reisen Planung einer Klassenfahrt Ausstellung zu touristischen Reisezielen in Rheinland-Pfalz Umfrage in der Schule zu Reisezielen und -verhalten BEZÜGE ZU ANDEREN LERNFELDERN / Ägypten als Beispiel einer frühen Hochkultur: Tourismus als Chance und Risikofaktor / Bundesland Rheinland-Pfalz: Tourismus in RLP / Planet Erde - Klimatische Bedingungen von Räumen</t>
  </si>
  <si>
    <t>den kolonialisierten Gebieten. Sie entwickeln Möglichkeiten, mit welchen Mitteln man heute noch sichtbare Folgen der Kolonialzeit abmildern kann, z.B. fairer Handel, Entwicklungszusammenarbeit. Urteilskompetenz: Sie reflektieren das den Eroberungen zugrunde liegende Verhalten als Grundlage der Entstehung von Rassismus und seines Fortwirkens bis heute kritisch. Basis Erfindungen und neues Denken, die zu einem Wandel der Gesellschaft führen und ein neues Weltbild ermöglichen unterschiedlichen</t>
  </si>
  <si>
    <t>aktiv werden. Der Schwerpunkt dazu ist die Schaffung eines historischen Bewusstseins, dem die Erkenntnis zugrunde liegt, dass das Zusammenleben von Menschen und deren Lebenssituationen aktiv und dynamisch veränderbar sind und Verhaltensweisen von der jeweiligen Position des Einzelnen und seiner Situation in der Gesellschaft abhängig sind. Wer die Interdependenzen in Gesellschaften zu anderen Zeiten und in anderen Räumen kennt, kann lernen, in</t>
  </si>
  <si>
    <t>Handlungskompetenz: Sie diskutieren die Wechselwirkungen zwischen Wirtschaft, Ideologie und staatlichem Handeln. Sie entlarven gegenwärtige rechtsextremistische Propaganda und begegnen ihr argumentativ. Urteilskompetenz: Sie gelangen zu einem kritischen Urteil über die unterschiedlichen Verhaltensweisen von Menschen in der Zeit der nationalsozialistischen Diktatur. Basis Machtübergabe und Machtausbau in den ersten Jahren nationalsozialistischer Herrschaft Grundlagen der NS-Ideologie Einfluss nationalsozialistischer Ideologie auf Außen- und Innenpolitik Hitlers Leben</t>
  </si>
  <si>
    <t>ergeben. identifizieren ein aktuelles Handlungsfeld der Globalisierung und erkennen die Notwendigkeit internationaler Kooperation zur Lösung globaler Probleme. erkennen Möglichkeiten eigener Einflussnahme auf ein aktuelles Handlungsfeld der Globalisierung, um das persönliche Verhalten in einer globalisierten Welt zu reflektieren. analysieren und präsentieren an einem Beispiel das Zusammenwirken von staatlichen und zivilgesellschaftlichen Akteuren bei globalen Herausforderungen und bewerten deren Gestaltungsspielräume und grenzen. Inhalte zu</t>
  </si>
  <si>
    <t>einem Beispiel rechtliche und soziale Besonderheiten gesellschaftlicher Rollenbilder im zeitlichen Wandel analysieren. werten unterschiedliche Lebensläufe und -entwürfe nach verschiedenen Kriterien aus und erkennen sowie bewerten Faktoren für die Veränderung sozialen Verhaltens. analysieren den in der Verfassung garantierten Grundsatz der Gleichheit vor dem Gesetz an Fallbeispielen und nehmen auf dieser Basis differenziert Stellung zur grundsätzlichen Umsetzung dieses Grundrechts in unserer Gesellschaft. erkennen</t>
  </si>
  <si>
    <t>dieser Basis differenziert Stellung zur grundsätzlichen Umsetzung dieses Grundrechts in unserer Gesellschaft. erkennen anhand von Beispielen das Spannungsfeld zwischen Recht und Gerechtigkeit in einer demokratischen Gesellschaft. verstehen tolerante und partnerschaftliche Verhaltensweisen als grundlegend für gesamtgesellschaftlichen Zusammenhalt und orientieren auch ihren persönlichen Umgang mit anderen daran. gestalten eine einfache sozialwissenschaftliche Erhebung z. B. zu Rollenbildern im Wandel und nutzen dafür geeignete Medien</t>
  </si>
  <si>
    <t>Hinblick auf Rollenbild, soziale Einbindung und Lebensläufe, z. B. Schulausbildung, Berufsausbildung, Eheschließung Gleichbehandlungsgebot des Grundgesetzes: rechtliche Konsequenzen und aktuelle politische Handlungsfelder, z. B. im Bereich der Generationengerechtigkeit tolerante und partnerschaftliche Verhaltensweisen, z. B. im Umgang mit Mitschülerinnen und Mitschülern Grundlagen von soziologischen Erhebungen, statistische Aussagekraft u. a. Kriterium der Validität, Datenschutz PuG Lernbereich : Politik mitgestalten in der Kommune und im</t>
  </si>
  <si>
    <t>Fachlehrpläne Gymnasium: Politik und Gesellschaft SWG PuG Lernbereich : Die Jugendphase bewusst erleben und gestalten ca. Std. Kompetenzerwartungen Die Schülerinnen und Schüler ... ermitteln Einstellungen, Verhalten und Zukunftserwartungen Jugendlicher mithilfe aktueller Materialien z. B. Erhebungen oder Untersuchungen über Jugendzeitschriften oder soziale Netzwerke und vergleichen diese mit eigenen Vorstellungen. bestimmen anhand eigener Erfahrungen und den Erfahrungen der</t>
  </si>
  <si>
    <t>das Verhältnis Jugendlicher zu den Medien z. B. durch Befragungen in der Klasse und im Freundeskreis oder durch Auswertung einfacher Statistiken und reflektieren ihren Medienkonsum. Inhalte zu den Kompetenzen: Einstellungen, Verhalten und Zukunftserwartungen Jugendlicher, z. B. Traditionen, Werte Jugend als Lebensphase, Identitätssuche und Rolle der Peergroups Jugendkulturen: Formen und Bedeutung z. B. Musik- und Freizeitkultur, digitale Selbstdarstellung, Symbole, Sprache in Vergangenheit</t>
  </si>
  <si>
    <t>Mindmap, um ihre eigene Sozialisation zu reflektieren und die hohe Bedeutung dieser Akteure wertzuschätzen. ermitteln grundlegende Normen, Strukturen und Sanktionsmöglichkeiten primärer sozialer Gruppen, diskutieren das Gruppenverhalten und reflektieren das eigene Verhalten in der Gruppe. entwickeln Kriterien für gruppenförderliches oder gruppenschädliches Verhalten, um für das eigene Leben sozialverträgliche Grundhaltungen aufzubauen. analysieren Konflikte nach Entstehung, Interessenslagen, Rechts- und Machtpositionen und leiten Strategien der</t>
  </si>
  <si>
    <t>Bedeutung dieser Akteure wertzuschätzen. ermitteln grundlegende Normen, Strukturen und Sanktionsmöglichkeiten primärer sozialer Gruppen, diskutieren das Gruppenverhalten und reflektieren das eigene Verhalten in der Gruppe. entwickeln Kriterien für gruppenförderliches oder gruppenschädliches Verhalten, um für das eigene Leben sozialverträgliche Grundhaltungen aufzubauen. analysieren Konflikte nach Entstehung, Interessenslagen, Rechts- und Machtpositionen und leiten Strategien der Konfliktregelung ab, um Verhaltensmuster gewaltfreier Konfliktregelung abrufen zu können. begreifen</t>
  </si>
  <si>
    <t>Wirkung auf den Einzelnen zu begreifen und das Spannungsfeld zwischen Selbst- und Fremdbestimmung in verschiedenen Lebensbereichen wahrzunehmen. versetzen sich z. B. im Rahmen eines Rollenspiels in unterschiedliche Rollen, um fremdes Verhalten zu verstehen, Rollenkonflikte wahrzunehmen und die Bedeutung von Toleranz und Verständnis im Umgang mit anderen zu begreifen. reflektieren Gruppen- und Teamarbeit sowie deren Arbeitsabläufe und üben dadurch kooperative Verhaltensmuster ein.</t>
  </si>
  <si>
    <t>Experimenten der Verhaltensforschung Mechanismen sowie Folgen der Vorurteilsbildung und schärfen so ihre Wahrnehmungsfähigkeit gegenüber Favorisierungs- oder Diskriminierungstendenzen in Gruppen. wenden geeignete Wege zum Abbau von Vorurteilen an, um ihr eigenes Verhalten selbstkritisch zu überprüfen. identifizieren an Fallbeispielen Angriffe auf die Würde des Menschen durch Einzelne oder Gruppen und hinterfragen vor diesem Hintergrund ihren persönlichen Umgang mit Mitmenschen. analysieren anhand von Beispielen</t>
  </si>
  <si>
    <t>gesundheitsbezogenen Basiswissens ihren Blick für eine gesunde Lebensweise zu schärfen und Gefährdungen für die Gesundheit auszumachen. entwerfen z. B. in Kontakt zu außerschulischen Beratungseinrichtungen, Krankenkassen, landwirtschaftlichen Verbänden Kriterien für gesundheitsförderndes Verhalten, um die eigene Lebensweise zu überprüfen und ggf. zu ändern. ziehen auf der Basis wesentlicher Erkenntnisse der Ernährungsphysiologie Rückschlüsse für ihr Ernährungsverhalten. analysieren Formen, Ursachen und Folgen von Ernährungsstörungen und</t>
  </si>
  <si>
    <t>physischer, psychischer und sozialer Gesundheit, um auf Grundlage eines gesundheitsbezogenen Basiswissens Gefährdungen für die Gesundheit auszumachen. entwerfen z. B. in Kontakt zu außerschulischen Beratungseinrichtungen, Krankenkassen, landwirtschaftlichen Verbänden Kriterien für gesundheitsförderndes Verhalten z. B. in Form einer Informationsbroschüre, um die eigene Lebensweise zu überprüfen und ggf. zu ändern. vergleichen Kennzeichen ernährungsbedingter Krankheiten, schärfen so ihren Blick für den Zusammenhang zwischen Ernährung und</t>
  </si>
  <si>
    <t>Verhaltensmuster gewaltfreier Konfliktregelung abrufen zu können. begreifen auf der Basis ihrer Erfahrungen innerhalb verschiedener Sozialisationsinstanzen Fairness, Teamfähigkeit und Toleranz als Grundlage unseres Zusammenlebens. diskutieren und überprüfen Beispiele gemeinschaftsfördernder und beeinträchtigender Verhaltensweisen in Schulklassen. Inhalte zu den Kompetenzen: Bezugspersonen, -gruppen und Sozialisationsinstanzen, u. a. in Familie und Schule primäre soziale Gruppe: Normen, Sanktionen, Strukturen Konfliktsituationen z. B. Anlässe, Beteiligte, Strukturen und Möglichkeiten</t>
  </si>
  <si>
    <t>Klassenstufe - wirtschaftliches Handeln im Spannungsfeld von Ökonomie und Ökologie vergleichen und beschreiben, - Leistungen der Menschen in verschiedenen Regionen der Erde mit unterschiedlichen kulturellen Prägungen wertschätzen und sich tolerant verhalten. Religionslehre Der Schüler kann am Ende der Klassenstufe - Respekt gegenüber Verhaltensweisen Anderer entwickeln, - Fremdes erkennen und Andersartigkeit tolerieren, - Natur und Dinge wertschätzen. Bezug zu den Basiskonzepten Der</t>
  </si>
  <si>
    <t>beschreiben, - Leistungen der Menschen in verschiedenen Regionen der Erde mit unterschiedlichen kulturellen Prägungen wertschätzen und sich tolerant verhalten. Religionslehre Der Schüler kann am Ende der Klassenstufe - Respekt gegenüber Verhaltensweisen Anderer entwickeln, - Fremdes erkennen und Andersartigkeit tolerieren, - Natur und Dinge wertschätzen. Bezug zu den Basiskonzepten Der Lernbereich Leben in der Gesellschaft weist insbesondere Bezüge zu den Basiskonzepten Knappheit,</t>
  </si>
  <si>
    <t>von Marktmacht unter dem Gesichtspunkt von Konzentration. Der niveaugerechte Anspruch des Kurses besteht in der theoriegestützten Marktanalyse und der Untersuchung, inwieweit es dem Staat möglich ist, durch Eingriffe in das Verhalten der Marktteilnehmer die marktwirtschaftliche Ordnung aufrecht zu erhalten. Q Geld- und Währungspolitik auf nationalen und internationalen Märkten Das Halbjahr bearbeitet relevante monetäre Aspekte unter nationalen und internationalen Gesichtspunkten. Unter Bezugnahme</t>
  </si>
  <si>
    <t>ökonomischen Sachverhalten ökonomisches Fragen und Denken zu praktizieren, diese zu analysieren und zum Gegenstand kritischer Reflexion zu machen. Die Schülerinnen und Schüler ... sind sich der Tatsache bewusst, dass ökonomisches Verhalten der wirtschaftlichen Akteure zeit- und ortsgebunden ist und von den Interessen der Entscheidungsträger determiniert wird; wissen, dass Änderungen der ökonomischen Rahmenbedingungen immer wieder zu neuen Fragestellungen und Perspektiven führen ökonomische</t>
  </si>
  <si>
    <t>der Preisbildung in der sozialen Marktwirtschaft Der Schwerpunkt dieses Halbjahres liegt in der Thematisierung der marktrelevanten Preisbildungsprozesse auf der Grundlage einer marktwirtschaftlichen Ordnung. Thema dieses Halbjahres ist die Analyse des Verhaltens der Marktteilnehmer auf der Angebots- und Nachfrageseite in ihrer wechselseitigen Einflussnahme auf den Preis. Dabei werden unterschiedliche Marktformen betrachtet. Insbesondere wird die Rolle des Staates dahingehend untersucht, inwieweit er in</t>
  </si>
  <si>
    <t>politischen Meinungsbildung und Entscheidungsfindung unter Wahrung demokratischer Grundprinzipien mit der notwendigen Konflikt- und Kompromissbereitschaft selbstständig beteiligen, eigene Positionen zu politischen und wirtschaftlichen Lösungsmöglichkeiten formulieren und vor anderen begründend vertreten, undemokratisches Verhalten erkennen und Möglichkeiten der Abwehr verfassungsfeindlicher Positionen und von Fremdenfeindlichkeit in Diskussionen formulieren, sich mit Möglichkeiten des Engagements auseinandersetzen und ein historisches Beispiel hiermit in Verbindung bringen, in Arbeitsgruppen, deren</t>
  </si>
  <si>
    <t>ist in der Bundesrepublik Deutschland die Basis gesellrter sozialer Gerechtigkeit. Dabei ist die europäische Integration von besonderer Bedeutung okratischen Gestaltungsprozess als auch für die Entwicklung des Sozialstaates. suchung von demokratiefeindlichen Verhaltensweisen im lebensweltlichen Nahbereich und in ammenhängen ist ein weiterer zentraler Bestandteil dieses Inhaltsfeldes. Marktwirtschaft sowie die nationale und internationale Verflechtung von Wirtschaft und Geutung sind dabei die Funktionsprinzipien des Marktes,</t>
  </si>
  <si>
    <t>Identität und lernen Möglichkeiten zur reflektierten und verantwortlichen Teilhabe am gesellschaftlichen Leben und in der Demokratie kennen. Sie gewinnen räumliche und historische Orientierung und entwickeln die Bereitschaft für ein verantwortungsvolles Verhalten. Als Antwort auf die gestiegene Komplexität der Realität bietet das integrative Fach Gesellschaftswissenschaften den Schülerinnen und Schülern die Chance, ausgewählten Herausforderungen im Spannungsfeld zwischen historisch geprägten, lokalen, regionalen und globalen</t>
  </si>
  <si>
    <t>Straßennamen bestimmen mithilfe von Informationsquellen z. B. Karten, Diagramme die Nutzung und Gestaltung eines Raums beschreiben Wechselwirkungen zwischen Mensch und Naturraum erfassen Die Schülerinnen und Schüler können C ihr eigenes Verhalten im Naturraum beschreiben Beispiele für die Einflussnahme des Menschen auf den Naturraum z. B. Straßenbau benennen D Einflüsse des Naturraums z. B. Flüsse auf das Leben der Menschen z. B.</t>
  </si>
  <si>
    <t>und Interkulturelle Bildung finden hier Berücksichtigung. Themen Inhalte Unterrichtsanregungen Wasser und Eis gestalten - Küstenformen, z. B. geprägt von Eis, Gezeiten, Meeren und Ozeanen - Küstenschutz und Naturschutzgebiete Maßnahmen und Verhalten - Flüsse von der Quelle bis zur Mündung am Beispiel eines deutschen Flusses und des Nils: Erosion, Transport, Ablagerung, Überschwemmung natürliche und durch menschliches Handeln beeinflusste Prozesse - Experiment z.</t>
  </si>
  <si>
    <t>handlungsbedingenden Anreize und Restriktionen in den jeweiligen sozialen Situationen zurückführen. Die ökonomische Perspektive fokussiert die Handlungsbedingungen einer sozialen Situation und unterstellt zu Analysezwecken, dass sich die Individuen rational und vorteilsorientiert verhalten Ökonomische Verhaltenstheorie, aber auch soziologische und psychologische Aspekte ökonomischen Handelns finden zunehmend Berücksichtigung Verhaltensökonomik. In der Politik geraten die Interessen und Wertorientierungen in den Blick, die das Handeln politischer Akteure</t>
  </si>
  <si>
    <t>vollziehen sich stets im Kontext staatlicher Rahmenbedingungen. Die Koordination und Steuerung ökonomischer Aktivitäten bedarf eines Institutionen- und Regelsystems in Form einer Wirtschaftsordnung. Die Ausgestaltung dieser Ordnung hat Auswirkungen auf das Verhalten der Akteure Ordnungszusammenhänge. Die Prozesse der politischen Willensbildung und politische Konflikte werden ebenso durch Institutionen kanalisiert. Politische Ordnungen ermöglichen verbindliche Entscheidungen institutionell-formale Dimension von Politik. Fachkonzepte Fachkonzepte dienen im Unterrichtsfach</t>
  </si>
  <si>
    <t>Prinzip vom Nahen zum Fernen: Ausgehend von der Politik im Nahbereich wird zunehmend zum politischen Prozess und zu Systemen auf nationaler und supranationaler Ebene übergegangen; von der Situation und dem Verhalten des jugendlichen Konsumenten ausgehend werden dann Wirtschaftsordnung und Wirtschaftspolitik auf nationaler und supranationaler Ebene in den Blick genommen. - Grad der Differenziertheit: Beginnend mit konkreten und relativ überschaubaren Strukturen werden</t>
  </si>
  <si>
    <t>verstandene Handlungskompetenz ist Ziel eines kompetenzorientierten Unterrichts im Fach Politik-Wirtschaft. Die Schülerinnen und Schüler sind wahrnehmbar handlungskompetent, wenn sie begründet eine eigene Meinung vertreten, andere Meinungen nachvollziehen können, sich konfliktfähig verhalten und reflektierte Entscheidungen treffen. Sie handeln als entscheidungs- und interventionsfähige Bürger zunehmend verantwortungsbewusst. Der Erwerb fachspezifischer Kompetenzen wird im Unterricht gefördert und der Bezug zu verschiedenen fächerspezifischen Berufsfeldern hergestellt. Die</t>
  </si>
  <si>
    <t>und ökonomische Zusammenhänge, divergierende Interessenslagen und Lösungsmöglichkeiten insbesondere vor dem Hintergrund der Einflussmöglichkeiten von Akteuren heraus. Über das ökonomische Fachkonzept Anreize/Restriktionen konkretisieren sie Auswirkungen konkreter politischer Entscheidungen auf das ökonomische Verhalten von Akteuren. Mithilfe des politischen Fachkonzepts Legitimation verdeutlichen die Schülerinnen und Schüler, dass die am Entscheidungsprozess beteiligten Akteure u.a. Parteien, Verbände und Medien mit unterschiedlichen Handlungsmöglichkeiten ausgestattet sind und ihr</t>
  </si>
  <si>
    <t>ökonomischer Grundeinsichten zu orientieren, sich ein reflektiertes Urteil über ökonomische Sachverhalte, Zusammenhänge, Probleme und deren Lösungen zu bilden, sich selbstbestimmt und verantwortlich in ökonomisch geprägten Lebenssituation zu entscheiden und zu verhalten. Im Unterricht setzen sich die Schülerinnen und Schüler mit ökonomischen Bedingungen und Problemstellungen auf privater, betrieblicher, volkswirtschaftlicher und globaler Ebene auseinander. Dabei werden mit dem Lebensumfeld der Schülerinnen und Schüler</t>
  </si>
  <si>
    <t>/ Kompetenzschwerpunkt: Den privaten Haushalt unter wirtschaftlichen Aspekten analysieren und mitgestalten Verstehen einen privaten Haushalt unter wirtschaftlichen Aspekten analysieren Grundeinsichten am Beispiel von wirtschaftlichen Entscheidungen Jugendlicher erläutern Einflussfaktoren auf das Verhalten in wirtschaftlichen Situationen nennen an Beispielen die Einbindung des privaten Haushalts in den Wirtschaftskreislauf beschreiben Einkommensquellen und Einkommensverwendung beschreiben Gestalten das Spannungsfeld zwischen verfügbaren Mitteln und Konsumwünschen untersuchen Lösungsvorschläge unter</t>
  </si>
  <si>
    <t>enthalten können, mit digitalen Medien und Werkzeugen darstellen Grundlegende Wissensbestände Unternehmen und Betriebe Grundfunktionen, Produktionsfaktoren, Rechtsformen exemplarisch Einzelunternehmen, GmbH oder AG betriebliche Messgrößen: Gewinn, Verlust, Produktivität Unternehmensphilosophie: Werte, Traditionen, Normen, Verhaltensweisen Einflussfaktoren auf unternehmerisches Handeln: technische Entwicklungen, Digitalisierung, wirtschaftspolitische Rahmenbedingungen, Standortfaktoren, globale Entwicklungen Mitwirkung und Mitbestimmung Kompetenzschwerpunkt: Wirtschaftspolitische Entscheidungen untersuchen und bewerten Verstehen wirtschaftspolitische Zielstellungen des Staates unter Berücksichtigung der fortschreitenden</t>
  </si>
  <si>
    <t>die Ergebnisse der Analyse einfließen. Hierzu eignen sich rezipientenorientierte Darstellungen Informationen, in denen auf das Gelernte zurückgegriffen wird. Grundsätzlich ist dabei zu differenzieren zwischen Lösungsansätzen, die sich unmittelbar auf hiesiges Konsum-Verhalten richten siehe beispielhaft die Aufgaben der AG und Handlungsmöglichkeiten, die stärker auf Wege der politischen Partizipation mittelbare Intervention zielen Öffentlichkeit herstellen/ Forderungen an politische Mandatsträger artikulieren; Unterstützung von NGOs wie</t>
  </si>
  <si>
    <t>Nahrungsmitteln spekuliert wird M. Analysekompetenz: Die Lernenden können ... - politische und wirtschaftliche Sachverhalte im Hinblick auf die Leitfrage unterscheiden, einordnen und problematisieren, - in politischen Aussagen Beschreibungen von Sach verhalten von subjektiven Wertungen unterscheiden, - Ursachen und Gründe für gesellschaftspolitische Konflikte herausarbeiten und unterscheiden, - die Bedeutung der unterschiedlichen ökonomischen Akteure für die wirtschaftliche und soziale Entwicklung beschreiben und analysieren.</t>
  </si>
  <si>
    <t>Dies erzeugt ein Gefühl der Lohngerechtigkeit. Da die Arbeitnehmer ein hohes persönliches Risiko tragen, dass ihr Lohn niedriger als erhofft ausfällt, werden sie sich in vielen Fällen aber auch egoistischer verhalten als in einem Zeitlohnmodell. Alle arbeiten in gewisser Weise für sich selbst. Eine Folge davon kann sein, dass eine Verbesserung von Arbeits- und Produktionsvorgängen verhindert wird. Wem es gelingt, Vorgänge</t>
  </si>
  <si>
    <t>Aufgabe des Fachs, Schülerinnen und Schüler dabei zu unterstützen, die aktuellen politischen, gesellschaftlichen und wirtschaftlichen Geschehnisse zu verstehen, einzuordnen, sich ein Urteil zu ihnen zu bilden und sich dementsprechend zu verhalten. Aktuelle Ereignisse sind dann besonders gewinnbringend für den PGW-Unterricht, wenn sie zu einem aktuell behandelten Themenschwerpunkt passen und ihn vertiefen. Durch sie können die im Unterricht behandelten Strukturen und Theorien</t>
  </si>
  <si>
    <t>H: Positionen und Begründungen Andersdenkender aufgreifen und sachlich argumentativ kommentieren. H: sich in die Situation, Interessen und Denkweisen anderer Menschen versetzen, diese Interessen und Denkweisen simulativ vertreten und das eigene Verhalten in der Rolle reflektieren. H: alternative Lebensstile und divergierende Wertvorstellungen, die auf der freiheitlichen demokratischen Grundordnung basieren, als gleichwertig zu den je eigenen akzeptieren. H: in Kontroversen ihre eigene Position</t>
  </si>
  <si>
    <t>des Unterrichts im Lernbereich, Schülerinnen und Schüler dabei zu unterstützen, aktuelle politische, gesellschaftliche und wirtschaftliche Geschehnisse zu verstehen, einzuordnen, sich ein Urteil zu ihnen zu bilden und sich dementsprechend zu verhalten. Zukunftsorientierung Der Lernbereich Gesellschaftswissenschaften zielt auf die Partizipationskompetenz der Schülerinnen und Schüler ab. Sie sollen als mündige Bürgerinnen und Bürger den Zielsetzungen der Bildung für nachhaltige Entwicklung folgen und in</t>
  </si>
  <si>
    <t>und Begründungen von Andersdenkenden aufgreifen und kommentieren. H: sich im Sinne eines Perspektivwechsels in die Situation, Interessen und Denkweisen anderer Menschen versetzen, diese Interessen und Denkweisen simulativ vertreten, das eigene Verhalten in der Rolle unter Anleitung reflektieren. H: die Regeln für ein rationales und gewaltfreies Austragen politischer Konflikte auf der Klassenebene unter Anleitung und Begleitung einhalten. H: ihre Interessen in klassenbezogenen</t>
  </si>
  <si>
    <t>verständlich entwickeln und die Gegenseite damit konfrontieren. H: sich im Sinne eines Perspektivwechsels in die Situation, Interessen und Denkweisen anderer Menschen versetzen, diese Interessen und Denkweisen simulativ vertreten, das eigene Verhalten in der Rolle mit Hilfestellung reflektieren. H: die Regeln für ein rationales und gewaltfreies Austragen politischer Konflikte auf der Klassenebene mit leichter Hilfestellung einhalten. H: ihre Interessen in klassenbezogenen Zusammenhängen</t>
  </si>
  <si>
    <t>Hilfestellung entwickeln und die Gegenseite damit konfrontieren. H: sich im Sinne eines Perspektivwechsels in die Situation, Interessen und Denkweisen anderer Menschen versetzen, diese Interessen und Denkweisen simulativ vertreten sowie das Verhalten in der Rolle reflektieren. H: die Regeln für ein rationales und gewaltfreies Austragen politischer Konflikte einhalten. H: ihre Interessen in schulischen Zusammenhängen wahrnehmen und an demokratischen Verfahren in der Schule</t>
  </si>
  <si>
    <t>entwickeln und die Gegenseite damit konfrontieren. H: sich im Sinne eines Perspektivwechsels in die Situation, Interessen und Denkweisen anderer Menschen versetzen, diese Interessen und Denkweisen simulativ überzeugend vertreten, das eigene Verhalten in der Rolle reflektieren. H: die Regeln für ein rationales und gewaltfreies Austragen politischer Konflikte einhalten. H: ihre Interessen in schulischen und außerschulischen Zusammenhängen wahrnehmen und an demokratischen Verfahren in</t>
  </si>
  <si>
    <t>Wahl Juniorwahl Erstellen einer Zeitschrift zum Thema Populismus Soziologie ca. / Unterrichtsstunden Verbindliche Inhalte Hinweise und Anregungen Sozialisation und soziales Handeln Sozialisationsinstanzen im Wandel Normen und Werte, konformes und nichtkonformes Verhalten Sozialstruktur Strukturmodelle, soziale Ungleichheit, Wandel der Sozialstruktur und seine Folgen Herausforderungen und Chancen für die Gesellschaft Wertewandel, Pluralisierung von Lebensformen und gesellschaftliche Diversität MD Rollenbilder, Familienbilder, Knigge, Sitten und Gebräuche,</t>
  </si>
  <si>
    <t>mitzuwirken. Handlungskompetenz setzt Entscheidungsfähigkeit voraus und schließt die Bereitschaft zur Reflexion, zum Kompromiss und zur Toleranz ein. Die Schülerinnen und Schüler ... ESA MSA Übergang in die Oberstufe praktizieren demokratisches Verhalten im privaten und öffentlichen Raum. vertreten eigene Interessen in Abwägung zu Interessen anderer. treffen Entscheidungen nach Abwägung verschiedener Standpunkte. entwickeln die Fähigkeit, Kompromisse zu schließen und diese nach demokratischer Willensbildung</t>
  </si>
  <si>
    <t>Sekundarstufe</t>
  </si>
  <si>
    <t>und an der Lösung von Problemen mitzuwirken. Handlungskompetenz setzt Entscheidungsfähigkeit voraus und schließt die Bereitschaft zur Reflexion, zum Kompromiss und zur Toleranz ein. Die Schülerinnen und Schüler ... praktizieren demokratisches Verhalten im privaten und öffentlichen Raum. vertreten eigene Interessen in Abwägung zu Interessen anderer. treffen Entscheidungen nach Abwägung verschiedener Standpunkte. entwickeln die Fähigkeit, Kompromisse zu schließen und diese nach demokratischer Willensbildung</t>
  </si>
  <si>
    <t>Kompetenzerwartungen Die Schülerinnen und Schüler ... beurteilen ihre eigenen Entscheidungen kritisch mit Blick auf die Rationalität. Dabei erkennen sie, dass Menschen oft nur beschränkt rational entscheiden und sich in ihrem Verhalten systematisch beeinflussen lassen. analysieren unternehmerische und politische Maßnahmen aus verhaltensökonomischer Perspektive. Dabei diskutieren sie, inwieweit es ethisch vertretbar ist, durch verhaltensökonomische Maßnahmen Verhaltensweisen zu beeinflussen bzw. politisch gewollte Verhaltensweisen durchzusetzen.</t>
  </si>
  <si>
    <t>beschränkt rational entscheiden und sich in ihrem Verhalten systematisch beeinflussen lassen. analysieren unternehmerische und politische Maßnahmen aus verhaltensökonomischer Perspektive. Dabei diskutieren sie, inwieweit es ethisch vertretbar ist, durch verhaltensökonomische Maßnahmen Verhaltensweisen zu beeinflussen bzw. politisch gewollte Verhaltensweisen durchzusetzen. Inhalte zu den Kompetenzen: Homo Oeconomicus als grundlegendes wirtschaftswissenschaftliches Modell ausgewählte verhaltensökonomische Experimente zu Heuristiken und Verzerrungen Heuristiken zur Vereinfachung von Entscheidungen, z.</t>
  </si>
  <si>
    <t>ihrem Verhalten systematisch beeinflussen lassen. analysieren unternehmerische und politische Maßnahmen aus verhaltensökonomischer Perspektive. Dabei diskutieren sie, inwieweit es ethisch vertretbar ist, durch verhaltensökonomische Maßnahmen Verhaltensweisen zu beeinflussen bzw. politisch gewollte Verhaltensweisen durchzusetzen. Inhalte zu den Kompetenzen: Homo Oeconomicus als grundlegendes wirtschaftswissenschaftliches Modell ausgewählte verhaltensökonomische Experimente zu Heuristiken und Verzerrungen Heuristiken zur Vereinfachung von Entscheidungen, z. B. Repräsentativitäts-, Verfügbarkeitsheuristik, Bestätigungsirrtum Verzerrungen in</t>
  </si>
  <si>
    <t>aus den Perspektiven Konsument, Arbeitnehmer, Unternehmer oder Staatsbürger Aufgaben kriterienorientiert analysieren, beurteilen und lösen können. Das im Fach Wirtschaft und Recht erworbene Strukturwissen ermöglicht es den Schülerinnen und Schülern, ökonomisches Verhalten unterschiedlicher Akteure und wirtschaftliche Systemzusammenhänge zu analysieren, rechtliche Rahmenbedingungen zu verstehen und vor diesem Hintergrund Interessenskonflikte aus verschiedenen Perspektiven zu beurteilen. In aktuellen, handlungsorientierten Szenarien wenden sie geeignete Erklärungsmodelle an</t>
  </si>
  <si>
    <t>und beurteilen kritisch die Chancen der Globalisierung. Sie nehmen begründet Stellung zu aktuellen Fragen der Weltwirtschaft. erläutern die Einflussfaktoren auf Angebot und Nachfrage. Aufbauend darauf schließen sie auf das typische Verhalten der Marktteilnehmer und übertragen dies auf konkrete Kaufbzw. Verkaufssituationen ihres Alltags. stellen den Funktionszusammenhang zwischen Angebot und Nachfrage grafisch dar und leiten daraus die Entstehung des Gleichgewichtspreises bzw. der Gleichgewichtsmenge</t>
  </si>
  <si>
    <t>Mittel und unbegrenzte Bedürfnisse in Einklang zu bringen. Dieses Prinzip übertragen sie auf ihr eigenes Konsumverhalten. erläutern die Einflussfaktoren auf Angebot und Nachfrage. Aufbauend darauf schließen sie auf das typische Verhalten der Marktteilnehmer und übertragen dies auf konkrete Kaufbzw. Verkaufssituationen ihres Alltags. stellen den Funktionszusammenhang zwischen Angebot und Nachfrage grafisch dar und leiten daraus die Entstehung des Gleichgewichtspreises bzw. der Gleichgewichtsmenge</t>
  </si>
  <si>
    <t>den Verlust des Eigentums an einer Sache. Vertragsrecht Schuldrecht ca. Std. charakterisieren sowohl die Bedeutung der Sozialpflichtigkeit des Eigentums als auch die besondere Schutzbedürftigkeit des geistigen Eigentums und leiten daraus Verhaltensweisen für das eigene Handeln ab. Inhalte zu den Kompetenzen: weiterführende Arbeit mit Gesetzestexten zum Eigentumsrecht Besitz, Eigentum und Eigentumserwerb an beweglichen und unbeweglichen Sachen Sozialpflichtigkeit des Eigentums u. a. Art.</t>
  </si>
  <si>
    <t>handlungsbedingende Anreize und Restriktionen in den jeweiligen sozialen Situationen begründen. Die ökonomische Perspektive fokussiert die Handlungsbedingungen einer sozialen Situation und unterstellt zu Analysezwecken, dass sich die Individuen rational und vorteilsorientiert verhalten Ökonomische Verhaltenstheorie, aber auch soziologische und psychologische Aspekte ökonomischen Handelns finden Berücksichtigung Verhaltensökonomik. In der Politik geraten die Interessen und Wertorientierungen in den Blick, die das Handeln politischer Akteure leiten</t>
  </si>
  <si>
    <t>verstandene Handlungskompetenz ist Ziel eines kompetenzorientierten Unterrichts im Fach Politik-Wirtschaft. Die Schülerinnen und Schüler sind wahrnehmbar handlungskompetent, wenn sie begründet eine eigene Meinung vertreten, andere Meinungen nachvollziehen können, sich konfliktfähig verhalten und reflektierte Entscheidungen treffen. Sie handeln als entscheidungs- und interventionsfähige Bürger zunehmend verantwortungsbewusst. Sachkompetenz Als Sachkompetenz wird die Verfügbarkeit von anwendungsbezogenem Fachwissen bezeichnet. Damit sind nicht nur kognitiv geprägte Wissensaspekte</t>
  </si>
  <si>
    <t>vertreten. H: Positionen und Begründungen Andersdenkender aufgreifen und in Grundzügen sachlich-argumentativ kommentieren. H: sich in die Situation, die Interessen und die Denkweisen anderer Menschen versetzen und altersgerecht zunehmend das eigene Verhalten in der Rolle reflektieren. H: alternative Lebensstile und divergierende Wertvorstellungen, die auf der freiheitlichen demokratischen Grundordnung basieren, als gleichwertig zu den je eigenen akzeptieren. H: in Kontroversen ihre eigene Position</t>
  </si>
  <si>
    <t>Begründungen Andersdenkender aufgreifen und in Grundzügen sachlich argumentativ kommentieren. H: sich in die Situation, Interessen und Denkweisen anderer Menschen versetzen, diese Interessen und Denkweisen simulativ vertreten und altersgerecht das eigene Verhalten in der Rolle reflektieren. H: alternative Lebensstile und divergierende Wertvorstellungen, die auf der freiheitlichen demokratischen Grundordnung basieren, als gleichwertig zu den je eigenen akzeptieren. H: in Kontroversen ihre eigene Position</t>
  </si>
  <si>
    <t>vertreten. H: Positionen und Begründungen Andersdenkender aufgreifen und sachlich-argumentativ kommentieren. H: sich in die Situation, Interessen und Denkweisen anderer Menschen versetzen, diese Interessen und Denkweisen simulativ vertreten und das eigene Verhalten in der Rolle reflektieren. H: alternative Lebensstile und divergierende Wertvorstellungen, die auf der freiheitlichen demokratischen Grundordnung basieren, als gleichwertig zu den je eigenen akzeptieren. H: in Kontroversen ihre eigene Position</t>
  </si>
  <si>
    <t>Topic_1</t>
  </si>
  <si>
    <t>Topic_2</t>
  </si>
  <si>
    <t>Topic_3</t>
  </si>
  <si>
    <t>Topic_4</t>
  </si>
  <si>
    <t>Topic_5</t>
  </si>
  <si>
    <t>Topic_6</t>
  </si>
  <si>
    <t>Topic_7</t>
  </si>
  <si>
    <t>Topic_8</t>
  </si>
  <si>
    <t>Topic_9</t>
  </si>
  <si>
    <t>Topic_10</t>
  </si>
  <si>
    <t>interesse</t>
  </si>
  <si>
    <t>verhalten</t>
  </si>
  <si>
    <t>fähigkeit</t>
  </si>
  <si>
    <t>kompetenz</t>
  </si>
  <si>
    <t>beschreiben</t>
  </si>
  <si>
    <t>position</t>
  </si>
  <si>
    <t>mensch</t>
  </si>
  <si>
    <t>erleben</t>
  </si>
  <si>
    <t>lernen</t>
  </si>
  <si>
    <t>moralisch</t>
  </si>
  <si>
    <t>sozial</t>
  </si>
  <si>
    <t>ursache</t>
  </si>
  <si>
    <t>gruppe</t>
  </si>
  <si>
    <t>regel</t>
  </si>
  <si>
    <t>denkweise</t>
  </si>
  <si>
    <t>verhaltensweise</t>
  </si>
  <si>
    <t>psychologie</t>
  </si>
  <si>
    <t>reflektieren</t>
  </si>
  <si>
    <t>vorstellung</t>
  </si>
  <si>
    <t>angemessen</t>
  </si>
  <si>
    <t>politisch</t>
  </si>
  <si>
    <t>evolution</t>
  </si>
  <si>
    <t>ableit</t>
  </si>
  <si>
    <t>vertreten</t>
  </si>
  <si>
    <t>beurteilen</t>
  </si>
  <si>
    <t>psychologisch</t>
  </si>
  <si>
    <t>entwickeln</t>
  </si>
  <si>
    <t>situation</t>
  </si>
  <si>
    <t>thema</t>
  </si>
  <si>
    <t>ultimat</t>
  </si>
  <si>
    <t>mechanik</t>
  </si>
  <si>
    <t>demokratisch</t>
  </si>
  <si>
    <t>menschlich</t>
  </si>
  <si>
    <t>entscheidung</t>
  </si>
  <si>
    <t>aktuell</t>
  </si>
  <si>
    <t>fachlich</t>
  </si>
  <si>
    <t>gesellschaftlich</t>
  </si>
  <si>
    <t>kommunikation</t>
  </si>
  <si>
    <t>kenntnis</t>
  </si>
  <si>
    <t>entwicklung</t>
  </si>
  <si>
    <t>phänomen</t>
  </si>
  <si>
    <t>handeln</t>
  </si>
  <si>
    <t>erkennen</t>
  </si>
  <si>
    <t>bezug</t>
  </si>
  <si>
    <t>abweichend</t>
  </si>
  <si>
    <t>proximat</t>
  </si>
  <si>
    <t>rolle</t>
  </si>
  <si>
    <t>straßenverkehr</t>
  </si>
  <si>
    <t>bewerten</t>
  </si>
  <si>
    <t>psychisch</t>
  </si>
  <si>
    <t>treffen</t>
  </si>
  <si>
    <t>leben</t>
  </si>
  <si>
    <t>weise</t>
  </si>
  <si>
    <t>medium</t>
  </si>
  <si>
    <t>erklären</t>
  </si>
  <si>
    <t>sicher</t>
  </si>
  <si>
    <t>erläutern</t>
  </si>
  <si>
    <t>modell</t>
  </si>
  <si>
    <t>meinung</t>
  </si>
  <si>
    <t>bedürfnis</t>
  </si>
  <si>
    <t>konflikt</t>
  </si>
  <si>
    <t>gesellschaft</t>
  </si>
  <si>
    <t>adaptiv</t>
  </si>
  <si>
    <t>einfach</t>
  </si>
  <si>
    <t>sicherheitsgurte</t>
  </si>
  <si>
    <t>unterschiedlich</t>
  </si>
  <si>
    <t>theorie</t>
  </si>
  <si>
    <t>lernende</t>
  </si>
  <si>
    <t>setzen</t>
  </si>
  <si>
    <t>ökonomisch</t>
  </si>
  <si>
    <t>kostennutzenanalyse</t>
  </si>
  <si>
    <t>individuell</t>
  </si>
  <si>
    <t>maßnahme</t>
  </si>
  <si>
    <t>wissenschaftlich</t>
  </si>
  <si>
    <t>verstehen</t>
  </si>
  <si>
    <t>wirtschaftlich</t>
  </si>
  <si>
    <t>fitness</t>
  </si>
  <si>
    <t>darstellen</t>
  </si>
  <si>
    <t>wertvorstellung</t>
  </si>
  <si>
    <t>verschieden</t>
  </si>
  <si>
    <t>einstellung</t>
  </si>
  <si>
    <t>anforderung</t>
  </si>
  <si>
    <t>umgehen</t>
  </si>
  <si>
    <t>vergleich</t>
  </si>
  <si>
    <t>verweis</t>
  </si>
  <si>
    <t>versetzen</t>
  </si>
  <si>
    <t>bedeutung</t>
  </si>
  <si>
    <t>unterricht</t>
  </si>
  <si>
    <t>grundlage</t>
  </si>
  <si>
    <t>fremd</t>
  </si>
  <si>
    <t>bewertung</t>
  </si>
  <si>
    <t>demokratie</t>
  </si>
  <si>
    <t>wert</t>
  </si>
  <si>
    <t>einzeln</t>
  </si>
  <si>
    <t>fach</t>
  </si>
  <si>
    <t>grundordnung</t>
  </si>
  <si>
    <t>paradigm</t>
  </si>
  <si>
    <t>sachgerecht</t>
  </si>
  <si>
    <t>folge</t>
  </si>
  <si>
    <t>toleranz</t>
  </si>
  <si>
    <t>struktur</t>
  </si>
  <si>
    <t>reproduktiv</t>
  </si>
  <si>
    <t>funktion</t>
  </si>
  <si>
    <t>bildung</t>
  </si>
  <si>
    <t>kontroverse</t>
  </si>
  <si>
    <t>biologisch</t>
  </si>
  <si>
    <t>positiv</t>
  </si>
  <si>
    <t>erfolgreich</t>
  </si>
  <si>
    <t>möglichkeit</t>
  </si>
  <si>
    <t>tier</t>
  </si>
  <si>
    <t>organismus</t>
  </si>
  <si>
    <t>freiheitlich</t>
  </si>
  <si>
    <t>inhalt</t>
  </si>
  <si>
    <t>kognitiv</t>
  </si>
  <si>
    <t>argumentativ</t>
  </si>
  <si>
    <t>lösen</t>
  </si>
  <si>
    <t>verwandtschaft</t>
  </si>
  <si>
    <t>lebensstil</t>
  </si>
  <si>
    <t>methode</t>
  </si>
  <si>
    <t>prosozial</t>
  </si>
  <si>
    <t>leistung</t>
  </si>
  <si>
    <t>sexuell</t>
  </si>
  <si>
    <t>zusammenleben</t>
  </si>
  <si>
    <t>kennen</t>
  </si>
  <si>
    <t>alternativ</t>
  </si>
  <si>
    <t>konstruktiv</t>
  </si>
  <si>
    <t>sozialverhalten</t>
  </si>
  <si>
    <t>form</t>
  </si>
  <si>
    <t>darstellung</t>
  </si>
  <si>
    <t>aufgreifen</t>
  </si>
  <si>
    <t>einschätzen</t>
  </si>
  <si>
    <t>handlungskompetenz</t>
  </si>
  <si>
    <t>nachfolgend</t>
  </si>
  <si>
    <t>historisch</t>
  </si>
  <si>
    <t>artbegriff</t>
  </si>
  <si>
    <t>aspekt</t>
  </si>
  <si>
    <t>basieren</t>
  </si>
  <si>
    <t>natur</t>
  </si>
  <si>
    <t>grundlegend</t>
  </si>
  <si>
    <t>politik</t>
  </si>
  <si>
    <t>entstehung</t>
  </si>
  <si>
    <t>unterscheiden</t>
  </si>
  <si>
    <t>umgang</t>
  </si>
  <si>
    <t>akzeptieren</t>
  </si>
  <si>
    <t>wissenschaft</t>
  </si>
  <si>
    <t>solidarität</t>
  </si>
  <si>
    <t>insbesondere</t>
  </si>
  <si>
    <t>erforderlich</t>
  </si>
  <si>
    <t>wandel</t>
  </si>
  <si>
    <t>primat</t>
  </si>
  <si>
    <t>mobilität</t>
  </si>
  <si>
    <t>Biologisch</t>
  </si>
  <si>
    <t>Psych-Inhalt</t>
  </si>
  <si>
    <t>Bio/evo</t>
  </si>
  <si>
    <t>bio</t>
  </si>
  <si>
    <t>COUNTA of text_excerpt</t>
  </si>
  <si>
    <t>Grand Total</t>
  </si>
  <si>
    <t>Inhalt</t>
  </si>
  <si>
    <t>3,8,9</t>
  </si>
  <si>
    <t>Kompetenz</t>
  </si>
  <si>
    <t>Topic</t>
  </si>
  <si>
    <t>Count</t>
  </si>
  <si>
    <t>Name</t>
  </si>
  <si>
    <t>Representation</t>
  </si>
  <si>
    <t>Representative_Docs</t>
  </si>
  <si>
    <t>-1_die_in_auf_fr</t>
  </si>
  <si>
    <t>['die', 'in', 'auf', 'fr', 'der', 'den', 'ein', 'sie', 'zu', 'verhalten', 'das', 'schlerinnen']</t>
  </si>
  <si>
    <t>['ca. Std. Kompetenzerwartungen Die Schülerinnen und Schüler ... erklären das Auftreten verschiedener Verhaltensweisen, indem sie deren Einfluss auf die Gesamtfitness des Lebewesens beurteilen. wenden Methoden der verhaltensökologischen Forschung an, um Verhaltensweisen zum Überleben des Individuums bei Kooperation, Aggression und Fortpflanzung zu analysieren und deren Bedeutung für die Weitergabe der genetischen Information zu erklären. Inhalte zu den Kompetenzen: adaptiver Wert von Verhalten;', 'Sachverhalte mediengestützt und zielgruppenorientiert. B Bewertungskompetenz Die Schülerinnen und Schüler erfassen biologische Fragestellungen in verschiedenen Kontexten. Sie erkennen Probleme und Interessenkonflikte, entwickeln Lösungsansätze, diskutieren Konsequenzen und beurteilen diese. Sie begründen Verhaltensweisen einer gesunden Lebensführung, hinterfragen ihr persönliches Verhalten kritisch und leiten Schlussfolgerungen für die eigene Lebensweise und zur sozialen und ökologischen Verantwortung ab. Die Schülerinnen und Schüler beurteilen die Auswirkungen menschlicher', 'Schülerinnen und Schüler erfassen biologische Fragestellungen in verschiedenen Kontexten. Sie erkennen Probleme und Interessenkonflikte, entwickeln Lösungsansätze, diskutieren Konsequenzen und beurteilen diese. Sie begründen Verhaltensweisen einer gesunden Lebensführung, hinterfragen ihr persönliches Verhalten und leiten Schlussfolgerungen für die eigene Lebensweise und zur sozialen und ökologischen Verantwortung ab. Die Schülerinnen und Schüler beurteilen die Auswirkungen menschlicher Eingriffe in Ökosysteme und bewerten Lebensräume unter den']</t>
  </si>
  <si>
    <t>0_zu_eigenen_entscheidungen_sich</t>
  </si>
  <si>
    <t>['zu', 'eigenen', 'entscheidungen', 'sich', 'bewerten', 'interessen', 'eigene', 'in', 'das', 'reflektieren', 'fr', 'manahmen']</t>
  </si>
  <si>
    <t>['Entscheidungen; B reflektieren Folgen von Entscheidungen für die Natur, das Individuum und die Gesellschaft; B reflektieren den Prozess der Bewertung in Bezug auf das Ergebnis und das Verfahren; B bewerten Verhaltensweisen zur Erhaltung der eigenen Gesundheit und Maßnahmen nachhaltiger Entwicklung aus verschiedenen, auch fachübergreifenden Perspektiven. Basiskonzepte Der Beschreibung und Erklärung von biologischen Sachverhalten liegen fachspezifische Gemeinsamkeiten zugrunde, die sich in Form', 'und Interessen geleiteten Aussagen andererseits, beurteilen die Bedeutung von naturwissenschaftlichen Kenntnissen für Anwendungsbereiche und Berufsfelder, zeigen an lebensweltbezogenen Fragestellungen die Chancen und Grenzen naturwissenschaftlicher Sichtweisen auf, beurteilen verschiedene Maßnahmen und Verhaltensweisen zur Erhaltung der eigenen Gesundheit und der anderer Lebewesen, Abwägen und bewerten von Handlungsfolgen auf Natur und Gesellschaft bewerten Risiken und Konsequenzen der eigenen Lebensweise und der anderer Menschen in', 'Entscheidungen; B. reflektieren Folgen von Entscheidungen für die Natur, das Individuum und die Gesellschaft; B. reflektieren den Prozess der Bewertung in Bezug auf das Ergebnis und das Verfahren; B. bewerten Verhaltensweisen zur Erhaltung der eigenen Gesundheit und Maßnahmen nachhaltiger Entwicklung aus verschiedenen - auch fachübergreifenden - Perspektiven. Anforderungen Inhaltsbezogene Anforderungen Mindestanforderungen für den Übergang in die Studienstufe am Ende der Jahrgangsstufe']</t>
  </si>
  <si>
    <t>1_psychologie_der psychologie_erlebens_erleben</t>
  </si>
  <si>
    <t>['psychologie', 'der psychologie', 'erlebens', 'erleben', 'erlebens und', 'psychologische', 'und verhaltens', 'phnomene', 'psychische', 'und erleben', 'verhaltens', 'erleben und']</t>
  </si>
  <si>
    <t>['beschreiben Zusammenhänge und Unterschiede zwischen Alltagspsychologie und wissenschaftlicher Psychologie erkennen und verwenden Paradigmen als zentrale, erkenntnisleitende Prinzipien verwenden Die Schülerinnen und Schüler können E F konkrete psychische Phänomene des menschlichen Verhaltens und Erlebens identifizieren Fachinhalte von Begriffen und Modellen wiedergeben psychische Phänomene und psychologische Fragestellungen verschiedenen Teildisziplinen der Psychologie zuordnen unterschiedliche paradigmatische Erklärungsmodelle für menschliches Verhalten und Erleben beschreiben G konkrete', 'so psychologische Aspekte im Alltag. Auf dieser Grundlage identifizieren sie alltagspsychologische Herangehensweisen und unterscheiden diese von wissenschaftlichen. Sie erschließen sowohl Möglichkeiten der Wissenschaft Psychologie bei der Betrachtung menschlichen Erlebens und Verhaltens als auch die Berührungspunkte zu anderen Wissenschaften. Sie nutzen selbst im Rahmen einer einfachen psychologischen Fragestellung eine geeignete wissenschaftliche Methode. Inhalte Gegenstand der Psychologie Tätigkeitsbereiche von Psychologinnen und Psychologen Abgrenzung', 'identifizieren multifaktorielle Kausalbezüge und analysieren die Komplexität menschlichen Erlebens und Verhaltens. Mithilfe geeigneter Systeme erfassen und erkennen sie die individuelle Vielfalt menschlichen Erlebens und Verhaltens. Thema Inhalte Mögliche Konkretisierungen Warum verhalten wir uns so Analyse menschlichen Verhaltens und Erlebens Erklärungsaspekte für psychische Phänomene: - innere Prozesse - personale Dispositionen - Situationsfaktoren - Entwicklung Beobachtungen im Supermarkt - einfache Verhaltensanalysen Wie funktioniert']</t>
  </si>
  <si>
    <t>2_fitness_reproduktive_reproduktive fitness_wert</t>
  </si>
  <si>
    <t>['fitness', 'reproduktive', 'reproduktive fitness', 'wert', 'kostennutzenanalyse', 'von verhalten', 'wert von', 'adaptiver wert', 'adaptiver', 'evolution', 'ursachen', 'primaten']</t>
  </si>
  <si>
    <t>['- Leitthema , Pflichtbaustein: Vielfalt und Vererbung - Leitthema , Pflichtbaustein: Umweltfaktoren, Ressourcen und Populationen Verhalten als Ergebnis von Evolution - Verhaltensökologie Grund- und Leistungsfach Leistungsfach Grundlagen und Ursachen von Verhalten adaptiver Wert von Verhalten - Verhaltensweisen und reproduktive Fitness - Kosten-Nutzen-Analyse proximate und ultimate Erklärungsformen exogene und endogene Verhaltensursachen Kulturelle Evolution Werkzeuggebrauch Sprachentwicklung Sozialverhalten Sozialverhalten bei Primaten Kooperation und Altruismus', 'Vielfalt und Vererbung - Leitthema , Pflichtbaustein: Umweltfaktoren, Ressourcen und Populationen Verhalten als Ergebnis von Evolution - Verhaltensökologie Grund- und Leistungsfach Leistungsfach Grundlagen und Ursachen von Verhalten adaptiver Wert von Verhalten - Verhaltensweisen und reproduktive Fitness - Kosten-Nutzen-Analyse proximate und ultimate Erklärungsformen exogene und endogene Verhaltensursachen Kulturelle Evolution Werkzeuggebrauch Sprachentwicklung Sozialverhalten Sozialverhalten bei Primaten Kooperation und Altruismus Fortpflanzungsverhalten - Paarungsstrategien -', 'Vererbung - Leitthema , Pflichtbaustein: Umweltfaktoren, Ressourcen und Populationen Verhalten als Ergebnis von Evolution - Verhaltensökologie Grund- und Leistungsfach Leistungsfach Grundlagen und Ursachen von Verhalten adaptiver Wert von Verhalten - Verhaltensweisen und reproduktive Fitness - Kosten-Nutzen-Analyse proximate und ultimate Erklärungsformen exogene und endogene Verhaltensursachen Kulturelle Evolution Werkzeuggebrauch Sprachentwicklung Sozialverhalten Sozialverhalten bei Primaten Kooperation und Altruismus Fortpflanzungsverhalten - Paarungsstrategien - sexuelle Selektion']</t>
  </si>
  <si>
    <t>3_kompetenzbereichen_und anregungen_inneren_im organismus</t>
  </si>
  <si>
    <t>['kompetenzbereichen', 'und anregungen', 'inneren', 'im organismus', 'hinweise und', 'anregungen', 'verhaltensforschung', 'der verhaltensforschung', 'von sinnesorganen', 'kenntnisgewinnung', 'verhaltensweisen', 'sinnesorganen']</t>
  </si>
  <si>
    <t>['Hypothesen und Untersuchungen zu sinnesphysiologischen Phänomenen Kommunikation Interpretation von Beobachtungen, Abbildungen und Daten sinnesphysiologischer Versuche Diskussion von tierischen und menschlichen Verhaltensweisen Bewertung Bewertung von äußeren und inneren Faktoren auf das Verhalten, die Gesundheit und die Leistungsfähigkeit fe / zusätzlich dazu nach Abschluss der Jahrgangsstufe ezüge zu Kompetenzbereichen Inhaltliche Schwerpunkte Bezüge zu Kompetenzbereichen Funktionsteilung im Organismus kenntnisgewinnung nung, Durchführung und Auswerg von', 'Ursache und Wirkung von Funktionseinschränkungen der Sinnesorgane Entwicklung von Fragestellungen, Hypothesen und Untersuchungen zu sinnesphysiologischen Phänomenen Kommunikation Interpretation von Beobachtungen, Abbildungen und Daten sinnesphysiologischer Versuche Diskussion von tierischen und menschlichen Verhaltensweisen Bewertung Bewertung von äußeren und inneren Faktoren auf das Verhalten, die Gesundheit und die Leistungsfähigkeit fe / zusätzlich dazu nach Abschluss der Jahrgangsstufe / ezüge zu Kompetenzbereichen Inhaltliche Schwerpunkte Bezüge', 'Ursache und Wirkung von Funktionseinschränkungen der Sinnesorgane Entwicklung von Fragestellungen, Hypothesen und Untersuchungen zu sinnesphysiologischen Phänomenen Kommunikation Interpretation von Beobachtungen, Abbildungen und Daten sinnesphysiologischer Versuche Diskussion von tierischen und menschlichen Verhaltensweisen Bewertung Bewertung von äußeren und inneren Faktoren auf das Verhalten, die Gesundheit und die Leistungsfähigkeit fe / zusätzlich dazu nach Abschluss der Jahrgangsstufe ezüge zu Kompetenzbereichen Inhaltliche Schwerpunkte Bezüge zu']</t>
  </si>
  <si>
    <t>4_evolution_fortpflanzung_ef_tieren</t>
  </si>
  <si>
    <t>['evolution', 'fortpflanzung', 'ef', 'tieren', 'evolution des', 'von evolution', 'entwicklung', 'die evolution', 'insekten', 'des menschen', 'lebewesen', 'menschen']</t>
  </si>
  <si>
    <t>['Bakterien und Resistenzen von Pflanzenschädlingen gegen Pestizide Evolution - Leben ist in ständigem Wandel Biologie LK Inhalte / Basisbegriffe Verbindliche Kompetenzerwartungen Vorschläge und Hinweise E Arten verändern sich E Das Verhalten von Tieren ist Ergebnis von Evolution. Die Schülerinnen und Schüler a erworbenes Verhalten, angeborenes Verhalten a beschreiben an Beispielen, dass Verhalten angeboren oder erworben sein kann, a z. B. das', 'LK Inhalte / Basisbegriffe Verbindliche Kompetenzerwartungen Vorschläge und Hinweise E Arten verändern sich E Das Verhalten von Tieren ist Ergebnis von Evolution. Die Schülerinnen und Schüler a erworbenes Verhalten, angeborenes Verhalten a beschreiben an Beispielen, dass Verhalten angeboren oder erworben sein kann, a z. B. das Scheinputzen verschiedener Entenarten und der Gesang von schallisoliert aufgezogenen Buchfinken, Ritualisierung, Kaspar-Hauser-Experimente vgl. Erklärung im', 'Wandel Biologie LK Inhalte / Basisbegriffe Verbindliche Kompetenzerwartungen Vorschläge und Hinweise E Arten verändern sich E Das Verhalten von Tieren ist Ergebnis von Evolution. Die Schülerinnen und Schüler a erworbenes Verhalten, angeborenes Verhalten a beschreiben an Beispielen, dass Verhalten angeboren oder erworben sein kann, a z. B. das Scheinputzen verschiedener Entenarten und der Gesang von schallisoliert aufgezogenen Buchfinken, Ritualisierung, Kaspar-Hauser-Experimente vgl.']</t>
  </si>
  <si>
    <t>5_sexualitt_sexuelle_schwangerschaft_selbstbestimmung</t>
  </si>
  <si>
    <t>['sexualitt', 'sexuelle', 'schwangerschaft', 'selbstbestimmung', 'sexuell', 'sexuelles', 'grundlagen', 'sexualverhalten', 'pubertt', 'sexuelles verhalten', 'whrend der', 'der schwangerschaft']</t>
  </si>
  <si>
    <t>['Ohr werfen Fragen zum Gesundheitsschutz auf. swege werden auch durch die Wirkung der Hormone als Botenstoffe deutlich. Beispiele Erkenntnisgewinnung Arbeiten mit physiologischen Modellen Beobachten, Beschreiben und Vergleichen von Phänomenen ezifischen Verhaltensweisen aus der Tierwelt illustrieren die Kommunikation zwischen emente der menschlichen Kommunikation zeigen sich im Zusammenhang mit sozialen nd dem Sexualverhalten. und Vorgängen Unterscheidung von Ursache und Wirkung Entwicklung von Fragestellungen', 'Sinnesorganen Auge oder Ohr werfen Fragen zum Gesundheitsschutz auf. swege werden auch durch die Wirkung der Hormone als Botenstoffe deutlich. Beispiele Erkenntnisgewinnung Arbeiten mit physiologischen Modellen Beobachten, Beschreiben und ezifischen Verhaltensweisen aus der Tierwelt illustrieren die Kommunikation zwischen emente der menschlichen Kommunikation zeigen sich im Zusammenhang mit sozialen nd dem Sexualverhalten. Vergleichen von Phänomenen und Vorgängen Unterscheidung von Ursache und Wirkung', 'Sinnesorganen Auge oder Ohr werfen Fragen zum Gesundheitsschutz auf. swege werden auch durch die Wirkung der Hormone als Botenstoffe deutlich. Beispiele Erkenntnisgewinnung Arbeiten mit physiologischen Modellen Beobachten, Beschreiben und ezifischen Verhaltensweisen aus der Tierwelt illustrieren die Kommunikation zwischen mente der menschlichen Kommunikation zeigen sich im Zusammenhang mit sozialen d dem Sexualverhalten. Vergleichen von Phänomenen und Vorgängen Unterscheidung von Ursache und Wirkung']</t>
  </si>
  <si>
    <t>6_ustd_wahlbereich_lernbereich_anthropologie</t>
  </si>
  <si>
    <t>['ustd', 'wahlbereich', 'lernbereich', 'anthropologie', 'wandel', 'philosophie', 'kl', 'ideologien', 'gesellschaft', 'kl lb', 'individuelles verhalten', 'multikulturelle']</t>
  </si>
  <si>
    <t>['Chancengleichheit / -gerechtigkeit Frauengesetzgebung Zusammenleben mit Ausländern und Asylrecht Die Schülerinnen und Schüler sollen - einen Einblick gewinnen in Fragen und Probleme des Zusammenlebens mit zugewanderten Minderheiten Fremdheit, Vorurteile, individuelles Verhalten Fremdenfeindlichkeit, Rechtsextremismus, Gewalt Bürgerrechte, Minderheitenschutz, Ausländerrecht und Asylrecht, Einwanderungspolititk multikulturelle Gesellschaft Politik als Unterrichtsgegenstand am Beispiel des Asylproblems in: Handreichung zur Jahrgangsstufe PZ-Information / Jugend im Wandel Lernziele Inhaltsaspekte Die', 'GG: Chancengleichheit / -gerechtigkeit Frauengesetzgebung Zusammenleben mit Ausländern und Asylrecht Die Schülerinnen und Schüler sollen einen Einblick gewinnen in Fragen und Probleme des Zusammenlebens mit zugewanderten Minderheiten Fremdheit, Vorurteile, individuelles Verhalten Fremdenfeindlichkeit, Rechtsextremismus, Gewalt Bürgerrechte, Minderheitenschutz, Ausländerrecht und Asylrecht, Einwanderungspolitik multikulturelle Gesellschaft Die große Wanderung. Ursachen, Erscheinungsformen und Folgen von Migration PZ-Information / Jugend im Wandel Lernziele Inhaltsaspekte Die Schülerinnen und', 'in der Politik Zusammenleben mit Ausländern und Asylrecht Lernziele Inhaltsaspekte Die Schülerinnen und Schüler sollen Probleme bei der Gestaltung des Zusammenlebens von Deutschen mit zugewanderten Minderheiten erörtern Fremdheit, Vorurteile, individuelles Verhalten Fremdenfeindlichkeit, Rechtsextremismus, Gewalt Chancen und Risiken von Konzepten anhand der Kriterien des Notwendigen, Machbaren und Wünschenswerten beurteilen Bürgerrechte, Minderheitsrechte Ausländerrecht und Asylrecht, Einwanderungspolitik Assimilation, Integration multikulturelle Gesellschaft Jugend im Wandel']</t>
  </si>
  <si>
    <t>7_medien_von medien_pubertt_der nutzung</t>
  </si>
  <si>
    <t>['medien', 'von medien', 'pubertt', 'der nutzung', 'der pubertt', 'analogen und', 'und digitalen', 'analogen', 'in sozialen', 'digitalen', 'nutzung von', 'schler kann']</t>
  </si>
  <si>
    <t>['Paradoxien Metakommunikation oder Kommunikationsmodell nach Schulz von Thun: Nachrichtenquadrat -Ohren-Modell Kommunikationsstile und inneres Team Doppelbindungen Kommunikation und neue Medien Social Media Einer der folgenden Bereiche medienvermittelter Kommunikation menschliches Erleben und Verhalten im Zusammenhang mit der Nutzung von Medien soll vertieft behandelt werden: Sozialpsychologische Bedingungen des Erlebens und Verhaltens bei der Nutzung von Medien soziale Vergleichsprozesse Medienvermitteltes Erleben und Verhalten aus persönlichkeitspsychologischer', 'neue Medien Social Media Einer der folgenden Bereiche medienvermittelter Kommunikation menschliches Erleben und Verhalten im Zusammenhang mit der Nutzung von Medien soll vertieft behandelt werden: Sozialpsychologische Bedingungen des Erlebens und Verhaltens bei der Nutzung von Medien soziale Vergleichsprozesse Medienvermitteltes Erleben und Verhalten aus persönlichkeitspsychologischer Perspektive Gewalt in den Medien Eigenständige medienpsychologische Theoriebildungen Theorie des Stimmungsmanagements Weitere optionale Vertiefungen: Medieneffekte Mediennutzung und', 'Erleben und Verhalten im Zusammenhang mit der Nutzung von Medien soll vertieft behandelt werden: Sozialpsychologische Bedingungen des Erlebens und Verhaltens bei der Nutzung von Medien soziale Vergleichsprozesse Medienvermitteltes Erleben und Verhalten aus persönlichkeitspsychologischer Perspektive Gewalt in den Medien Eigenständige medienpsychologische Theoriebildungen Theorie des Stimmungsmanagements Weitere optionale Vertiefungen: Medieneffekte Mediennutzung und Medienwirkung Kommunikation und soziale Beziehungen im Internet Konkretisierung fachübergreifender Bezüge Bezüge']</t>
  </si>
  <si>
    <t>8_suchtmittel_abhngigkeiten_substanzen_nicht</t>
  </si>
  <si>
    <t>['suchtmittel', 'abhngigkeiten', 'substanzen', 'nicht', 'sucht', 'alkohol', 'wenn', 'geben an', 'des alltags', 'verhaltensweisen oder', 'anforderungen des', 'an dass']</t>
  </si>
  <si>
    <t>['und stoffungebundene Süchte, unterscheiden legale und illegale Suchtmittel, geben an, dass riskantes Verhalten in Bezug auf Suchtstoffe und suchtpotente Medien sich schädigend auswirken kann, bewerten Komatrinken als Beispiel für riskantes Verhalten in Bezug auf den Suchtstoff Alkohol, geben gesundheitliche und soziale Beeinträchtigungen als Folgen von Suchtmittelmissbrauch an, diskutieren die Folgen von Suchtmittelmissbrauch für die Gesundheit und die soziale Situation des/der Konsumierenden', 'Dies ist insbesondere der Fall, wenn illegale Suchtmittel konsumiert werden oder wenn durch den Konsum legaler Suchtmittel geltende rechtliche Regelungen zum Beispiel des Jugendschutzgesetzes oder des Nichtraucherschutzgesetzes verletzt werden. Missbräuchliches Verhalten liegt auch vor, wenn sich das problematische Verhalten nicht auf Substanzen bezieht, sondern auf Tätigkeiten wie zum Beispiel den Gebrauch von Glücksspielen, von elektronischen Medien sowie des PC, problematisches Kaufverhalten', 'Verlangen nach einem bestimmten Erlebniszustand, diskutieren Merkmale der Sucht und setzten sie in Beziehung zu Alltagsvorstellungen, unterscheiden stoffgebundene und stoffungebundene Süchte, unterscheiden legale und illegale Suchtmittel, geben an, dass riskantes Verhalten in Bezug auf Suchtstoffe und suchtpotente Medien sich schädigend auswirken kann, bewerten Komatrinken als Beispiel für riskantes Verhalten in Bezug auf den Suchtstoff Alkohol, geben gesundheitliche und soziale Beeinträchtigungen als']</t>
  </si>
  <si>
    <t>9_beurteilungskompetenz_oligopolisten_eines oligopolisten_verhalten beurteilungskompetenz</t>
  </si>
  <si>
    <t>['beurteilungskompetenz', 'oligopolisten', 'eines oligopolisten', 'verhalten beurteilungskompetenz', 'analyse', 'die damit', 'preisbildung', 'unternehmen', 'hauptphase', 'staatlicher', 'marktstrategien', 'sich seinen']</t>
  </si>
  <si>
    <t>['und Reaktionsverbundenheit und die damit einhergehende Unsicherheit anhand einer vorgegebenen Preis-Absatz-Funktion Handlungskompetenz. Preisbildung auf unvollkommenen Märkten Wirtschaftslehre Hauptphase GK Sachkompetenz Orientierungs-, Methoden-, Beurteilungsund Handlungskompetenz Die Schülerinnen und Schüler erklären die Verhaltensweisen und Marktstrategien eines Oligopolisten, Die Schülerinnen und Schüler beurteilen die grundsätzlichen Möglichkeiten eines Oligopolisten, sich seinen Konkurrenten gegenüber wirtschaftsfriedlich oder wirtschaftsfeindlich zu verhalten Beurteilungskompetenz, Notwendigkeit einer Wettbewerbskontrolle und Grenzen staatlicher', 'Preis-Absatz-Funktion Handlungskompetenz, erklären die Verhaltensweisen und Marktstrategien eines Oligopolisten, beurteilen die grundsätzlichen Möglichkeiten eines Oligopolisten, sich seinen Konkurrenten gegenüber wirtschaftsfriedlich oder wirtschaftsfeindlich zu verhalten Beurteilungskompetenz, kritisieren die Neigung zu abgestimmtem Verhalten Beurteilungskompetenz, Notwendigkeit einer Wettbewerbskontrolle und Grenzen staatlicher Wettbewerbspolitik begründen die Notwendigkeit staatlicher Wettbewerbsaufsicht bzw. -kontrolle. diskutieren die Vorteile des freien Wettbewerbs in einer marktwirtschaftlichen Ordnung Beurteilungskompetenz, erkennen die Erfordernis staatlicher', 'die damit einhergehende Unsicherheit anhand einer vorgegebenen Preis-Absatz-Funktion Handlungskompetenz, erklären die Verhaltensweisen und Marktstrategien eines Oligopolisten, beurteilen die grundsätzlichen Möglichkeiten eines Oligopolisten, sich seinen Konkurrenten gegenüber wirtschaftsfriedlich oder wirtschaftsfeindlich zu verhalten Beurteilungskompetenz, kritisieren die Neigung zu abgestimmtem Verhalten Beurteilungskompetenz, Notwendigkeit einer Wettbewerbskontrolle und Grenzen staatlicher Wettbewerbspolitik begründen die Notwendigkeit staatlicher Wettbewerbsaufsicht bzw. -kontrolle. diskutieren die Vorteile des freien Wettbewerbs in einer']</t>
  </si>
  <si>
    <t>10_der schler_abweichenden_abweichenden verhaltens_schler kann</t>
  </si>
  <si>
    <t>['der schler', 'abweichenden', 'abweichenden verhaltens', 'schler kann', 'regionalen', 'aufflligkeiten', 'im gesellschaftlichen', 'inklusiven', 'untersttzungsangebote', 'nachteile', 'und nachteile', 'jugendphase']</t>
  </si>
  <si>
    <t>['Schüler mögliche Unterstützungsangebote kennenlernt. Klassenstufe Sachkompetenz Der Schüler kann - angepasstes und abweichendes Verhalten im gesellschaftlichen Kontext erläutern, - Vor- und Nachteile angepassten und abweichenden Verhaltens vergleichen, - Erscheinungsformen abweichenden Verhaltens in der Jugendphase analysieren, - Möglichkeiten sozialen Engagements im regionalen Umfeld beschreiben, - den Inhalt von Gesetzen, z. B. Jugendschutzgesetz, erläutern. p Der Schüler kann - anhand von Fallbeispielen Entwicklungsaufgaben', 'Selbsthilfegruppen empfohlen, in denen der Schüler mögliche Unterstützungsangebote kennenlernt. Klassenstufe Sachkompetenz Der Schüler kann - angepasstes und abweichendes Verhalten im gesellschaftlichen Kontext erklären, - Vor- und Nachteile angepassten und abweichenden Verhaltens vergleichen, - Erscheinungsformen abweichenden Verhaltens in der Jugendphase analysieren, - Möglichkeiten sozialen Engagements im regionalen Umfeld benennen, - den Inhalt von Gesetzen, z. B. Jugendschutzgesetz, erläutern. p Der Schüler kann', 'Selbsthilfegruppen empfohlen, in denen der Schüler mögliche Unterstützungsangebote kennenlernt. Klassenstufe Sachkompetenz Der Schüler kann - angepasstes und abweichendes Verhalten im gesellschaftlichen Kontext erläutern, - Vor- und Nachteile angepassten und abweichenden Verhaltens vergleichen, - Erscheinungsformen abweichenden Verhaltens in der Jugendphase analysieren, - Möglichkeiten sozialen Engagements im regionalen Umfeld beschreiben, - den Inhalt von Gesetzen, z. B. Jugendschutzgesetz, erläutern. p Der Schüler kann']</t>
  </si>
  <si>
    <t>11_prosoziales_prosoziales verhalten_normativen_gruppenprozesse</t>
  </si>
  <si>
    <t>['prosoziales', 'prosoziales verhalten', 'normativen', 'gruppenprozesse', 'einer gruppe', 'erlutern', 'determinanten', 'und kognitive', 'situative', 'anhand', 'unterscheiden', 'gruppe']</t>
  </si>
  <si>
    <t>['und Gruppenprozesse am Beispiel des Stanford-Prison-Experiments, erklären anhand der Milgram-Experimente Gehorsam gegenüber Autoritätspersonen und erklären das Verhalten der Versuchspersonen, unterscheiden informativen und normativen sozialen Einfluss mithilfe grundlegender Experimente, unterscheiden prosoziales Verhalten und Altruismus, erklären prosoziales Verhalten mit kognitiven und evolutionstheoretischen Modellen und Sachzusammenhängen, erläutern die Bedeutung der Empathie für altruistisches Verhalten, p g p Qi p analysieren situative Determinanten und kognitive', 'Normen, Rollen, Status und Kohäsion, erläutern Entscheidungsprozesse in Gruppen, erläutern informativen und normativen Einfluss als Hauptfaktoren konformen Verhaltens, erläutern Strukturelemente einer Gruppe und Gruppenprozesse am Beispiel des Stanford-Prison-Experiments, unterscheiden prosoziales Verhalten und Altruismus, erläutern situative Determinanten und kognitive Aspekte anhand von Falldarstellungen und empirischen Untersuchungen von Hilfeverhalten, erklären prosoziales Verhalten kognitiv und evolutionstheoretisch, analysieren Feldexperimente kriterienorientiert, erläutern die drei Komponenten der', 'a. Systembegriff, Subsystem, Grenzen, Regeln, Homöostase, unterscheiden Strukturelemente einer Gruppe im Hinblick auf Normen, Rollen, Status und Kohäsion, erläutern Entscheidungsprozesse in Gruppen, erläutern informativen und normativen Einfluss als Hauptfaktoren konformen Verhaltens, erläutern Strukturelemente einer Gruppe und Gruppenprozesse am Beispiel des Stanford-Prison-Experiments, unterscheiden prosoziales Verhalten und Altruismus, erläutern situative Determinanten und kognitive Aspekte anhand von Falldarstellungen und empirischen Untersuchungen von Hilfeverhalten, erklären']</t>
  </si>
  <si>
    <t>12_stoff und_nachhaltigkeit_kosysteme_gefhrdung</t>
  </si>
  <si>
    <t>['stoff und', 'nachhaltigkeit', 'kosysteme', 'gefhrdung', 'der nachhaltigkeit', 'und energieumwandlung', 'stoff', 'energieumwandlung', 'unterliegen', 'veranschaulichung von', 'mit angemessenen', 'gestaltungsmitteln bewertung']</t>
  </si>
  <si>
    <t>['verschiedener Ökosysteme. In diewerden die Gründe für deren Gefährdung durch Eingriffe des Menschen ersichtlich. Kommunikation Darstellung von Zusammenhängen in geeigneter Form Veranschaulichung von Daten mit angemessenen Gestaltungsmitteln Bewertung Beurteilung von Verhaltensweisen hinsichtlich der Nachhaltigkeit Nutzung fachlicher Konzepte Vernetzung zu auf- und abbauenden Stoffwechselprozessen e, Fotosynthese und Atmung verdeutlichen Prozesse der Stoff- und Energieumwandlung esse unterliegen Regelmechanismen. Neben der Körpertemperatur und der', 'geeigneter Form en ökologischer Beziehungen zeigen Vernetzungen verschiedener Ökosysteme. In diewerden die Gründe für deren Gefährdung durch Eingriffe des Menschen ersichtlich. Veranschaulichung von Daten mit angemessenen Gestaltungsmitteln Bewertung Beurteilung von Verhaltensweisen hinsichtlich der Nachhaltigkeit Nutzung fachlicher Konzepte Vernetzung zu auf- und abbauenden Stoffwechselprozessen e, Fotosynthese und Atmung verdeutlichen Prozesse der Stoff- und Energieumwandlung esse unterliegen Regelmechanismen. Drogen, Lärm sowie weitere Störfaktoren', 'geeigneter Form gen ökologischer Beziehungen zeigen Vernetzungen verschiedener Ökosysteme. In diewerden die Gründe für deren Gefährdung durch Eingriffe des Menschen ersichtlich. Veranschaulichung von Daten mit angemessenen Gestaltungsmitteln Bewertung Beurteilung von Verhaltensweisen hinsichtlich der Nachhaltigkeit Nutzung fachlicher Konzepte Vernetzung zu auf- und abbauenden Stoffwechselprozessen e, Fotosynthese und Atmung verdeutlichen Prozesse der Stoff- und Energieumwandlung esse unterliegen Regelmechanismen. Neben der Körpertemperatur und der']</t>
  </si>
  <si>
    <t>13_aggression_aggressiver_lerntheorien_mobbing</t>
  </si>
  <si>
    <t>['aggression', 'aggressiver', 'lerntheorien', 'mobbing', 'prventions', 'der entstehung', 'und modelle', 'theorien', 'prosozialem', 'prosozialem verhalten', 'theorien und', 'theorie']</t>
  </si>
  <si>
    <t>['problembezogen und adressatengerecht multimedial präsentieren - psychologisch argumentieren sowie einen Diskurs über kontroverse psychologische Erkenntnisse sachlogisch und konstruktiv führen und moderieren Grundlegende Wissensbestände - zwei ausgewählte psychische Phänomene Aggression, prosoziales Verhalten, Einstellungen aus der Sicht von drei Paradigmen - Merkmale von Aggression, aggressivem Verhalten und Aggressivität, Formen aggressiven Verhaltens einschließlich Mobbing sowie Theorien und Modelle der Entstehung von Aggression z. B.', 'führen und moderieren Grundlegende Wissensbestände - zwei ausgewählte psychische Phänomene Aggression, prosoziales Verhalten, Einstellungen aus der Sicht von drei Paradigmen - Merkmale von Aggression, aggressivem Verhalten und Aggressivität, Formen aggressiven Verhaltens einschließlich Mobbing sowie Theorien und Modelle der Entstehung von Aggression z. B. Triebtheorien, Frustrations-Aggressions-Theorie, Theorie aggressiver Hinweisreize von Berkowitz, Lerntheorien, Präventions- und Interventionsmaßnahmen - Unterschiede von hilfreichem Verhalten, prosozialem Verhalten', 'psychologische Erkenntnisse sachlogisch und konstruktiv führen und moderieren Grundlegende Wissensbestände - zwei ausgewählte psychische Phänomene Aggression, prosoziales Verhalten, Einstellungen aus der Sicht von drei Paradigmen - Merkmale von Aggression, aggressivem Verhalten und Aggressivität, Formen aggressiven Verhaltens einschließlich Mobbing sowie Theorien und Modelle der Entstehung von Aggression z. B. Triebtheorien, Frustrations-Aggressions-Theorie, Theorie aggressiver Hinweisreize von Berkowitz, Lerntheorien, Präventions- und Interventionsmaßnahmen - Unterschiede']</t>
  </si>
  <si>
    <t>14_im straenverkehr_straenverkehr_regeln fr_kenntnissen</t>
  </si>
  <si>
    <t>['im straenverkehr', 'straenverkehr', 'regeln fr', 'kenntnissen', 'verhalten im', 'ableiten', 'ihren', 'regeln', 'mobilitt', 'aus', 'verweise', 'dargestellt']</t>
  </si>
  <si>
    <t>['Verhalten im Straßenverkehr ableiten z. B. Sicherheitsgurte aus ihren Kenntnissen der Mechanik Regeln für sicheres Verhalten im Straßenverkehr ableiten z. B. Sicherheitsgurte aus ihren Kenntnissen der Mechanik Regeln für sicheres Verhalten im Straßenverkehr ableiten z. B. Sicherheitsgurte Darstellung der Verweise in der Webansicht Beispiel aus Physik Mechanik: Dynamik Darstellung der Verweise in der Druckfassung In der Druckfassung und in der PDF-Ansicht', 'dargestellt. Nach einem Mausklick auf das jeweilige Symbol werden die Verweise im Browser detaillierter dargestellt dies wird in der Abbildung nicht veranschaulicht: aus ihren Kenntnissen der Mechanik Regeln für sicheres Verhalten im Straßenverkehr ableiten z. B. Sicherheitsgurte aus ihren Kenntnissen der Mechanik Regeln für sicheres Verhalten im Straßenverkehr ableiten z. B. Sicherheitsgurte aus ihren Kenntnissen der Mechanik Regeln für sicheres Verhalten', 'dies wird in der Abbildung nicht veranschaulicht: aus ihren Kenntnissen der Mechanik Regeln für sicheres Verhalten im Straßenverkehr ableiten z. B. Sicherheitsgurte aus ihren Kenntnissen der Mechanik Regeln für sicheres Verhalten im Straßenverkehr ableiten z. B. Sicherheitsgurte aus ihren Kenntnissen der Mechanik Regeln für sicheres Verhalten im Straßenverkehr ableiten z. B. Sicherheitsgurte Darstellung der Verweise in der Webansicht Beispiel aus Physik']</t>
  </si>
  <si>
    <t>15_ultimaten_ultimaten ursachen_os_ursachen</t>
  </si>
  <si>
    <t>['ultimaten', 'ultimaten ursachen', 'os', 'ursachen', 'ursachen von', 'va', 'gehirns', 'erklrt werden', 'seines', 'von verhalten', 'hilfe von', 'beruht']</t>
  </si>
  <si>
    <t>['Arten beruht auf der Isolation von Teilpopulationen. beschreiben und erklären die Entstehung von Arten mit der synthetischen Evolutionstheorie. Artbegriff Isolationsmechanismen allopatrische und sympatrische Artbildung Genfluss adaptive Radiation OS - VA Verhaltensweisen können mit Hilfe von proximaten und ultimaten Ursachen erklärt werden. erklären das Verhalten von Tieren, indem sie zwischen proximaten und ultimaten Ursachen von Verhalten unterscheiden. proximate und ultimate Ursachen Kosten-Nutzen-Analyse', 'Arten mit der synthetischen Evolutionstheorie. Artbegriff Isolationsmechanismen allopatrische und sympatrische Artbildung Genfluss adaptive Radiation OS - VA Verhaltensweisen können mit Hilfe von proximaten und ultimaten Ursachen erklärt werden. erklären das Verhalten von Tieren, indem sie zwischen proximaten und ultimaten Ursachen von Verhalten unterscheiden. proximate und ultimate Ursachen Kosten-Nutzen-Analyse von Verhalten OS - VA Die Variabilität und Angepasstheit des Menschen beruht auf', 'Arten beruht auf der Isolation von Teilpopulationen. beschreiben und erklären die Entstehung von Arten mit der Synthetischen Evolutionstheorie. Artbegriff Isolationsmechanismen allopatrische und sympatrische Artbildung Genfluss adaptive Radiation OS - VA Verhaltensweisen können mit Hilfe von proximaten und ultimaten Ursachen erklärt werden. erklären das Verhalten von Tieren, indem sie zwischen proximaten und ultimaten Ursachen von Verhalten unterscheiden. proximate und ultimate Ursachen von']</t>
  </si>
  <si>
    <t>16_historische_tradition_stil_feststellen</t>
  </si>
  <si>
    <t>['historische', 'tradition', 'stil', 'feststellen', 'kunst', 'gegenwart', 'bestimmen', 'vergangenheit', 'charakter', 'historischen', 'historischer', 'personen']</t>
  </si>
  <si>
    <t>['untersuchen; Mythos Frau untersuchen; Bedarf der Mensch der Tradition Bedeutung der Tradition für den künstlerischen Schaffensprozess an Beispielen prüfen Traditionslast-Traditionsverlust; Zusammenarbeit mit Kunst und Gestaltung, Musik, Deutsch, Religion, Fremdsprachen; Wie verhalten sich Tradition und Tradition als ein bedeutsames Element der Fortschritt zueinander Religionen bestimmen; Zusammenhang von Sprache und Tradition untersuchen, der Entstehung und dem Geltungsbereich bürgerlicher Tugenden nachgehen z. B. Ordnung,', 'beschreibende und wertende Aussagen unterscheiden, Lösungswege entwickeln und diese auf die Standortgebundenheit des Verfassers bzw. der Autoren hinterfragen, kontroverse Sichtweisen zu einem Thema erkennen und eine eigene Meinung vertreten, interessengebundene Verhaltensweisen mit Blick auf ihre eigene Gegenwart erkennen und diskutieren, sich im Rollenspiel in historische Personen und Situationen hineinversetzen, mit digitalen und traditionellen Informationsquellen zielführend arbeiten, eine gelenkte Recherche durchführen, die', 'ihrer eigenen Erziehung, Bildung oder Kultur zu hinterfragen. beurteilen historische Jugend- und Erziehungskulturen, indem sie z. B. Leitbilder, die einer Epoche oder einer jugendlichen Gegenkultur zugrunde liegen, überprüfen sowie genderspezifische Verhaltensweisen in historischer Perspektive betrachten. nutzen bei der Verortung einzelner Aspekte aus dem Bereich der Bildung in einem allgemeineren historischen Kontext u. a. die Epochenbezeichnungen Antike, Mittelalter, Neuzeit, Aufklärung, Deutsches Kaiserreich']</t>
  </si>
  <si>
    <t>17_gut_nicht_angewandt_christian</t>
  </si>
  <si>
    <t>['gut', 'nicht', 'angewandt', 'christian', 'diese', 'mehr', 'muss', 'historischen gesellschaftlichen', 'kulturellen dimension', 'seiner historischen', 'darf', 'er']</t>
  </si>
  <si>
    <t>['eine aktive, reflektierte und autonome Entwicklung von persönlichen Positionen und Haltungen vorbereiten hilft, würde aber seinen vorrangigen Zielen wiederum widersprechen, wollte er diese - etwa als Forderung bestimmter Handlungen oder Verhaltensweisen - in Performanz einfordern. Der Lehrkraft kommt zudem nicht a priori eine moralische Überlegenheit zu. Ihre Aufgabe besteht in diesem Sinne auch nicht darin, eine Art Lebenshilfe zur Bewältigung der', 'auf die soziale Umwelt gut behandelt werden. AB II u. III B. Bewertungshorizont für die Noten gut und ausreichend Für die Note gut sollten die Merkmale der Definition des abweichenden Verhaltens vollständig dargestellt und zutreffend auf den Fall Christian angewandt werden. Diese Darstellung ist die Basis für die weiterführende Auseinandersetzung mit dem Normbegriff, der in seiner historischen, gesellschaftlichen und kulturellen Dimension', 'Christian angewandt werden. Diese Darstellung ist die Basis für die weiterführende Auseinandersetzung mit dem Normbegriff, der in seiner historischen, gesellschaftlichen und kulturellen Dimension vorgestellt werden soll. Beim Transfer auf das Verhalten von Christian sollen diese Aspekte inklusive des Zeitgeists berücksichtigt werden. Die multikausale Verursachung des problematischen Verhaltens soll vermittelt werden. Für die Note ausreichend muss die Definition auf den Fall angewandt']</t>
  </si>
  <si>
    <t>school_type</t>
  </si>
  <si>
    <t>concept</t>
  </si>
  <si>
    <t>lda_n_topics</t>
  </si>
  <si>
    <t>concept_group</t>
  </si>
  <si>
    <t>bertopic_topic</t>
  </si>
  <si>
    <t>Verhalten</t>
  </si>
  <si>
    <t>evolutionary_biology</t>
  </si>
  <si>
    <t>unknown</t>
  </si>
  <si>
    <t>2,3,4,15</t>
  </si>
  <si>
    <t>alle anderen</t>
  </si>
  <si>
    <t>LDA</t>
  </si>
  <si>
    <t>BerTopic</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</si>
</sst>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0.000"/>
    <numFmt numFmtId="166" formatCode="m,d, yy"/>
  </numFmts>
  <fonts count="5">
    <font>
      <sz val="10.0"/>
      <color rgb="FF000000"/>
      <name val="Arial"/>
      <scheme val="minor"/>
    </font>
    <font>
      <color theme="1"/>
      <name val="Arial"/>
      <scheme val="minor"/>
    </font>
    <font>
      <color theme="1"/>
      <name val="Arial"/>
    </font>
    <font>
      <b/>
      <color theme="1"/>
      <name val="Arial"/>
    </font>
    <font>
      <b/>
      <color theme="1"/>
      <name val="Arial"/>
      <scheme val="minor"/>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1" numFmtId="0" xfId="0" applyFont="1"/>
    <xf borderId="0" fillId="0" fontId="1" numFmtId="2" xfId="0" applyFont="1" applyNumberFormat="1"/>
    <xf borderId="0" fillId="0" fontId="1" numFmtId="0" xfId="0" applyAlignment="1" applyFont="1">
      <alignment horizontal="left" readingOrder="0" vertical="top"/>
    </xf>
    <xf borderId="0" fillId="0" fontId="1" numFmtId="0" xfId="0" applyAlignment="1" applyFont="1">
      <alignment horizontal="left" readingOrder="0" shrinkToFit="0" vertical="top" wrapText="0"/>
    </xf>
    <xf borderId="0" fillId="0" fontId="1" numFmtId="0" xfId="0" applyAlignment="1" applyFont="1">
      <alignment horizontal="left" vertical="top"/>
    </xf>
    <xf borderId="0" fillId="0" fontId="1" numFmtId="0" xfId="0" applyAlignment="1" applyFont="1">
      <alignment horizontal="left" readingOrder="0" shrinkToFit="0" vertical="top" wrapText="1"/>
    </xf>
    <xf borderId="0" fillId="2" fontId="1" numFmtId="0" xfId="0" applyAlignment="1" applyFill="1" applyFont="1">
      <alignment horizontal="left" readingOrder="0" vertical="top"/>
    </xf>
    <xf borderId="0" fillId="0" fontId="1" numFmtId="0" xfId="0" applyAlignment="1" applyFont="1">
      <alignment horizontal="left" shrinkToFit="0" vertical="top" wrapText="0"/>
    </xf>
    <xf borderId="0" fillId="0" fontId="1" numFmtId="165" xfId="0" applyFont="1" applyNumberFormat="1"/>
    <xf borderId="0" fillId="0" fontId="1" numFmtId="166" xfId="0" applyAlignment="1" applyFont="1" applyNumberFormat="1">
      <alignment readingOrder="0"/>
    </xf>
    <xf borderId="0" fillId="0" fontId="4" numFmtId="0" xfId="0" applyFont="1"/>
    <xf borderId="0" fillId="0" fontId="4" numFmtId="0" xfId="0" applyAlignment="1" applyFont="1">
      <alignment readingOrder="0"/>
    </xf>
    <xf borderId="0" fillId="0" fontId="1"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156" sheet="LDA topics_Verhalten_10"/>
  </cacheSource>
  <cacheFields>
    <cacheField name="document_id" numFmtId="0">
      <sharedItems containsSemiMixedTypes="0" containsString="0" containsNumber="1" containsInteger="1">
        <n v="0.0"/>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sharedItems>
    </cacheField>
    <cacheField name="most_prevalent_topic_id" numFmtId="0">
      <sharedItems containsSemiMixedTypes="0" containsString="0" containsNumber="1" containsInteger="1">
        <n v="2.0"/>
        <n v="10.0"/>
        <n v="9.0"/>
        <n v="5.0"/>
        <n v="3.0"/>
        <n v="4.0"/>
        <n v="6.0"/>
        <n v="7.0"/>
        <n v="8.0"/>
        <n v="1.0"/>
      </sharedItems>
    </cacheField>
    <cacheField name="most_prevalent_topic_probability" numFmtId="0">
      <sharedItems containsSemiMixedTypes="0" containsString="0" containsNumber="1">
        <n v="0.52681311147604"/>
        <n v="0.860238552596608"/>
        <n v="0.973524305728209"/>
        <n v="0.963994269022549"/>
        <n v="0.406075900041964"/>
        <n v="0.975672369817048"/>
        <n v="0.976314244709096"/>
        <n v="0.957136115904948"/>
        <n v="0.935707501598388"/>
        <n v="0.477041544496746"/>
        <n v="0.384948556307281"/>
        <n v="0.959081176841831"/>
        <n v="0.960866323806462"/>
        <n v="0.959088441924341"/>
        <n v="0.939997643384185"/>
        <n v="0.943743897410805"/>
        <n v="0.930757257771156"/>
        <n v="0.863881776210884"/>
        <n v="0.960867001431188"/>
        <n v="0.957140626942366"/>
        <n v="0.407422604868874"/>
        <n v="0.55428805615777"/>
        <n v="0.801622043182212"/>
        <n v="0.75379221372426"/>
        <n v="0.310823287025724"/>
        <n v="0.963995987376217"/>
        <n v="0.957136405472064"/>
        <n v="0.957137584364547"/>
        <n v="0.902387654388694"/>
        <n v="0.683290801355512"/>
        <n v="0.959084263341585"/>
        <n v="0.957136071729368"/>
        <n v="0.854644432561275"/>
        <n v="0.967855668777459"/>
        <n v="0.970966539379796"/>
        <n v="0.949991611419948"/>
        <n v="0.895827771309348"/>
        <n v="0.613256712715435"/>
        <n v="0.490211681184904"/>
        <n v="0.952621119124794"/>
        <n v="0.55336260077346"/>
        <n v="0.837991736042021"/>
        <n v="0.74936241942598"/>
        <n v="0.489850314690794"/>
        <n v="0.792307724381994"/>
        <n v="0.965381258337581"/>
        <n v="0.343903038864572"/>
        <n v="0.962495079343291"/>
        <n v="0.418690526454933"/>
        <n v="0.717718971129921"/>
        <n v="0.587534626801259"/>
        <n v="0.346397308122331"/>
        <n v="0.511501662199676"/>
        <n v="0.962495508734927"/>
        <n v="0.970967022980637"/>
        <n v="0.97096703982222"/>
        <n v="0.970967089324326"/>
        <n v="0.971874237792835"/>
        <n v="0.974285126358288"/>
        <n v="0.97428512266631"/>
        <n v="0.756420637539719"/>
        <n v="0.833435131552789"/>
        <n v="0.836113976262915"/>
        <n v="0.954991497797251"/>
        <n v="0.762728508810071"/>
        <n v="0.566659299557177"/>
        <n v="0.320093863388115"/>
        <n v="0.791649125217567"/>
        <n v="0.963996242484174"/>
        <n v="0.974280793291071"/>
        <n v="0.976312420584107"/>
        <n v="0.975674068497898"/>
        <n v="0.966662705210945"/>
        <n v="0.970966593073344"/>
        <n v="0.967856152757846"/>
        <n v="0.966665328370801"/>
        <n v="0.470525730838854"/>
        <n v="0.779613080911308"/>
        <n v="0.772852949260703"/>
        <n v="0.841486047461599"/>
        <n v="0.294654329078386"/>
        <n v="0.409241045746512"/>
        <n v="0.624968411048737"/>
        <n v="0.525157521680387"/>
        <n v="0.763963629066764"/>
        <n v="0.758558602564137"/>
        <n v="0.644938999803438"/>
        <n v="0.69128441056873"/>
        <n v="0.893312673600542"/>
        <n v="0.553091249874401"/>
        <n v="0.821081865532134"/>
        <n v="0.790074625113936"/>
        <n v="0.968963376777945"/>
        <n v="0.963998379829837"/>
        <n v="0.656064731171514"/>
        <n v="0.542783937638792"/>
        <n v="0.727521405057833"/>
        <n v="0.777420202779175"/>
        <n v="0.633776844096067"/>
        <n v="0.535400113865661"/>
        <n v="0.969993030487687"/>
        <n v="0.590527857888934"/>
        <n v="0.772082439729404"/>
        <n v="0.574420295897772"/>
        <n v="0.456577370734914"/>
        <n v="0.605575285861206"/>
        <n v="0.559805542146877"/>
        <n v="0.801533957740018"/>
        <n v="0.60846902341261"/>
        <n v="0.781358414193044"/>
        <n v="0.752134508527972"/>
        <n v="0.96399802177323"/>
        <n v="0.458296769127949"/>
        <n v="0.688674171870719"/>
        <n v="0.488836741122409"/>
        <n v="0.305936895472864"/>
        <n v="0.344893367790974"/>
        <n v="0.962495327666122"/>
        <n v="0.966659623131175"/>
        <n v="0.456888018259565"/>
        <n v="0.688729410142947"/>
        <n v="0.506832998137244"/>
        <n v="0.422691006861613"/>
        <n v="0.45956213301557"/>
        <n v="0.569312766379053"/>
        <n v="0.974998723698592"/>
        <n v="0.743476453423693"/>
        <n v="0.973528364203671"/>
        <n v="0.342675785282065"/>
        <n v="0.760732819463132"/>
        <n v="0.736699476371786"/>
        <n v="0.339008613605702"/>
        <n v="0.696250347266141"/>
        <n v="0.369703809230172"/>
        <n v="0.436854880915124"/>
        <n v="0.703389261636296"/>
        <n v="0.267535047495378"/>
        <n v="0.461008430973161"/>
        <n v="0.73341064780617"/>
        <n v="0.660621977900954"/>
        <n v="0.97187256624189"/>
        <n v="0.826189450212853"/>
        <n v="0.834035197752059"/>
        <n v="0.352607115338834"/>
        <n v="0.301544708729062"/>
        <n v="0.523309577578949"/>
        <n v="0.435053430099587"/>
        <n v="0.723681593558037"/>
        <n v="0.354105823115768"/>
        <n v="0.639118501658186"/>
        <n v="0.611125082691517"/>
        <n v="0.381762085739836"/>
        <n v="0.776321237287231"/>
        <n v="0.952623908509076"/>
        <n v="0.852595844552741"/>
        <n v="0.864455522215468"/>
        <n v="0.774975754618167"/>
        <n v="0.505413205500221"/>
        <n v="0.887493053557129"/>
        <n v="0.78979691358216"/>
        <n v="0.35968232425578"/>
        <n v="0.868960033553439"/>
        <n v="0.737671392249879"/>
        <n v="0.780470118279535"/>
        <n v="0.845640347251178"/>
        <n v="0.590166937314542"/>
        <n v="0.685737367195946"/>
        <n v="0.711016559359152"/>
        <n v="0.722612846643765"/>
        <n v="0.300075267953225"/>
        <n v="0.631698688823349"/>
        <n v="0.972726657928334"/>
        <n v="0.974285122665352"/>
        <n v="0.453378330048028"/>
        <n v="0.96086670114316"/>
        <n v="0.892587483732788"/>
        <n v="0.478056160105721"/>
        <n v="0.677680168987614"/>
        <n v="0.354885222710087"/>
        <n v="0.793192215657017"/>
        <n v="0.699352906594903"/>
        <n v="0.57607629309705"/>
        <n v="0.785628088199911"/>
        <n v="0.887589131709919"/>
        <n v="0.834135890240821"/>
        <n v="0.76843481239562"/>
        <n v="0.711748535488611"/>
        <n v="0.850272266143621"/>
        <n v="0.858953595382406"/>
        <n v="0.791507795590856"/>
        <n v="0.491262792323977"/>
        <n v="0.87520988425513"/>
        <n v="0.957137776744818"/>
        <n v="0.900117952080096"/>
        <n v="0.625485857451524"/>
        <n v="0.619049607593193"/>
        <n v="0.798633528997799"/>
        <n v="0.49160848347969"/>
        <n v="0.916440580085547"/>
        <n v="0.904178947291011"/>
        <n v="0.509107289429112"/>
        <n v="0.611153960949155"/>
        <n v="0.459094067897557"/>
        <n v="0.468953386941233"/>
        <n v="0.351727995748875"/>
        <n v="0.528763201014068"/>
        <n v="0.563075360730115"/>
        <n v="0.896855108599778"/>
        <n v="0.798501626367762"/>
        <n v="0.864823190813636"/>
        <n v="0.576295150596775"/>
        <n v="0.635515341855"/>
        <n v="0.456351603080385"/>
        <n v="0.91920039062588"/>
        <n v="0.874480058466928"/>
        <n v="0.939484838119331"/>
        <n v="0.979068515527199"/>
        <n v="0.478562855856381"/>
        <n v="0.477989613139156"/>
        <n v="0.520532862889008"/>
        <n v="0.542522707234367"/>
        <n v="0.840766718749943"/>
        <n v="0.596337845059369"/>
        <n v="0.973523918377113"/>
        <n v="0.810376021899805"/>
        <n v="0.547164361827672"/>
        <n v="0.651796095813986"/>
        <n v="0.679474292184907"/>
        <n v="0.534958447221302"/>
        <n v="0.884296723924459"/>
        <n v="0.334925309123353"/>
        <n v="0.558474576498082"/>
        <n v="0.723752614186093"/>
        <n v="0.656682880427706"/>
        <n v="0.604199729123705"/>
        <n v="0.963996577589059"/>
        <n v="0.818328732026731"/>
        <n v="0.839917067400399"/>
        <n v="0.761437689172622"/>
        <n v="0.61938713754693"/>
        <n v="0.907680476646591"/>
        <n v="0.520620273020768"/>
        <n v="0.749434270529358"/>
        <n v="0.641789860320139"/>
        <n v="0.530063336335486"/>
        <n v="0.646303077019581"/>
        <n v="0.971871346352641"/>
        <n v="0.673713962412011"/>
        <n v="0.91038882714742"/>
        <n v="0.713274231492966"/>
        <n v="0.744776963213684"/>
        <n v="0.491084251973119"/>
        <n v="0.695379567819875"/>
        <n v="0.963995574825293"/>
        <n v="0.819476594216477"/>
        <n v="0.962495781357589"/>
        <n v="0.598240088270282"/>
        <n v="0.96785419665738"/>
        <n v="0.971871103427136"/>
        <n v="0.543391349396319"/>
        <n v="0.975673278862284"/>
        <n v="0.789961299068204"/>
        <n v="0.811679206038445"/>
        <n v="0.795639944097391"/>
        <n v="0.904067305374795"/>
        <n v="0.636617680078323"/>
        <n v="0.823718284678403"/>
        <n v="0.334819704383224"/>
        <n v="0.943747685589812"/>
        <n v="0.704271962101391"/>
        <n v="0.898500405875024"/>
        <n v="0.957140884077206"/>
        <n v="0.971867292347738"/>
        <n v="0.974997751795683"/>
        <n v="0.974283023939627"/>
        <n v="0.962492883651359"/>
        <n v="0.857170843739692"/>
        <n v="0.609422960082516"/>
        <n v="0.621911143255757"/>
        <n v="0.913674091704603"/>
        <n v="0.966660313934797"/>
        <n v="0.784387615448431"/>
        <n v="0.637698944566422"/>
        <n v="0.452775798729786"/>
        <n v="0.963996330915917"/>
        <n v="0.957136040022227"/>
        <n v="0.973526395052851"/>
        <n v="0.974283498006716"/>
        <n v="0.978570191273324"/>
        <n v="0.535059485907919"/>
        <n v="0.976921328390548"/>
        <n v="0.974997634290587"/>
        <n v="0.628807072901246"/>
        <n v="0.498669834301419"/>
        <n v="0.972726239478505"/>
        <n v="0.97631337020448"/>
        <n v="0.975674179818211"/>
        <n v="0.975673807433"/>
        <n v="0.551255075973449"/>
        <n v="0.866554440228732"/>
        <n v="0.72054463140514"/>
        <n v="0.974283594028774"/>
        <n v="0.971872512971806"/>
        <n v="0.641886115517738"/>
        <n v="0.867922993225355"/>
        <n v="0.735362499747901"/>
        <n v="0.651464540402159"/>
        <n v="0.784705488909538"/>
        <n v="0.459238847859471"/>
        <n v="0.883966344807907"/>
        <n v="0.516744654622609"/>
        <n v="0.775558583909705"/>
        <n v="0.965382380003489"/>
        <n v="0.973527068029483"/>
        <n v="0.884966326609473"/>
        <n v="0.974283538789522"/>
        <n v="0.973527660097952"/>
        <n v="0.864813552716812"/>
        <n v="0.979999405748069"/>
        <n v="0.686123806211436"/>
        <n v="0.628330905617515"/>
        <n v="0.504421012092077"/>
        <n v="0.728562336633065"/>
        <n v="0.556339752200721"/>
        <n v="0.572372439737419"/>
        <n v="0.539659027623182"/>
        <n v="0.332293630466792"/>
        <n v="0.630501184446164"/>
        <n v="0.769728062946652"/>
        <n v="0.483765088203327"/>
        <n v="0.610330599934024"/>
        <n v="0.812348307386124"/>
        <n v="0.743149728041956"/>
        <n v="0.905708777564669"/>
        <n v="0.963994222252207"/>
        <n v="0.962494394746465"/>
        <n v="0.74612524855348"/>
        <n v="0.492821643339137"/>
        <n v="0.550754468437703"/>
        <n v="0.630429059966313"/>
        <n v="0.500200341180154"/>
        <n v="0.490923621830779"/>
        <n v="0.664108323649294"/>
        <n v="0.573683176546212"/>
        <n v="0.645175024307252"/>
        <n v="0.743805732155551"/>
        <n v="0.606615003640111"/>
        <n v="0.67921780538976"/>
        <n v="0.759338499051281"/>
        <n v="0.894972263588454"/>
        <n v="0.538729431733153"/>
        <n v="0.712548264169828"/>
        <n v="0.707821646423338"/>
        <n v="0.929296408200537"/>
        <n v="0.862335587386861"/>
        <n v="0.73012396666325"/>
        <n v="0.965381238218374"/>
        <n v="0.929311736070605"/>
        <n v="0.711524686125435"/>
        <n v="0.949981022625599"/>
        <n v="0.513017323257211"/>
        <n v="0.952623564481396"/>
        <n v="0.974283520507541"/>
        <n v="0.935396169619511"/>
        <n v="0.888868782919163"/>
        <n v="0.766860499022891"/>
        <n v="0.972724819916634"/>
        <n v="0.960864177361136"/>
        <n v="0.574474822508862"/>
        <n v="0.433239197084446"/>
        <n v="0.940859858789105"/>
        <n v="0.801936831643558"/>
        <n v="0.800012648580818"/>
        <n v="0.923556236017111"/>
        <n v="0.921760175646492"/>
        <n v="0.967852661267838"/>
        <n v="0.711090565575243"/>
        <n v="0.908543375346307"/>
        <n v="0.456019680586003"/>
        <n v="0.344807623371789"/>
        <n v="0.97428290502654"/>
        <n v="0.555365302457594"/>
        <n v="0.463377110493132"/>
        <n v="0.976920681355474"/>
        <n v="0.751603510172079"/>
        <n v="0.97187246883058"/>
        <n v="0.83098367796836"/>
        <n v="0.668057432163067"/>
        <n v="0.447952823778367"/>
        <n v="0.709843752366077"/>
        <n v="0.799057698796889"/>
        <n v="0.394086428147973"/>
        <n v="0.562842746043168"/>
        <n v="0.78418403972114"/>
        <n v="0.62997915225203"/>
        <n v="0.965382835512914"/>
        <n v="0.459084764888907"/>
        <n v="0.829544175917795"/>
        <n v="0.793436059558807"/>
        <n v="0.871557096322048"/>
        <n v="0.355731790334699"/>
        <n v="0.436035871264692"/>
        <n v="0.528599725787689"/>
        <n v="0.973527162308509"/>
        <n v="0.976314629341287"/>
        <n v="0.975674445561956"/>
        <n v="0.762891493717438"/>
        <n v="0.685339002543886"/>
        <n v="0.686256272467811"/>
        <n v="0.561071926702656"/>
        <n v="0.342585078390329"/>
        <n v="0.960866794453878"/>
        <n v="0.960866855889788"/>
        <n v="0.959087954545718"/>
        <n v="0.889697822964557"/>
        <n v="0.944924870133402"/>
        <n v="0.90105088952281"/>
        <n v="0.976314063168813"/>
        <n v="0.446027596717229"/>
        <n v="0.758898021538834"/>
        <n v="0.523610698645164"/>
        <n v="0.609458356413106"/>
        <n v="0.559864633512307"/>
        <n v="0.603847679049029"/>
        <n v="0.508494957295698"/>
        <n v="0.528476849567805"/>
        <n v="0.610240596626566"/>
        <n v="0.55165493057575"/>
        <n v="0.62362935931083"/>
        <n v="0.65245717229233"/>
        <n v="0.740357436925196"/>
        <n v="0.668142241429512"/>
        <n v="0.551302332454285"/>
        <n v="0.496588851945053"/>
        <n v="0.618870784502891"/>
        <n v="0.551703669930142"/>
        <n v="0.533531693240031"/>
        <n v="0.415323540235116"/>
        <n v="0.889730266905069"/>
        <n v="0.709782793649589"/>
        <n v="0.751666669166988"/>
        <n v="0.626729105181551"/>
        <n v="0.69163080747462"/>
        <n v="0.693494994833785"/>
        <n v="0.558502619728596"/>
        <n v="0.545794086076793"/>
        <n v="0.750182156148545"/>
        <n v="0.39257765120895"/>
        <n v="0.680735667056067"/>
        <n v="0.495770577599109"/>
        <n v="0.957139189168014"/>
        <n v="0.52633973666091"/>
        <n v="0.479997535668446"/>
        <n v="0.758902085470831"/>
        <n v="0.654196381038434"/>
        <n v="0.786390420626212"/>
        <n v="0.425404700339664"/>
        <n v="0.569609301372045"/>
        <n v="0.571425669574603"/>
        <n v="0.572471745536277"/>
        <n v="0.372908827625568"/>
        <n v="0.665225061792536"/>
        <n v="0.751900147579012"/>
        <n v="0.204423389213574"/>
        <n v="0.44358106762849"/>
        <n v="0.578320981557861"/>
        <n v="0.949997382326109"/>
        <n v="0.947054481882376"/>
        <n v="0.401852689709886"/>
        <n v="0.476733053076851"/>
        <n v="0.966663027430031"/>
        <n v="0.567982044853686"/>
        <n v="0.365259796015143"/>
        <n v="0.874701606808092"/>
        <n v="0.888856693817057"/>
        <n v="0.488399928143318"/>
        <n v="0.544271774076269"/>
        <n v="0.957136880937013"/>
        <n v="0.375152912329428"/>
        <n v="0.94047542659788"/>
        <n v="0.841633669546397"/>
        <n v="0.795048205467298"/>
        <n v="0.795376634415927"/>
        <n v="0.534988441644364"/>
        <n v="0.687397881118323"/>
        <n v="0.595995654463692"/>
        <n v="0.750757530593"/>
        <n v="0.929247163632466"/>
        <n v="0.963995887148489"/>
        <n v="0.655956568511479"/>
        <n v="0.905518597261682"/>
        <n v="0.39432039618363"/>
        <n v="0.528440266978965"/>
        <n v="0.369547457096685"/>
        <n v="0.403855826987749"/>
        <n v="0.354081436435545"/>
        <n v="0.468360250853917"/>
        <n v="0.481500617207762"/>
        <n v="0.510865592428603"/>
        <n v="0.782569629983753"/>
        <n v="0.838500044047459"/>
        <n v="0.613861059137553"/>
        <n v="0.383828234283974"/>
        <n v="0.315446156115395"/>
        <n v="0.615266796624465"/>
        <n v="0.468638953903071"/>
        <n v="0.488376063732522"/>
        <n v="0.586809311348268"/>
        <n v="0.812304443703208"/>
        <n v="0.719414034431643"/>
        <n v="0.701373162943454"/>
        <n v="0.639112054357776"/>
        <n v="0.597939641875479"/>
        <n v="0.447484365875665"/>
        <n v="0.494679757880709"/>
        <n v="0.529755654530196"/>
        <n v="0.655602068946513"/>
        <n v="0.965381401561782"/>
        <n v="0.95908710471557"/>
        <n v="0.687104767992772"/>
        <n v="0.790258263934445"/>
        <n v="0.567591460267371"/>
        <n v="0.720334941163994"/>
        <n v="0.899257882185058"/>
        <n v="0.657084533707339"/>
        <n v="0.482095726905021"/>
        <n v="0.633977206808298"/>
        <n v="0.728268674621605"/>
        <n v="0.640436350128275"/>
        <n v="0.536435192635614"/>
        <n v="0.938924293111095"/>
        <n v="0.976312992296618"/>
        <n v="0.97499825175714"/>
        <n v="0.975673472484771"/>
        <n v="0.808149367646283"/>
        <n v="0.484283407920565"/>
        <n v="0.328208433191394"/>
        <n v="0.978570893807877"/>
        <n v="0.576584880200165"/>
        <n v="0.549108020621338"/>
        <n v="0.93059264312479"/>
        <n v="0.762841337154318"/>
        <n v="0.348812593314936"/>
        <n v="0.81902892260435"/>
        <n v="0.479396443272179"/>
        <n v="0.684584498823538"/>
        <n v="0.657981639542929"/>
        <n v="0.348497338133608"/>
        <n v="0.70446954071"/>
        <n v="0.980434173637893"/>
        <n v="0.979999358079172"/>
        <n v="0.609859214106011"/>
        <n v="0.981631950129675"/>
        <n v="0.691732366128914"/>
        <n v="0.627015832104653"/>
        <n v="0.323577401542279"/>
        <n v="0.745331407158961"/>
        <n v="0.604954234222031"/>
        <n v="0.808682126171201"/>
        <n v="0.403975117271041"/>
        <n v="0.534749996979702"/>
        <n v="0.825758675384203"/>
        <n v="0.763293152068131"/>
        <n v="0.974283840934759"/>
        <n v="0.737456244791512"/>
        <n v="0.974283940885108"/>
        <n v="0.572456550481601"/>
        <n v="0.274030267987185"/>
        <n v="0.680280507318525"/>
        <n v="0.569395740618594"/>
        <n v="0.41999308654524"/>
        <n v="0.586227742772371"/>
        <n v="0.56271916273604"/>
        <n v="0.579190751993871"/>
        <n v="0.668251940052933"/>
        <n v="0.4661238313296"/>
        <n v="0.584626978693081"/>
        <n v="0.534759216205056"/>
        <n v="0.602343508160656"/>
        <n v="0.676906638880513"/>
        <n v="0.603671014002119"/>
        <n v="0.631457246122139"/>
        <n v="0.784598390650469"/>
        <n v="0.555628148105724"/>
        <n v="0.422137028777234"/>
        <n v="0.403673809240079"/>
        <n v="0.52449638540142"/>
        <n v="0.528326162472941"/>
        <n v="0.391572185362112"/>
        <n v="0.464046962605128"/>
        <n v="0.637863857664938"/>
        <n v="0.490837574928279"/>
        <n v="0.455986250746386"/>
        <n v="0.46238766975075"/>
        <n v="0.400210731276557"/>
        <n v="0.460431773113533"/>
        <n v="0.622039416721212"/>
        <n v="0.397742853534212"/>
        <n v="0.480132938395226"/>
        <n v="0.479207353255481"/>
        <n v="0.544439763029294"/>
        <n v="0.535310036558235"/>
        <n v="0.722849126103159"/>
        <n v="0.50837259002045"/>
        <n v="0.56573618495843"/>
        <n v="0.384257561133012"/>
        <n v="0.501803882152791"/>
        <n v="0.446644147704364"/>
        <n v="0.545867938104898"/>
        <n v="0.564862970711302"/>
        <n v="0.492874223741574"/>
        <n v="0.79663677502321"/>
        <n v="0.87062602391384"/>
        <n v="0.531424508545245"/>
        <n v="0.877777480306466"/>
        <n v="0.301280733244383"/>
        <n v="0.264666921793901"/>
        <n v="0.412922139337497"/>
        <n v="0.6258506024917"/>
        <n v="0.505314244564344"/>
        <n v="0.482052285185571"/>
        <n v="0.64939389330111"/>
        <n v="0.389659294468452"/>
        <n v="0.512997394107196"/>
        <n v="0.730593015384227"/>
        <n v="0.697694428252408"/>
        <n v="0.551290944899754"/>
        <n v="0.476553724597711"/>
        <n v="0.550997178410753"/>
        <n v="0.697437280572513"/>
        <n v="0.665310690491378"/>
        <n v="0.469051754134589"/>
        <n v="0.638399385983514"/>
        <n v="0.634051834611567"/>
        <n v="0.638681352295308"/>
        <n v="0.451389520373725"/>
        <n v="0.703088490190742"/>
        <n v="0.762553019338068"/>
        <n v="0.766484568356369"/>
        <n v="0.449091653816456"/>
        <n v="0.413289033022275"/>
        <n v="0.543692505363613"/>
        <n v="0.434547848167209"/>
        <n v="0.688231906223235"/>
        <n v="0.396447684023832"/>
        <n v="0.445722619164501"/>
        <n v="0.355846438658901"/>
        <n v="0.323709857127229"/>
        <n v="0.364624090165089"/>
        <n v="0.509814495640667"/>
        <n v="0.339503054454762"/>
        <n v="0.87408108175293"/>
        <n v="0.869503325879403"/>
        <n v="0.409728648336845"/>
        <n v="0.575885423039217"/>
        <n v="0.809519325702446"/>
        <n v="0.317706256414084"/>
        <n v="0.720976712877988"/>
        <n v="0.531409145907769"/>
        <n v="0.487554986340882"/>
        <n v="0.568143087071948"/>
        <n v="0.462547879666328"/>
        <n v="0.711585380725947"/>
        <n v="0.837670061068291"/>
        <n v="0.815915987500818"/>
        <n v="0.29527796075028"/>
        <n v="0.453373853324187"/>
        <n v="0.445360834570015"/>
        <n v="0.540673512830386"/>
        <n v="0.290735818037114"/>
        <n v="0.590111604405274"/>
        <n v="0.625545944900963"/>
        <n v="0.325100691722359"/>
        <n v="0.664710892613039"/>
        <n v="0.445436858233566"/>
        <n v="0.361698993414796"/>
        <n v="0.45703127891445"/>
        <n v="0.605724680532937"/>
        <n v="0.613215636065485"/>
        <n v="0.591066117136766"/>
        <n v="0.770645152302006"/>
        <n v="0.312201085887084"/>
        <n v="0.301401499710803"/>
        <n v="0.570262603157525"/>
        <n v="0.472117268810611"/>
        <n v="0.410423820863669"/>
        <n v="0.546263839982451"/>
        <n v="0.401542670735806"/>
        <n v="0.615116653916003"/>
        <n v="0.625553318066487"/>
        <n v="0.35274002207711"/>
        <n v="0.737242771335607"/>
        <n v="0.395915745353879"/>
        <n v="0.429426640447422"/>
        <n v="0.427880725090779"/>
        <n v="0.394839719556188"/>
        <n v="0.673701831788582"/>
        <n v="0.704784776583684"/>
        <n v="0.530108316837456"/>
        <n v="0.535966491561379"/>
        <n v="0.727463944425055"/>
        <n v="0.589694343802443"/>
        <n v="0.413896445014928"/>
        <n v="0.692507090856689"/>
        <n v="0.398485292551506"/>
        <n v="0.33613253627092"/>
        <n v="0.368777771416239"/>
        <n v="0.490996140448097"/>
        <n v="0.370545498268279"/>
        <n v="0.436774965143519"/>
        <n v="0.474265226888463"/>
        <n v="0.510490193193555"/>
        <n v="0.495258663600196"/>
        <n v="0.552648633140455"/>
        <n v="0.774979633524393"/>
        <n v="0.608559204373601"/>
        <n v="0.448207138116373"/>
        <n v="0.873155208332981"/>
        <n v="0.951392019303503"/>
        <n v="0.939044725968679"/>
        <n v="0.936974067771203"/>
        <n v="0.481290363870465"/>
        <n v="0.324783362811048"/>
        <n v="0.405856497293356"/>
        <n v="0.522926418545628"/>
        <n v="0.466196804358334"/>
        <n v="0.495131891863092"/>
        <n v="0.978047682276033"/>
        <n v="0.928870563617426"/>
        <n v="0.531469019785119"/>
        <n v="0.319644115099488"/>
        <n v="0.523107196786113"/>
        <n v="0.617827284630413"/>
        <n v="0.864193412284675"/>
        <n v="0.386868737733727"/>
        <n v="0.458865317782021"/>
        <n v="0.359843438090377"/>
        <n v="0.750442202851218"/>
        <n v="0.725768296906249"/>
        <n v="0.290995685443198"/>
        <n v="0.894061731763485"/>
        <n v="0.48615853639494"/>
        <n v="0.741139465503426"/>
        <n v="0.810203525567446"/>
        <n v="0.265468250286624"/>
        <n v="0.351192434815783"/>
        <n v="0.387599775574298"/>
        <n v="0.637923489919561"/>
        <n v="0.473809564157686"/>
        <n v="0.341762325098578"/>
        <n v="0.331754034906495"/>
        <n v="0.31997714935144"/>
        <n v="0.279227967257615"/>
        <n v="0.325544940502392"/>
        <n v="0.436222047980307"/>
        <n v="0.517033742968875"/>
        <n v="0.590126047204564"/>
        <n v="0.365070375851054"/>
        <n v="0.390182907398049"/>
        <n v="0.64900707352228"/>
        <n v="0.534046376995452"/>
        <n v="0.730284458276443"/>
        <n v="0.417198801728354"/>
        <n v="0.599779805498299"/>
        <n v="0.439557059501805"/>
        <n v="0.46655468266992"/>
        <n v="0.283188004048476"/>
        <n v="0.389753717843843"/>
        <n v="0.801651114185091"/>
        <n v="0.612873355202153"/>
        <n v="0.562924787537427"/>
        <n v="0.610760608579139"/>
        <n v="0.463886637150552"/>
        <n v="0.350360031813281"/>
        <n v="0.598860825733519"/>
        <n v="0.763046539220806"/>
        <n v="0.502295832301621"/>
        <n v="0.265515334324081"/>
        <n v="0.415502706726134"/>
        <n v="0.800857487365683"/>
        <n v="0.623806448655917"/>
        <n v="0.515264540742694"/>
        <n v="0.597430425626753"/>
        <n v="0.426533873870968"/>
        <n v="0.651214711757326"/>
        <n v="0.526837636143301"/>
        <n v="0.591065697847969"/>
        <n v="0.816499354720385"/>
        <n v="0.684177199910186"/>
        <n v="0.496297828657279"/>
        <n v="0.625174485260266"/>
        <n v="0.494814364912445"/>
        <n v="0.52448108163752"/>
        <n v="0.537514654091608"/>
        <n v="0.361490619205174"/>
        <n v="0.327570291872425"/>
        <n v="0.563432648379661"/>
        <n v="0.624954458308689"/>
        <n v="0.361618603430862"/>
        <n v="0.975673173645241"/>
        <n v="0.483689218829506"/>
        <n v="0.355393421964809"/>
        <n v="0.378266680643815"/>
        <n v="0.573095696194108"/>
        <n v="0.414286248435383"/>
        <n v="0.512753629380772"/>
        <n v="0.395936493014164"/>
        <n v="0.354766919183129"/>
        <n v="0.266878463208091"/>
        <n v="0.320246731619016"/>
        <n v="0.399119215111075"/>
        <n v="0.922970815079195"/>
        <n v="0.610797806768536"/>
        <n v="0.486298845942012"/>
        <n v="0.582743176716152"/>
        <n v="0.676409817344132"/>
        <n v="0.592778200056185"/>
        <n v="0.518029902104616"/>
        <n v="0.800207682477034"/>
        <n v="0.610832111357134"/>
        <n v="0.430817795271352"/>
        <n v="0.563929641203825"/>
        <n v="0.353658184770427"/>
        <n v="0.307595424672246"/>
        <n v="0.4725942082553"/>
        <n v="0.333510050207421"/>
        <n v="0.322559553804385"/>
        <n v="0.954995081267265"/>
        <n v="0.3033585221016"/>
        <n v="0.421399554109065"/>
        <n v="0.328627441415563"/>
        <n v="0.546658579590039"/>
        <n v="0.304109492177208"/>
        <n v="0.6151510048929"/>
        <n v="0.609153823861194"/>
        <n v="0.795598188292665"/>
        <n v="0.596818348727961"/>
        <n v="0.826385236195113"/>
        <n v="0.640751076233663"/>
        <n v="0.802462407450903"/>
        <n v="0.403755738111449"/>
        <n v="0.273500052628124"/>
        <n v="0.615797609463221"/>
        <n v="0.931941162025799"/>
        <n v="0.44969577621022"/>
        <n v="0.450494153575569"/>
        <n v="0.499521942902938"/>
        <n v="0.916158030952161"/>
        <n v="0.570797204765017"/>
        <n v="0.460470619597889"/>
        <n v="0.566058263056238"/>
        <n v="0.66411680923746"/>
        <n v="0.388409609445703"/>
        <n v="0.963998528194658"/>
        <n v="0.58731531358197"/>
        <n v="0.842050857459309"/>
        <n v="0.806017435230047"/>
        <n v="0.532906412443356"/>
        <n v="0.883453162634442"/>
        <n v="0.76318774636401"/>
        <n v="0.25439251704911"/>
        <n v="0.436649154787403"/>
        <n v="0.520273732268805"/>
        <n v="0.472674071548225"/>
        <n v="0.830857564240331"/>
        <n v="0.909681799579806"/>
        <n v="0.83086026469811"/>
        <n v="0.909683046190977"/>
        <n v="0.755559627138191"/>
        <n v="0.717852503025972"/>
        <n v="0.75556661349245"/>
        <n v="0.717837801985014"/>
        <n v="0.66257296038152"/>
        <n v="0.767953065851148"/>
        <n v="0.65585603157114"/>
        <n v="0.621822235563867"/>
        <n v="0.463162325745642"/>
        <n v="0.765631205727707"/>
        <n v="0.399854617746962"/>
        <n v="0.404343642877832"/>
        <n v="0.325434192618929"/>
        <n v="0.280200816563645"/>
        <n v="0.39195087888371"/>
        <n v="0.549227197993939"/>
        <n v="0.733828759120503"/>
        <n v="0.313234059712019"/>
        <n v="0.785740073975923"/>
        <n v="0.401843665504682"/>
        <n v="0.236437235104124"/>
        <n v="0.407616545608774"/>
        <n v="0.287175107548399"/>
        <n v="0.329428664956099"/>
        <n v="0.326385427874341"/>
        <n v="0.250196369012785"/>
        <n v="0.567875621212386"/>
        <n v="0.555819074245277"/>
        <n v="0.449337176305594"/>
        <n v="0.854891702235331"/>
        <n v="0.512637506777028"/>
        <n v="0.359518527585682"/>
        <n v="0.725313255786301"/>
        <n v="0.401246179868547"/>
        <n v="0.494002400373774"/>
        <n v="0.433442249763719"/>
        <n v="0.464829941752889"/>
        <n v="0.432589184998821"/>
        <n v="0.620887244295685"/>
        <n v="0.326803316063329"/>
        <n v="0.484563494118756"/>
        <n v="0.485953059778147"/>
        <n v="0.264472203530076"/>
        <n v="0.306751756219784"/>
        <n v="0.358720956915106"/>
        <n v="0.442008485207558"/>
        <n v="0.482950751668578"/>
        <n v="0.83957270463242"/>
        <n v="0.615427791596443"/>
        <n v="0.374461810590538"/>
        <n v="0.317564585154273"/>
        <n v="0.36529215979475"/>
        <n v="0.31860989881999"/>
        <n v="0.434964126693359"/>
        <n v="0.466864690998763"/>
        <n v="0.975672990689504"/>
        <n v="0.459400615499815"/>
        <n v="0.463834222142372"/>
        <n v="0.687990464571476"/>
        <n v="0.799106049788275"/>
        <n v="0.375753171340367"/>
        <n v="0.675341515217563"/>
        <n v="0.377750818639737"/>
        <n v="0.4622432124377"/>
        <n v="0.51132563967066"/>
        <n v="0.322566389146099"/>
        <n v="0.347850300736243"/>
        <n v="0.420074199891513"/>
        <n v="0.37046037791465"/>
        <n v="0.397901453453771"/>
        <n v="0.42219595018304"/>
        <n v="0.407698478310593"/>
        <n v="0.971874444626452"/>
        <n v="0.321451807670018"/>
        <n v="0.923178259516009"/>
        <n v="0.766736156043942"/>
        <n v="0.823190259879782"/>
        <n v="0.861066817122701"/>
        <n v="0.609648788614782"/>
        <n v="0.419085754069712"/>
        <n v="0.377448731430983"/>
        <n v="0.73004295403872"/>
        <n v="0.690629279784615"/>
        <n v="0.689260959964057"/>
        <n v="0.513880465542068"/>
        <n v="0.820730091901628"/>
        <n v="0.68997110686796"/>
        <n v="0.644418881475242"/>
        <n v="0.456728425268378"/>
        <n v="0.452968384599123"/>
        <n v="0.967856451165585"/>
        <n v="0.969999362834906"/>
        <n v="0.970967181637021"/>
      </sharedItems>
    </cacheField>
    <cacheField name="text_excerpt" numFmtId="0">
      <sharedItems>
        <s v="- Gerechtigkeit Sachkompetenz Die Schülerinnen und Schüler erläutern die Bedeutsamkeit von Gerechtigkeit für soziales Leben, formulieren Regeln für ein gerechtes Miteinander, erläutern unterschiedliche Prinzipien von Gerechtigkeit Gleichheit, Bedürfnis, L"/>
        <s v="erläutern Verhalten und Handeln hinsichtlich der zugrundeliegenden Werte und möglicher Konsequenzen für sich selbst und für ein gerechtes Miteinander. Urteilskompetenz Die Schülerinnen und Schüler bewerten unterschiedliche Prinzipien von Gerechtigkeit, be"/>
        <s v="Inhaltsfeld : Gegenwart und Zukunft Inhaltlicher Schwerpunkt: - Nachhaltiges Leben und Lernen Sachkompetenz Die Schülerinnen und Schüler erläutern die Bedeutung kritischen Denkens sowie der Verantwortungsübernahme für Lernprozesse, überprüfen ihr alltägli"/>
        <s v="- Lebensgestaltung - Grenzerfahrungen Sachkompetenz Die Schülerinnen und Schüler beschreiben Träume, Sinnsuche und Glück in ihrer Bedeutung für das eigene Leben, vergleichen Konzepte der Lebensgestaltung u. a. Eudaimonie, Religiosität, beschreiben Verhalt"/>
        <s v="z. B. in der Teamarbeit und im Mannschaftssport Gründe, weshalb jemand zum Außenseiter bzw. Einzelgänger werden kann z. B. Außenseiter in der Klasse, Obdachloser, Kranker, Behinderter; Konsequenzen für das eigene Verhalten Eth Lernbereich : Konsum und Fre"/>
        <s v="Normen zugrunde liegen, heraus. z. B. Ehrlichkeit, Höflichkeit, Achtsamkeit, Geselligkeit vergleichen Regeln und Rituale in verschiedenen Kontexten. Schulregeln in verschiedenen kulturellen und historischen Kontexten Verhaltensregeln in verschiedenen Spor"/>
        <s v="in unterschiedlichen sozialen Rollen. Gehorsam, Empathie, Pflicht, Loyalität, Respekt, Höflichkeit, Zuneigung, Liebe, Ausgrenzung, Akzeptanz, Toleranz, Verantwortung in den verschiedenen sozialen Kontexten soziale Rolle als Summe der von einer Person erwa"/>
        <s v="ehrliche Sprache Sollen: Moralisches Handeln Werte und Normen Ethik / Wahrheit und Ehrlichkeit - Lüge inhaltsbezogene Kompetenzen methodisch-didaktische Hinweise erklären die Folgen von Lügen, erklären Alternativen zu Lügen, beschreiben typisches Verhalte"/>
        <s v="Unterscheidungsmerkmalen Überlegen, in welchen Situationen ich Spaß habe, mich langweile oder an etwas interessiert bin Fotos der Schülerinnen und Schüler in Alltagssituationen anschauen und beschreiben Beobachten und Reflektieren des eigenen Verhaltens b"/>
        <s v="religiöse Orte, o ritueller Handlungen und Vorschriften, erklären den Zusammenhang der jeweiligen Religion mit ihren Festen. Interpretation der Erlebnisqualität und des Sinns von Ruhetagen, gemeinsamen rituellen Handlungen, traditionellen Festverläufen, r"/>
        <s v="Textinhalten, Rekonstruieren von historischen oder systematischen Zusammenhängen, ggf. unter bestimmten Fragestellungen; selbständige, sachgemäße Darstellung auch komplexer Zusammenhänge und Texte ethische Ansätze, kontroverse ethische Problemstellungen, "/>
        <s v="noch verdienen wir Lob oder Tadel für sie. Im Laufe der Evolution bestand der entscheidende Schritt auf dem Weg zur willentlichen Verhaltenssteuerung darin, dass einige Lebewesen die Fähigkeit entwickelten, ihr Verhalten an der inneren Vorstellung zukünft"/>
        <s v="Weg zur willentlichen Verhaltenssteuerung darin, dass einige Lebewesen die Fähigkeit entwickelten, ihr Verhalten an der inneren Vorstellung zukünftiger Zustände auszurichten. Es sind insbesondere zwei antizipative Leistungen, die Voraussetzungen für solch"/>
        <s v="zwei antizipative Leistungen, die Voraussetzungen für solches Verhalten sind: die Fähigkeit, mehr oder weniger weit in der Zukunft liegende Effekte des eigenen Verhaltens zu antizipieren und zu bewerten und das Verhalten an solchen mental repräsentierten "/>
        <s v="und bei der Ausrichtung des Verhaltens an solchen antizipierten Bedürfnissen wenn nötig aktuelle Bedürfnisse oder emotionale Impulse zu unterdrücken. Die Annahme, dass aktuelle Bedürfnisse aber einen direkteren Einfluss auf unser Verhalten haben, macht ve"/>
        <s v="ist der entscheidende Punkt, dass die Fähigkeit zur Bedürfnisantizipation in Verbindung mit dem Erwerb von Selbstkontrollstrategien die Voraussetzung für eine weitere Stufe der Autonomie bildet. Sie besteht darin, dass das Verhalten nicht mehr nur zum Tei"/>
        <s v="zu versichern. Deshalb sucht man von Urteilsfähigen geehrt zu werden, von Menschen, die uns kennen, und zwar aufgrund der Tüchtigkeit griechisch hier: arete Tüchtigkeit, Tugend. Jedenfalls ergibt sich aus diesem Verhalten ganz klar, dass die Tüchtigkeit T"/>
        <s v="von Freiheit und Abhängigkeit wird eine grundlegende Frage des Ethikunterrichts angesprochen. Dabei werden die Begriffe Freiheit bzw. Willensfreiheit in der Auseinandersetzung mit philosophischen, psychologischen und biologischen Interpretationen behandel"/>
        <s v="inneren Vorstellung zukünftiger Zustände auszurichten. Es sind insbesondere zwei antizipative Leistungen, die Voraussetzungen für solches Verhalten sind: die Fähigkeit, mehr oder weniger weit in der Zukunft liegende Effekte des eigenen Verhaltens zu antiz"/>
        <s v="Verhaltens zu antizipieren und zu bewerten und das Verhalten an solchen mental repräsentierten Zielzuständen auszurichten sowie die Fähigkeit, zukünftige Veränderungen der eigenen Bedürfnislage zu antizipieren und bei der Ausrichtung des Verhaltens an sol"/>
        <s v="zukäme. Die Entwicklung willentlichen Handelns im Laufe der Evolution gründet auf der Fähigkeit zur Antizipation. Dazu gehören die gedankliche Vorwegnahme von Handlungsfolgen und von Bedürfnislagen sowie die entsprechende Anpassung des Verhaltens. Da aber"/>
        <s v="und auch zukünftige Generationen eingehen Welche Chancen bietet der technologische Fortschritt für eine nachhaltigere Lebensweise In der Auseinandersetzung mit diesen Fragestellungen gewinnen die Lernenden Orientierung und lernen Auswirkungen des eigenen "/>
        <s v="es im Zusammenhang mit der seelischen Verfassung des Menschen, seiner Lebensführung, seiner Wahrnehmungsfähigkeit und seinen Tugenden Gibt es in Glückszusammenhängen gleichsam so etwas wie Werkgerechtigkeit also die Verknüpfung unserer Handlungen, Verhalt"/>
        <s v="zu zentralen Unterscheidungen Mensch und Tier Abgrenzung des Menschen vom Tier in natürlicher Gestalt, Beschaffenheit, Erkenntniskraft, Sprache und Denken biologische, evolutionäre Anthropologie und Hirnforschung Prometheusmythos Mensch als Mängelwesen Be"/>
        <s v="in diesem Zusammenhang der gängigen Unterscheidung von Ethik als Reflexion und Begründung der Moral und Moral als Inbegriff von Überzeugungen, Werten und Normen in einer Gesellschaft, die sich auf das Verhalten der Menschen zueinander und zu der Natur bez"/>
        <s v="Die Schülerinnen und Schüler können die Natur als Lebensraum erfassen und unterschiedliche Formen des Umgangs des Menschen mit der Natur darstellen und deren Folgen abschätzen. Sie können Gründe für dieses Verhalten erläutern und dieses bewerten. Sie könn"/>
        <s v="aufmerksam darauf, dass sie mit Menschen zusammenleben, denen sie vertrauen und die ihnen vertrauen - Selbst- und Sozialkompetenz. erkennen, dass das Leben in solchen Verhältnissen berechtigte Erwartungen an das eigene Verhalten und an das Verhalten der a"/>
        <s v="mit Menschen zusammenleben, denen sie vertrauen und die ihnen vertrauen - Selbst- und Sozialkompetenz. erkennen, dass das Leben in solchen Verhältnissen berechtigte Erwartungen an das eigene Verhalten und an das Verhalten der anderen begründet - Selbstund"/>
        <s v="- Sachkompetenz. werden aufmerksam auf die Verantwortung, die sie tragen - Selbst- und Sozialkompetenz. erkennen Tier und Natur als Träger von Rechten - Sachkompetenz. verstehen, dass Verantwortlichkeit ein Grundwert im Verhalten des Menschen zur Natur is"/>
        <s v="Mensch unterscheiden der Bedeutung des Neugierverhaltens nachgehen mögliche Zusammenarbeit mit dem Fach Biologie Modelle des menschlichen und tierischen Gehirns vergleichen - Was lerne ich, um mit anderen vom auf das Verhalten zielenden Lernleben zu könne"/>
        <s v="Lernens wahrnehmen und einschätzen und auf die Vorstellungen vom eigenen Leben in der Zukunft Inhalte Methodische Hinweise voneinander und füreinander des Verhaltens von Säuglingen und Kleinkindern befragen, welchen Anteil angeborenes Verhalten hat - Habe"/>
        <s v="Wünschen entspresowie Fähigkeiten und Möglichkeiten chend zu gestalten des Lernens wahrnehmen und einschätzen und auf die Vorstellungen vom eigenen Leben in der Zukunft Inhalte Methodische Hinweise voneinander und füreinander des Verhaltens von Säuglingen"/>
        <s v="mit dem Fach Biologie Modelle des menschlichen und tierischen Gehirns vergleichen - Was lerne ich, um mit anderen vom auf das Verhalten zielenden Lernleben zu können begriff ausgehend, Einstellungen und Verhaltensweisen auf ihren Sinn hin betrachten Zielv"/>
        <s v="Haltungen sich selbst gegenüber. Die Schülerinnen und Schüler sollen Vertrauen in die eigenen Fähigkeiten und die Wirksamkeit des eigenen Handelns entwickeln. Sie sollen lernen, die eigenen Fähigkeiten realistisch einzuschätzen, ihr Verhalten zu reflektie"/>
        <s v="angemessener Weise zu lösen. Soziale Kompetenzen sind erforderlich, um mit anderen Menschen angemessen umgehen und zusammenarbeiten zu können. Dazu zählen die Fähigkeiten, erfolgreich zu kooperieren, sich in Konflikten konstruktiv zu verhalten sowie Toler"/>
        <s v="für Mensch und Umwelt erkennen und zur Überwindung soziokultureller und interessenbestimmter Barrieren in Kommunikation und Zusammenarbeit beitragen. Dabei kann Lernenden anhand des Modells nachhaltiger Entwicklung eine Orientierung für das eigene Verhalt"/>
        <s v="Kompetenzen Fachinterne Bezüge I WM Freiheit und Determination III PM Allgemeine Ethik III WM Gerechtigkeit IV PM Brücken in eine friedliche Zukunft bleibt zunächst leer Freiheit Determinanten des Handelns und Verhaltens Handlungsfreiheit und Willensfreih"/>
        <s v="der normativen Ethik auseinander. Diese nämlich hat im Gegensatz zur deskriptiven Ethik, die es bei der Beschreibung bestehender Wert- und Rechtsordnungen und deren Genese belässt, die dringliche Aufgabe, moralisch relevante Verhaltensweisen und Einstellu"/>
        <s v="zu lernen und selbstständig anzuwenden. Grundsätze Zeitrichtwerte Klassenstufe Lernbereich : Vom Nachdenken über die Welt Ustd. Lernbereich : Mythen und religiöse Geschichten Ustd. Lernbereich : Der Mensch und sein soziales Verhalten Ustd. Lernbereich : M"/>
        <s v="Wodan, Freyja und Donar, Adam und Eva, Kain und Abel, Turmbau zu Babel, Sintflut, Christophoruslegende Elisabeth von Thüringen regionale Bezüge Collage, Handpuppenspiel, Rollenspiel Lernbereich : Der Mensch und sein soziales Verhalten Ustd. Kennen verschi"/>
        <s v="des Häuptlings Seattle, Tierschutzabkommen, Umweltschutzorganisationen Einbeziehen aktueller gesellschaftlich relevanter Fragestellungen Collage Eine Welt, die mir gefällt Gespräch mit Förster, Landwirt BIO, Kl. , LB GEO, Kl. , LB Werteorientierung eigene"/>
        <s v="Bildung für nachhaltige Entwicklung Beurteilen fremdenfeindlicher Verhaltensweisen wirtschaftliche Hintergründe, mediale Einflüsse Einbeziehen von Darstellungen in digitalen und traditionellen Medien, Besprechen von Fallbeispielen Rollenspiel Sozialkompet"/>
        <s v="von Unsicherheiten, Verhalten aus Angst, Gruppenzwang Erscheinungsformen Ausgrenzung, Diskriminierung, Gewalt Erfahrungen aus dem Schulalltag Grenzen der Toleranz Bedeutung der Gleichgültigkeit in der Gesellschaft, Ignoranz im unmittelbaren Umfeld Intoler"/>
        <s v="Pro- und Kontra-Diskussion, Präsentationen Werteorientierung Medienbildung Wahlbereich : Werte und Normen Anwenden von Kenntnissen über Normen und Werte auf die individuelle Lern- und Leistungsbereitschaft Wertbegriffe, Betrachten von Wertkonflikten, Wert"/>
        <s v="- eine Zeit des Suchens Merkmale von Jugend: Anzweifeln von Autoritäten, Protest, Rebellion gegen Wertvorstellungen der Erwachsenen, Suche nach dem eigenen Ich, Bedeutung von Peergroups Straftaten in Verbindung mit Drogen, Verhalten als Mitwisser, Hilfsan"/>
        <s v="fördern die Identifikation mit der Schule, die Schaffung neuer Lernräume und die Öffnung der Schule in die Region. Toleranz, Transparenz, Verlässlichkeit sind handlungsleitende Prinzipien schulischer Arbeit. Regeln und Normen des Verhaltens in der Schule "/>
        <s v="insbesondere zum selbstständigen Lernen, funktionsbezogen auszuwählen, zu nutzen und selbst herzustellen. Sie erkennen bei sich selbst und anderen, dass Medien sowie das eigene mediale Handeln Einfluss auf Vorstellungen, Gefühle und Verhaltensweisen ausüb"/>
        <s v="Regeln notwendig bzw. sinnvoll Vermeidung von Konflikten durch Regeln Regeln im Schulalltag Pflichten und Rechte, Hausordnung, Schulkonferenz, Schülersprecher, Streitschlichter Pro- und Kontra-Diskussion W t i ti eigener Umgang mit Regeln Verhaltensweisen"/>
        <s v="Judentums und die Geschichte der Juden. Die Schüler reflektieren ihre Begegnungen mit verschiedenen Menschen und Personengruppen, insbesondere mit solchen, die ihnen fremd sind. Sie lernen, Vorurteile abzubauen und entwickeln angemessene Verhaltensweisen,"/>
        <s v="mit statistischem Material der Ausländerbehörden GS, ETH, Kl. , LB DE, Kl. , LB EN, Kl. /, LB Me and others Sozialkompetenz Mehrperspektivität Werteorientierung Bildung für nachhaltige Entwicklung Beurteilen fremdenfeindlicher Verhaltensweisen wirtschaftl"/>
        <s v="fairen Entwicklung des Weltmarktes, Schuldenentwicklung und -erlass Bezug zum eigenen Konsumverhalten Entwicklungshilfe, friedenssichernde Maßnahmen Internetrecherche Expertengespräch Bildung für nachhaltige Entwicklung Mehrperspektivität Wahlbereich : Ze"/>
        <s v="und Liebe, Zusammenhang von Körper, Seele und Geist, Spannungsbogen von Gemeinschaft und Individualität, von Festhalten und Loslassen interessendifferenzierende Gruppenarbeit Werteorientierung sexuelle Veranlagung Entwicklung sexueller Identität Anerkennu"/>
        <s v="Biographie Siddharta Gautamas Leben als Prinz, vier Ausfahrten, Weg zur Erleuchtung, Wanderschaft, Mönchsorden, Gleichnisse Bogen Kennen ausgewählter Elemente der buddhistischen Lehre und Ethik System eines Weges zur Aufhebung des Leidens, Verhaltensweise"/>
        <s v="dargestellt. Nach einem Mausklick auf das jeweilige Symbol werden die Verweise im Browser detaillierter dargestellt dies wird in der Abbildung nicht veranschaulicht: aus ihren Kenntnissen der Mechanik Regeln für sicheres Verhalten im Straßenverkehr ableit"/>
        <s v="dies wird in der Abbildung nicht veranschaulicht: aus ihren Kenntnissen der Mechanik Regeln für sicheres Verhalten im Straßenverkehr ableiten z. B. Sicherheitsgurte aus ihren Kenntnissen der Mechanik Regeln für sicheres Verhalten im Straßenverkehr ableite"/>
        <s v="Verhalten im Straßenverkehr ableiten z. B. Sicherheitsgurte aus ihren Kenntnissen der Mechanik Regeln für sicheres Verhalten im Straßenverkehr ableiten z. B. Sicherheitsgurte aus ihren Kenntnissen der Mechanik Regeln für sicheres Verhalten im Straßenverke"/>
        <s v="Verweise direkt unterhalb der jeweiligen Teilkompetenz dargestellt. Bei Verweisen auf andere Fächer ist zusätzlich das Fächerkürzel dargestellt im Beispiel T für Technik: aus ihren Kenntnissen der Mechanik Regeln für sicheres Verhalten im Straßenverkehr a"/>
        <s v="Fächerkürzel dargestellt im Beispiel T für Technik: aus ihren Kenntnissen der Mechanik Regeln für sicheres Verhalten im Straßenverkehr ableiten z. B. Sicherheitsgurte aus ihren Kenntnissen der Mechanik Regeln für sicheres Verhalten im Straßenverkehr ablei"/>
        <s v="oder Tierquälerei Gedankenexperiment: Stell dir vor, es kämen Außerirdische und wollten uns als Nutztiere verwenden Empathie und Perspektivwechsel Bildung für nachhaltige Entwicklung Wahlbereich : Wege zur Identität Sich positionieren zum Verhalten Jugend"/>
        <s v="Chance und Bedrohung Selbsterkenntnis, Eigenverantwortung, Neuanfang Hoffnungs- und Orientierungslosigkeit bei Verlust, Misserfolg, Krankheit Umgang mit Gewalt Werteorientierung Beurteilen von persönlichkeitsgefährdendem Krisenverhalten Entstehung von Abh"/>
        <s v="bei Verlust, Misserfolg, Krankheit Umgang mit Gewalt Werteorientierung Beurteilen von persönlichkeitsgefährdendem Krisenverhalten Entstehung von Abhängigkeiten: Drogensucht, Workaholics, Magersucht, Bulimie, Spielsucht, maßloses Verhalten Medien im Spannu"/>
        <s v="informatische Bildung Wahlbereich : Das Bewusste und das Unbewusste Kennen des Einflusses von Bewusstem und Unbewusstem auf das Handeln Handeln als reflektierte und willentliche Tätigkeit: Reflexion, Wille, Planung, Folgenabschätzung unwillkürliches Verha"/>
        <s v="Armut und Reichtum als relative Begriffe Menschliche Armut im materiellen Überfluss Wege aus der Armut durch Bildung Möglichkeiten der Freizeitgestaltung Empathie und Perspektivwechsel Übertragen der Kenntnisse auf persönliche Einstellungen und Verhaltens"/>
        <s v="Anzeichen für Fälschungen; Instrumente gezielter Beeinflussung in sozialen Netzwerken; Bedeutung der Werbe-Finanzierung medienethische Verantwortung von Produzenten, Konsumenten und weiteren Beteiligten, insbesondere Presse- und Berufskodizes von Journali"/>
        <s v="Umweltethik, z. B. der Begriff der Natur in den Natur- und Weltreligionen, in der Wissenschaft heute Klimaethik BTV BNE DRF zusätzlich für den Leistungskurs Vertiefung von Fragen der Vorhersagbarkeit menschlichen Verhaltens Determinismus, Indeterminismus,"/>
        <s v="Lebensfragen zu erhalten. entwickeln in der mehrperspektivischen Auseinandersetzung mit der Wesensbestimmung des Menschen ein differenziertes Verständnis von sich selbst und anderen. erkennen Einflüsse der evolutionären Herkunft des Menschen auf sein Verh"/>
        <s v="den übergreifenden Bildungs- und Erziehungszielen Das Fach Ethik steht in enger Verbindung mit vielen der fächer- und schulartübergreifenden Erziehungsziele. Werteerziehung Im Nachdenken etwa darüber, wie eigene Werthaltungen das Handeln und Verhalten bes"/>
        <s v="Liebe und Sexualität auseinander. vermeintlich typisch männliche bzw. typisch weibliche Eigenschaften und Vorstellungen, unterschiedliche Kommunikationsformen, Rollenverhalten der Geschlechter, Vorurteile gegenüber Homosexualität Sexualität und Rollenklis"/>
        <s v="und Normen zugrunde liegen z. B. Ehrlichkeit, Höflichkeit, Achtsamkeit, Geselligkeit vergleichen Regeln und Rituale in verschiedenen Kontexten. Schulregeln in verschiedenen kulturellen und historischen Kontexten Verhaltensregeln in verschiedenen Sportarte"/>
        <s v="und Diskursführen versammelt Kompetenzen, die zugleich Gegenstand des Unterrichts sind und die im Folgenden in einem Kompetenzraster entfaltet werden. In unserer Gesellschaft liegt Moral faktisch als gelebte Orientierung an bestehenden Verhaltens-Normen, "/>
        <s v="als Problem der Anthropologie interpretieren. Kommunizieren Die Schülerinnen und Schüler können das eigene vorreflexive Wirklichkeitsverständnis problematisieren die Implikationen und Konsequenzen eigener moralischer Wertungen problematisieren sich gegenü"/>
        <s v="moralischer Wertungen problematisieren sich gegenüber fremden moralischen Wertungen argumentativ verhalten eigene Ansprüche auf Selbstentfaltung ins Verhältnis setzen zu den Anforderungen der Gemeinschaft sich gegenüber fremden Vorstellungen von gemeinsch"/>
        <s v="fremden moralischen Wertungen argumentativ verhalten eigene Ansprüche auf Selbstentfaltung ins Verhältnis setzen zu den Anforderungen der Gemeinschaft sich gegenüber fremden Vorstellungen von gemeinschaftlichem Leben argumentativ verhalten sich argumentat"/>
        <s v="Wesen, Existenz und Essenz P. Bieri: bedingte und unbedingte Freiheit, Aneignung des Willens Sozialpsychologie: Konformität Acceptance, Compliance, Autorität u. a. MilgramExperiment, Bystander-Effekt Sozialisation, Status und Rolle als Bestimmungsgrößen f"/>
        <s v="Weltanschauungen und Religionen auseinander. Sie erwerben auf diese Weise im Lauf der Gymnasialzeit ein fundiertes Wissen über Bedingungen und Probleme des Zusammenlebens von Menschen, das es ihnen ermöglichen soll, fremdes Verhalten besser zu verstehen, "/>
        <s v="erwerben auf diese Weise im Lauf der Gymnasialzeit ein fundiertes Wissen über Bedingungen und Probleme des Zusammenlebens von Menschen, das es ihnen ermöglichen soll, fremdes Verhalten besser zu verstehen, eigenes Verhalten reflektiert einzuschätzen sowie"/>
        <s v="und adressatengerecht und reflektieren auch ihre Lernwege und die Ergebnisse ihrer Arbeit. Mit einer Unterrichtsgestaltung, in der Schülerinnen und Schüler das methodische Vorgehen bewusst und kritisch-konstruktiv diskutieren, werden Einstellungen und Ver"/>
        <s v="der Werteerziehung missverstanden, wenn er die Existenz eines Expertenwissens über das moralisch Richtige suggerierte, das von der Lehrkraft auf die Schülerinnen und Schüler übertragen werden und auf diese Weise ein Verhalten gemäß bestimmter moralischer "/>
        <s v="sie zurück: Zum einen prägen die speziellen Strukturen der einzelnen Medien die vermittelten Inhalte als spezielle Textart, Bilder, Film, zum anderen beeinflusst aber auch das Medium selbst unser Denken und Verhalten. Schülerinnen und Schüler machen diese"/>
        <s v="im Hinblick auf meine Zukunft tun Kann man sich selbst wirklich kennen Was sind soziale Rollen Wie wirken sie sich auf Menschen aus Müssen Mädchen/Jungen sich jeweils nach bestimmten Regeln verhalten Wie weit kann man auf Erwartungen anderer eingehen Wer "/>
        <s v="gemäß bestimmter moralischer Anforderungen einer Gesellschaft sichern könnte. Ethikunterricht kann und wird durch die besonders ausgeprägte Beschäftigung mit Werten, Einstellungen und Handlungsoptionen bei Schülerinnen und Schülern zur Prüfung des eigenen"/>
        <s v="eine aktive, reflektierte und autonome Entwicklung von persönlichen Positionen und Haltungen vorbereiten hilft, würde aber seinen vorrangigen Zielen wiederum widersprechen, wollte er diese - etwa als Forderung bestimmter Handlungen oder Verhaltensweisen -"/>
        <s v="Um diesen Lernprozess anzuregen, ist die Aufgabe der Reflexion für die Lernenden in diesem Kompetenzerwerbsprozess vielfältig. Will man sich zum eigenen Tun und Lassen sowie zu den Handlungen anderer Menschen verhalten, geschieht dies durch Wahrnehmen und"/>
        <s v="Kultur und Religion, ein solides Wissen über das Eigene, das die Angst vor dem Fremden zu überwinden hilft. Im nächsten Schritt in den Jahrgangsstufen / geht es darum, kulturell geprägtes Verhalten von Menschen zu verstehen und zu erklären. Angestrebt wir"/>
        <s v="Globalisierung, der Anwendung medizinisch-technischer Entwicklungen oder des Verbrauchs natürlicher Ressourcen, erfordern reflektiertes und verantwortungsbewusstes Bewerten und Handeln. Zu dessen Anbahnung trägt der Ethikunterricht bei, indem er das eigen"/>
        <s v="Verständigung unter den Schülerinnen und Schülern. Das Fach Ethik steht in enger Verbindung mit vielen der schulart- und fächerübergreifenden Erziehungsziele. Im Nachdenken etwa darüber, wie eigene Werthaltungen das Handeln und Verhalten bestimmen, erweis"/>
        <s v="steht oft die Frage nach einem moralisch vertretbaren Handeln. Die Schülerinnen und Schüler setzen sich darüber hinaus regelmäßig damit auseinander, welche Bedeutung bestimmte Normen und Werte für menschliche Haltungen und Verhaltensweisen haben. Und schl"/>
        <s v="Familienkonstellationen. nehmen die Anliegen und Bedürfnisse anderer Familienmitglieder wahr und berücksichtigen sie in ihren Handlungen. zeigen Einsicht in die Notwendigkeit von Regeln und Vereinbarungen innerhalb einer Familie und verfügen über Verhalte"/>
        <s v="herausarbeiten. Selbst- und Sozialkompetenz Der Schüler kann - seine Mitschüler in ihren Stärken und Schwächen einschätzen und individuelle Eigenarten akzeptieren, - eigene Bedürfnisse und Zielvorstellungen artikulieren, - darüber reflektieren, welches Ve"/>
        <s v="Anti-Abhängigkeitswerbung Sein: Ich Mensch sein Ethik / Bedürfnisse und Sucht inhaltsbezogene Kompetenzen methodisch-didaktische Hinweise Arten der Sucht Die Schülerinnen und Schüler erläutern die Grenze zwischen normalem und zwanghaftem bzw. abhängigem V"/>
        <s v="Die Schülerinnen und Schüler erläutern die Grenze zwischen normalem und zwanghaftem bzw. abhängigem Verhalten, vergleichen stoffgebundene und nicht stoffgebundene Süchte bzw. Abhängigkeiten bzgl. ihrer Folgen für die Abhängigen. Beurteilen des Verhaltens "/>
        <s v="über kulturelle Unterschiede hinweg, Untersuchen von Wortbildungen mit den Wortstämmen fremd und vertraut fremdeln, Fremdsprache/Muttersprache, sich trauen, Trauung etc. im Hinblick auf ihre emotionale Wertigkeit Beschreiben von Gefühlen und typischen Ver"/>
        <s v="der Tiersprache kennen lernen, Zusammenarbeit mit dem Fach Biologie Themenbereich II: Was soll ich tun Thema: Unterschiedliche Regelsysteme als Ausdruck sozialer Verbindlichkeiten Ziele: Die Schüler erfahren, dass durch Regeln das Verhalten der Menschen u"/>
        <s v="eine bestimmte Rollenspiel: Rolle spiele Geschlechterrollen thematisieren Wie verhalte ich mich in den einzelnen Rollen Tochter, Sohn, Freund, Schüler/ Schülerin, Freund/Freundin Ich-Identität Was macht mich unverwechselbar Fingerabdrücke vergleichen, Sit"/>
        <s v="Sach- und Methodenkompetenz, gewinnen daraus Kriterien für die Beurteilung von Erkenntnisansprüchen Selbst- und Sachkompetenz. Inhalte Hinweise zum Unterricht Wege philosophischen Denkens Was heißt Denken den Methodengedanken in der Wegmetapher Wie verhal"/>
        <s v="aufmerksam, dass Sterben und Tod Grenzen des menschlichen Daseins sind - Selbst- und Sachkompetenz, erfahren, wie Menschen verschiedener Kulturen sich zu Sterben, Tod und zu einem Sein nach dem Tod verhalten Selbst- und Sozialkompetenz Todesdarstellung in"/>
        <s v="Zeit auf eigenes Leben beziehen; Einheit von Zukunft, Gegenwart und Gewesenheit graphisch darstellen, Gedankenexperimente: Was wäre, wenn Vergangenes zurückholbar würde, Zukünftiges im voraus bekannt wäre, Gegenwart festgeschrieben werden könnte Wie verha"/>
        <s v="untersuchen; Mythos Frau untersuchen; Bedarf der Mensch der Tradition Bedeutung der Tradition für den künstlerischen Schaffensprozess an Beispielen prüfen Traditionslast-Traditionsverlust; Zusammenarbeit mit Kunst und Gestaltung, Musik, Deutsch, Religion,"/>
        <s v="moralische Überzeugungen und Darstellungsverstoßen weisen von Kunst überprüfen; Verschleiert Kunst die Wirklichkeit Wirklichkeit - Traum und Lügen anhand von TV-Serien überprüfen und diskutieren, ob die Darstellung einer heilen Welt das Verhalten korrumpi"/>
        <s v="Schüler erkennen, die Eigenart nachdenklichen Wahrnehmens und Handelns - Sachund Selbstkompetenz, erkennen in der Suspendierung von Handlungszwängen eine Bedingung des Denkens - Methoden- und Sachkompetenz, erfahren Denken als Bereicherung der Verhaltens-"/>
        <s v="Erziehung und/ oder Manipulation; Vorurteile und Fremdenhass auf ihre Begründbarkeit hin untersuchen; das Phänomen der Fremdheit, Was wäre, wenn all mein Handeln vorherGedankenexperiment einer durchgängigen bestimmt wäre kausalen Bestimmtheit menschlichen"/>
        <s v="kann. Demokratie- und Toleranz-Erziehung - Gewaltprävention Schule ist ein Mikro-Kosmos, der auch zum Ziel haben muss, Demokratie erlebbar zu machen. Zielleitende Fragen dabei sind: Wie lassen sich demokratische Denk- und Verhaltensweisen aufbauen bzw. ve"/>
        <s v="Was kann ich damit anfangen verschiedene Interessenlagen beschreiben, Gegenstände und Interessenlage mit denen Menschen Dinge beurteilen; Was sagt die ästhetische Gestaltung der Aussagekraft von Zimmereinrichtungen oder Umwelt über Personen aus Verhaltens"/>
        <s v="Ware Stilkunde Welcher Zusammenhang besteht zwiBegriff Stil bestimmen und Einflusskriterien schen Lebensstil und Lebensbedingung Charakter, Gesellschaftsschicht, Lebensstil und Epoche/ Zeitgeist feststellen und berücksichtigen; Worin liegt die Subjektivit"/>
        <s v="Verhaltensmuster in unterschiedlichen sozialen Rollen. Gehorsam, Pflicht, Loyalität, Respekt, Höflichkeit, Zuneigung, Liebe, Ausgrenzung, Akzeptanz, Toleranz, Verantwortung in den verschiedenen sozialen Kontexten soziale Rolle als Summe der von einer Pers"/>
        <s v="der Mensch, der nur das Gute erstrebt, zugrunde gehen muss, weil er inmitten von Menschen lebt, die nicht gut sind; daher muss ein Herrscher lernen, sich wie ein Fuchs zu verhalten, das heißt wie ein Meister, der die Kunst von Heuchelei und Verstellung be"/>
        <s v="Themenschwerpunkt : Was wei der Mensch von sich - Stunden Teilthemen Inhaltsaspekte TT .: Was unterscheidet den Menschen vom Tier Vernunft, Geist, Seele, Leib, Bewusstsein Sprache, Kommunikation, Zeichen, Daten Handeln, Verhalten, Instinkt, Widerfahrnis, "/>
        <s v="Lebenswelt und der Wissenschaften zentrale Bedeutung zukommt. Die Sicht des Menschen auf die Natur bestimmt weitgehend die Frage nach dem rechten Umgang mit ihr. Dabei wird auch heute noch sein Verhalten der Natur gegenber dadurch beeinflusst, wie in der "/>
        <s v="europischen Nationen Anthropologie Kulturphilosophie Sozialkunde Philosophie Themen Hinweise/Aspekte/Beispiele Themen Demokratisches Selbstverstndnis Historisch-ideengeschichtliche Beitrge Locke, Hobbes, Rousseau, Montesquieu, Madison Staats- und Rechtsph"/>
        <s v="der Antike Philosophie der Natur Geschichte der Philosophie Biologie Philosophie Themen Hinweise/Aspekte/Beispiele Themen ...kologie und Umweltschutz Umweltschutz Mensch und Biosphre Natur und Kultur Ethik Anthropologie Philosophie der Natur Informationsv"/>
        <s v="Menschen durch sein Verstndnis von Natur mitbedingt ist, lernen verschiedene Theorien ber das Verhltnis von Mensch und Natur kennen und lernen, sie zu vergleichen, erwerben die Fhigkeit, unterschiedliche Mglichkeiten des Verhaltens gegenber der Natur zu b"/>
        <s v="begrndet Woran orientiert sich menschliches Handeln Grundfragen der Was soll ich tun Was macht eine Handlung zu einer moralischen Handlung hilosophischen Ethik Wie rechtfertige ich mein Tun Wie werden Handlungen, Verhaltensweisen und Einstellungen moralis"/>
        <s v="sprachlichen Elemente und Formen moralischer Argumentationen und Stze und entwickelt Methoden zu ihrer Rechtfertigung. Ethik untersucht und begrndet also nicht nur, was sein soll, sondern berprft auch faktische Handlungs- und Verhaltensweisen daraufhin, w"/>
        <s v="Wrde, Toleranz Ethos, Eudaimonia, Hedone, Utilitt, Wert, Sinn kategorischer Imperativ, Kommunikations-Apriori universaler Geltungsanspruch, Rechtfertigung Themenschwerpunkt : Wie rechtfertige ich mein Tun - Stunden Teilthemen Inhaltsaspekte TT .: Wie werd"/>
        <s v="Verantworten Inhalte: Die Unausweichlichkeit, sich entscheiden zu müssen Beispiele aus dem Alltag; besondere Lebenssituationen, zB : Berufswahl, Partnerwahl, Wehrdienst - Wehrdienstverweigerung Faktoren menschlichen Handelns Unterschied zwischen Tier und "/>
        <s v="menschlichen Handelns Unterschied zwischen Tier und Mensch, zwischen Verhalten und Handeln; der Menschein bewußt handelndes Wesen oder ein von Gewohnheit bestimmtes Wesen Kräfte und Mächte, die menschliches Handeln in bloßes Verhalten umwandeln; Problem d"/>
        <s v="Kernthemen: a Der Einzelne und sein Mitmensch Inhalte: Der Mensch als soziales Wesen zB in Ehe und Familie, sozialen Gruppen, Staat Die personalen Beziehungen zwischen den Menschen z B solidarisches Verhalten, Kameradschaft, Freundschaft, liebe; Hörigkeit"/>
        <s v="lernen, Dinge, die ihm aufgrund ausreichender Sachinformation und gründlicher Überprüfung verändemngswürdig und veränderbar erscheinen, zu ändem, solche, bei denen er das für unmöglich hält, gelassen hinzunehmen Solche Grundhaltungen entsprechen wirklichk"/>
        <s v="es je in einem deutschen Staat gegeben hat Aufgabe des Ethikunterrichts ist es, sowohl denBlickfürdieweltweiteDurchsetzungvonFreiheit zu schärfen, als auch dafür Sorge zu tragen, daß bei der durchaus berechtigten Kritik am Verhalten der Konsum- und Wohlst"/>
        <s v="bei noch so vielen Mängeln - immer noch jeder anderen Form menschlicher Gemeinschaft vorzuziehen ist Die Anfälligkeit derJugendlichen für Ideologien zeigt, daß der Blick für diesen Sachverhalt getrübt ist Soziales Verhalten, rechten Gebrauch von Freiheit "/>
        <s v="sowie Achtung und Bereitschaft zum Zuhören Erziehung und Zusammenleben nicht möglich sind, gilt auch fü die Autorität des Staates. Im sozialen Rechtsstaat muß ein Grundbestand verbindlich anerkannter Regeln für menschliches Verhalten garantiert werden Der"/>
        <s v="großes Verantwortungsbewußtsein. Bei Einbeziehung aller psychologischen, sozialen und juristischen Gesichtspunkte ist Strafvollzug grundsätzlich auf Resozialisierung hingeordnet. Lernziele: Zu a: Grundkonsens als Bedingung menschlichen Zusammenlebens L Ei"/>
        <s v="Voraussetzung zur Entwicklung eines positiven Selbstkonzepts. Auf dieser Grundlage entwickeln sich ein positives Selbstwertgefühl und Selbstvertrauen. Zur personalen Kompetenz gehören ebenfalls Aspekte der Selbstregulierung wie die Fähigkeit, sich situati"/>
        <s v="Entscheidungs- und Handlungssituationen erkennen und argumentativ darlegen, die Konsequenzen eigenen und fremden Handelns und Unterlassen beschreiben und bewerten, Entscheidungsspielräume für eigenes Handeln erkennen und im schulischen Umfeld erproben, ku"/>
        <s v="größere Gemeinschaften, Gesellschaften wahr. Sie versetzen sich in die Lage anderer Empathie, Perspektivenübernahme, erfassen und reflektieren den Stellenwert ihres eigenen Handelns. Rücksichtnahme und Solidarität: Die Lernenden respektieren die Meinungen"/>
        <s v="von Fremdbestimmung und Selbstbestimmung im eigenen Leben bestimmen Denken in Gegensätzen sich über den Stellenwert von Konsum und Verzicht in einem gelingenden Leben verständigen Kreatives Denken Alternativen zu einem konsumbestimmten Verhalten entwerfen"/>
        <s v="Wandel von Berufsbildern im Zeitalter der digitalen Revolution verpflichtende Kompetenzen für den Schuljahrgang Kompetenzschwerpunkt Verantwortung: Individuelle Verantwortung in sozialen Zusammenhängen individuelle Verantwortung in sozialen Zusammenhängen"/>
        <s v="Entscheidungs- und Handlungssituationen erkennen und argumentativ darlegen, die Konsequenzen eigenen und fremden Handelns und Unterlassens beschreiben und bewerten, Entscheidungsspielräume für eigenes Handeln erkennen und im schulischen Umfeld erproben, k"/>
        <s v="werden. Grundlegendes Ziel ist ein sensibler Umgang mit Vielfalt und der Erwerb moralischer Urteilsfähigkeit, verstanden als Fähigkeit, gesellschaftlich vermittelte Probleme und Herausforderungen wahrzunehmen und in einer gegebenen Situation nach angemess"/>
        <s v="Wissenschaft Zusätzlich im erhöhten Anforderungsniveau: Big Data, Simulationen, Modelle und ihre Anwendungen digitale Ethik Beitrag zur Leitperspektive W: Die Schülerinnen und Schüler reflektieren Charakteristika einer Zukunftsforschung und Werte, die das"/>
        <s v="entwickeln begründet Verantwortung für Mensch und Natur. Grundlegendes Ziel ist der Erwerb moralischer Urteilsfähigkeit, verstanden als Fähigkeit, gesellschaftlich vermittelte Probleme und Herausforderungen wahrzunehmen und in einer gegebenen Situation na"/>
        <s v="Transhumanismus Möglichkeiten und Grenzen der Optimierung des Menschen Beitrag zur Leitperspektive W: Die Schülerinnen und Schüler reflektieren das Verhältnis von Technologie und Ethik sowie ihr Verständnis grundlegender Werte, Einstellungen und Verhalten"/>
        <s v="Menschen für ein instinktgeleitetes Tier oder für ein vernunftbegabtes Wesen hält, für einen Egoisten oder ein Gemeinschaftswesen, für eine Schöpfung Gottes oder ein genetisches Zufallsprodukt, hat Auswirkungen auf das eigene Verhalten und Urteilen und au"/>
        <s v="in moralisch relevanten Handlungssituationen Wie rechtfertige ich anderen gegenüber moralisch relevante Handlungen Welche moralisch anerkannten Grundlagen gibt es in verschiedenen Gesellschaften Welche ethischen Probleme sollten gesellschaftlich gelöst we"/>
        <s v="und selbstbestimmt und verantwortungsvoll handeln können. Somit trägt der Ethikunterricht dazu bei, dass die Schülerinnen und Schüler sich in Konfliktsituationen mit den Beteiligten über den Sinn und moralischen Wert von Verhaltensweisen und unterschiedli"/>
        <s v="Aussagen eines Textes in ihrem argumentationslogischen Zusammenhang erläutern die Darstellung von Problemen und Konflikten in medialen Kontexten als Konstruktionen kritisch deuten den Einfluss von Medien auf unsere Wahrnehmung, Wertvorstellungen und Verha"/>
        <s v="Werte und Überzeugungen nachgedacht wird. Bei der Betrachtung aus der gesellschaftlichen Perspektive wird die Relevanz des Themas für das Zusammenleben und den gesellschaftlichen Zusammenhalt untersucht. Ebenso werden individuelle Einstellungen und Verhal"/>
        <s v="Inhalt Vorwort Zum Umgang mit dem Lehrplan Themenfelder Hauptphase der gymnasialen Oberstufe Kompetenzerwartungen Anhang Vorwort In unserer Gesellschaft liegen Moral und Glück bzw. Sinn faktisch als gelebte Orientierung an bestehenden Verhaltens-Normen un"/>
        <s v="Verantwortlichkeit sehen und Verantwortung für sich und andere übernehmen, die Konsequenzen eigenen Handelns und Unterlassens beschreiben und bewerten, Entscheidungsspielräume für eigenes Handeln erkennen und im schulischen Umfeld erproben, kulturell gepr"/>
        <s v="biologisches Mängelwesen, das diese biologischen Mängel durch seine geistigen Fähigkeiten ausgleicht, anhand des Textes Der Mensch als Mängelwesen und Prometheus von Arnold Gehlen Unterscheiden von Instinkt und Trieb Gegenüberstellung: tierisches Verhalte"/>
        <s v="z. B. einen Zahlenwert, um daran ihre Einschätzung, z. B. bzgl. der Angemessenheit eines Preises, zu orientieren o Framing: Unterschiedliche Formulierung einer Botschaft - bei gleichem Inhalt - beeinflussen das Verhalten o Priming: Aktivierung einer Erinn"/>
        <s v="Inhalt Vorwort Zum Umgang mit dem Lehrplan Themenfelder Einführungsphase der gymnasialen Oberstufe Kompetenzerwartungen Anhang Vorwort In unserer Gesellschaft liegen Moral und Glück bzw. Sinn faktisch als gelebte Orientierung an bestehenden Verhaltens-Nor"/>
        <s v="Frieden. Inhalte zu den Kompetenzen: Krieg in Filmen und Computerspielen, Heldentum, Ruhm; Erfahrungsberichte von Betroffenen in realen Kriegen gewaltfreie Kommunikation nach M. B. Rosenberg und Metakommunikation Ursachen und Wahrnehmung aggressiver Verha"/>
        <s v="leben Kinder in diesem Alter in bestimmten Vorstellungen von sich, von anderen, von ihrer Stellung in der Welt und von der sie umgebenden Wirklichkeit. Sie drücken diese Vorstellungen in ihrem Verhalten aus, sie fassen sie in Bilder, Erzählungen und Begri"/>
        <s v="wahr oder falsch sein können. Sie streiten darum, wer Recht hat und was richtig ist. Dies kann sich auf eigene und fremde Einsichten und Erkenntnisse beziehen, aber auch auf ihr Verhalten zueinander und zu den Gemeinschaften und Einrichtungen, in denen si"/>
        <s v="dem Menschen eigenes Bedürfnis zu deuten Festigkeit und Verlässlichkeit von Vertrauensverhältnissen als Basis für gelingendes Zusammenleben wahrzunehmen und die konstitutive Funktion gegenseitigen Vertrauens als notwendig zu begründen Konsequenzen für das"/>
        <s v="Kompetenzen Exemplarische Lerninhalte Die Schülerinnen und Schüler erwerben oder erweitern die Fähigkeit, ihr eigenes Selbst- und Wunschbild differenziert zu beschreiben das Selbstbild als Ausgangspunkt für das eigene Denken, Fühlen und Verhalten zu deute"/>
        <s v="Handlungen ebenso frei wie auf unterschiedliche Weise gebunden. Auf dieser Basis sind die Bedingungen und Möglichkeiten freien Handelns zu analysieren; ebenso ist zu fragen, inwiefern sich eine Handlung von bloßem Sich-Verhalten unterscheidet. Um die Mögl"/>
        <s v="Freundschaft zu formulieren und zusammenzufassen den Begriff Freundschaft im umgangssprachlichen Sinne zu überprüfen und eine tragbare Begriffsbestimmung zu erarbeiten Freundschaft als Bedürfnis des Menschen Konstitutive Bedingungen für Freundschaften Mög"/>
        <s v="Themenbereich naturalistischer kompatibilistischer Theorien in der neueren Determinismusdiskussion vertieft behandelt werden. Themenbezogene Kompetenzen Exemplarische Lerninhalte Die Schülerinnen und Schüler erwerben oder erweitern die Fähigkeit, intentio"/>
        <s v="Gefühlen und Handlungsimpulsen wesentliche Begründungsansätze für den Umweltschutz, Konzept der Nachhaltigkeit eine Methode der Fallanalyse Zusammenhänge zwischen modernen Lebensgewohnheiten und Umweltproblemen regional und global, z. B. Plastikgebrauch, "/>
        <s v="Mausklick auf das jeweilige Symbol werden die Verweise im Browser -detaillierter dargestellt dies wird in der Abbildung nicht veranschaulicht: sowohl individuelle als auch gesellschaftliche Dilemmasituationen Gefangenendilemma, Trittbrettfahrersituation e"/>
        <s v="der jeweiligen Teilkompetenz dargestellt. Bei Verweisen auf andere Fächer ist zusätzlich das Fächerkürzel dargestellt im Beispiel ETH für Ethik: sowohl individuelle als auch gesellschaftliche Dilemmasituationen Gefangenendilemma, Trittbrettfahrersituation"/>
        <s v="aber eine gekonnte. Sie verstehen ihr Mundwerk. Ihre dreiste Frechheit, ihr Schnodder-Ton, ihre schlagfertige Unverschämtheit, ihre Selbstironie, ihr harmloser Witz sind entwaffnend. Ein Gentleman auf der Leinwand ist über ihr Verhalten empört. Doch Ringo"/>
        <s v="Republikaner die Bedeutung der Weltwirtschaftskrise und der untauglichen Krisenpolitik Brünings, die immer mehr Wähler in die Arme der radikalen republikfeindlichen Parteien trieb der Aufstieg der NSDAP, ihre Wahlerfolge seit das Verhalten bestimmter Elit"/>
        <s v="Gegner aber sogar noch als Augenweide verlangt, um ihn sich lieber aus nächster Nähe noch gründlich anzuschauen, den er von ferne hat töten lassen wollen - ein um so hartherzigeres Verhalten, wenn er dessen Tod nicht gewollt hat. Tertullian: De spectaculi"/>
        <s v="Zivilisationsparadoxon: Einerseits gäben sich die Römer kultiviert, andererseits hätten eben diese Römer im Amphitheater Freude und Vergnügen bei grausamsten Schauspielen mit tödlichem Ausgang. In einer theologischen Argumentation stellt Tertullian das Ve"/>
        <s v="ausgeführt würden. Sobald diese Kampfregeln aber nicht mehr eingehalten würden, entarteten diese Kämpfe zu einem brutalen Abschlachten, das ausschließlich der Unterhaltung der Massen diene. Derartige Aufführungen förderten grausame und unmenschliche Verha"/>
        <s v="eines inklusiven Schulsystems umgesetzt, die Lernenden sowie Lehrkräfte entlasten. Dazu werden neben dem Unterricht in Regelklassen, eigene Lerngruppen für Lernende mit starken Auffälligkeiten in den Bereichen Sprache oder Lernen oder Verhalten gebildet. "/>
        <s v="und bei der Entfaltung der eigenen sexuellen Identität hilfreich sein. Ziel sexualpädagogischen Handelns sollte es sein, den Kindern und Jugendlichen einen positiven Zugang zur menschlichen Sexualität zu vermitteln, ein verantwortliches Verhalten im Sinne"/>
        <s v="Wohnumfeld. Sie lernen, sich im Straßenverkehr z. B. zu Fuß, mit dem Fahrrad, mit motorisierten Fahrzeugen oder als Mitfahrende in privaten und öffentlichen Verkehrsmitteln umsichtig und sicherheits- und gefahrenbewusst zu verhalten. Sie erweitern ihre mo"/>
        <s v="der Erinnerungskultur diskutieren Beispiele für Opposition und Widerstand: politisch KPD, SPD, militärisch Kreisauer Kreis, Attentat vom Juli , religiös Bekennende Kirche, gesellschaftlich Swing-Jugend, Weiße Rose Vertiefung, z. B.: Stufen abweichenden Ve"/>
        <s v="Weltgesellschaft von uns fordern. Globalgeschichtliche Perspektiven fördern ein Tiefenverständnis für die Entwicklung weltweiter ökonomischer und politischer Strukturen. Sie schaffen einen Zugang zur historischen Dimension der Globalisierung und ermöglich"/>
        <s v="vor, z. B. temporal, kausal, konsekutiv erweitern ihr Spektrum verfügbarer logischer Verknüpfungen zwischen historischen Sachverhalten, z. B. konditional, konzessiv, final, modal, ... nehmen komplexe logische Verkn fungen zwischen historischen Sac verhalt"/>
        <s v="Dabei geht es vor allem um veränderte Betrachtungsweisen von historischen Prozessen. So wird u. a. der Beitrag von Frauen und Männern an der Geschichte in den Blick gerückt, um geschlechtsstereotype Verhaltensweisen und deren Bedingungsfaktoren zu hinterf"/>
        <s v="die Erkenntnisgewinnung, auf die in diesem Fachlehrplan großer Wert gelegt wurde. Solch ein Ansatz erfordert eine Unterrichtsgestaltung, in der eigene Lernwege bewusst und kritisch-konstruktiv reflektiert werden. So können Einstellungen und Verhaltensweis"/>
        <s v="besonderer Weise zur Wertevermittlung bei, indem er in seinem Vollzug grundlegende Werte und Normen erlebbar macht: Das Tolerieren abweichender Meinungen, den Umgang mit Konflikten im gewaltfreien Diskurs, das Einüben demokratischer Verhaltensweisen. Darü"/>
        <s v="uns fordern. Globalgeschichtliche Perspektiven fördern ein Tiefenverständnis für die Entwicklung weltweiter ökonomischer und politischer Strukturen. Sie schaffen einen Zugang zur historischen und zukünftigen Dimension der Globalisierung. Sie ermöglichen E"/>
        <s v="Sachverhalte und Fälle mit Entscheidungscharakter auf der Grundlage von Pro- und Kontra-Argumenten UK , setzen sich mit dem Prozess ihrer Urteilsbildung auseinander UK , bewerten unterschiedliche Handlungsweisen sowie ihr eigenes Verhalten hinsichtlich da"/>
        <s v="der Katastrophenvorsorge bei Naturrisiken, beurteilen Lösungsstrategien zur Verlangsamung der globalen Erwärmung und zur Sicherung und Finanzierbarkeit der Energieversorgung, erörtern auf lokaler Ebene Vorsorgemaßnahmen vor Extremwetterereignissen, erörte"/>
        <s v="Potenzial für die Nutzung durch den Menschen, aber auch in ihrer Gefährdung für und durch den Menschen. Eine besondere Berücksichtigung findet der anthropogen verursachte Klimawandel. Die Kenntnis der Klimawirksamkeit bestimmter Verhaltensweisen und Maßna"/>
        <s v="Identität darstellen. Entwickeln der Fähigkeit und Bereitschaft, humane und rationale Überzeugungen zu vertreten und die freiheitlich-demokratische Grundordnung mitzugestalten Die Schüler lehnen Missbrauch staatlicher Gewalt ab und wirken menschenverachte"/>
        <s v="haben. Entwickeln der Fähigkeit und Bereitschaft, humane und rationale Überzeugungen zu vertreten und die freiheitlich-demokratische Grundordnung mitzugestalten Die Schüler lehnen den Missbrauch staatlicher Gewalt ab und wirken menschenverachtenden Einste"/>
        <s v="zu nutzen, Zeitzeugenbefragungen durchzuführen und die mit mündlichen Geschichtsquellen verbundene Problematik zu beurteilen, unterschiedliche theoretische Ansätze der Fachwissenschaft zur Erkenntnisgewinnung auszuwerten, historische Frage- und Problemste"/>
        <s v="vom Lernalter sind diese ganz konkreter Natur Weshalb fügen sich Sklaven im alten Ägypten ihrem harten Schicksal oder umfassender und grundsätzlicher Lassen sich aus der Weltwirtschaftskrise nützliche Erkenntnisse für gegenwärtiges Verhalten ziehen. Orien"/>
        <s v="von Kultur und Künsten. Sie schätzen diese als Bereicherung des gesellschaftlichen Lebens. Interkulturelle Bildung Medienbildung/Digitale Bildung Interkulturelle Bildung ermöglicht über die Auseinandersetzung mit kulturspezifischen Charakteristika und dur"/>
        <s v="ihrer eigenen Erziehung, Bildung oder Kultur zu hinterfragen. beurteilen historische Jugend- und Erziehungskulturen, indem sie z. B. Leitbilder, die einer Epoche oder einer jugendlichen Gegenkultur zugrunde liegen, überprüfen sowie genderspezifische Verha"/>
        <s v="beschreibende und wertende Aussagen unterscheiden, Lösungswege entwickeln und diese auf die Standortgebundenheit des Verfassers bzw. der Autoren hinterfragen, kontroverse Sichtweisen zu einem Thema erkennen und eine eigene Meinung vertreten, interessengeb"/>
        <s v="einer vorläufigen Bilanz muss er sich selbst fragen, welche Rolle und welche Haltung er einnehmen will und kann, wie er sich gemäß einer realistischen Einschätzung der eigenen Ressourcen und Handlungsspielräume verhalten möchte. Über Unterricht und Schule"/>
        <s v="Lebenslagen, Verstädterung LF III. Städtische Lebenswelten n SK: Rolle der Frau, des Mannes, Regenbogenfamilien LF I. Familie in Gesellschaft und Staat n EK: Rolle der Frau in verschiedenen Ländern, generatives Verhalten LF III. Bevölkerungsentwicklung n "/>
        <s v="Raumplanung n EK: Ursachen und Folgen von Migration, Lebenslagen, Verstädterung LF III. Städtische Lebenswelten n SK: Vielfalt familiärer Lebensformen, Familienpolitik LF I. Familie in Gesellschaft und Staat n EK: generatives Verhalten LF III. Bevölkerung"/>
        <s v="Frauen vergleichen K n Spuren deutscher Kolonialherrschaft Namibia, Ruanda suchen und erforschen M n Kunst und Mode als Spiegelbild gesellschaftlicher Entwicklung beschreiben und vergleichen M, U n Die Einordnung kirchlichen Verhaltens zwischen Anpassung "/>
        <s v="Opfer n Umgang mit Fremdem Die Lernenden erwerben Fachkompetenz: Sie stellen durch die Auseinandersetzung mit Lebenssituationen in der Zeit der Weimarer Republik und im Nationalsozialismus Gegenwartsbezüge her. Methodenkompetenz: Sie analysieren Verhalten"/>
        <s v="und in der Diktatur und bewerten diese M. Kommunikationskompetenz: Sie untersuchen die Lebensbedingungen in unterschiedlichen Gesellschaftsformen und präsentieren ihre Ergebnisse mediengestützt K/. Urteilskompetenz: Sie unterscheiden bei ihrer Beurteilung"/>
        <s v="- Demokratie - Sozialismus Nationalsozialismus - Weltdeutungen Stundenansatz: / Grundbegriffe Sendungsbewusstsein, Rassenlehre, Widerstand Basis: n Kennzeichen einer Ideologie n Begründungen und Träger von Ideologien n Auswirkungen von Ideologien auf die "/>
        <s v="die eine Orientierung in Gegenwart und Zukunft ermöglichen. Orientierungskompetenz verhilft auch dazu, sich kritisch reflektierend gegenüber der Funktionalisierung von Geschichte durch Politik sowie gegenüber Angeboten einer breit gefächerten Geschichtsku"/>
        <s v="Zusammenleben auf der Basis der Menschenwürde und unserer gemeinsamen demokratischen Werte, insbesondere der Grund- und Menschenrechte. Interkulturelle Bildung ermöglicht über die Auseinandersetzung mit kulturspezifischen Charakteristika und durch die Ent"/>
        <s v="Lernwege und die Ergebnisse ihrer Arbeit. Solch ein Ansatz erfordert eine Unterrichtsgestaltung, in der eigene Lernwege bewusst und kritisch-konstruktiv zum Gegenstand der Diskussion werden. Auf diese Weise werden Einstellungen und Verhaltensweisen geförd"/>
        <s v="für Stoffe. Basiskonzepte der Physik Materie Die Schülerinnen und Schüler F beschreiben grundlegende Merkmale eines Körpers. Wechselwirkung F beschreiben die grundlegenden Phänomene des Magnetismus. Inhalte Kompetenzerwartungen Die Schülerinnen und Schüle"/>
        <s v="Beziehung zum Körperbau, Atmung o beschreiben die Art der Atmung, Ernährung o beschreiben die Ernährungsweise und setzen sie in Beziehung zu körperlichen Merkmalen z. B. Gebiss, Zahntypen, o beschreiben das Verhalten beim Nahrungserwerb, Sinnesorgane o se"/>
        <s v="Lebensweise, Inhalte Kompetenzerwartungen Kommunikation o nennen verschiedene Formen der Verständigung zwischen Tieren sowie zwischen Tieren und Menschen und deuten diese, Fortpflanzung o beschreiben die Form der Fortpflanzung, o beschreiben das Verhalten"/>
        <s v="Pubertät, geben an, dass die Entwicklung individuell unterschiedlich verläuft, unterscheiden zwischen primären und sekundären Geschlechtsmerkmalen, beschreiben die psychischen Veränderungen, die während der Pubertät auftreten und deren Folgen, kommunizier"/>
        <s v="Anwendung und geben ihre Sicherheit an, kommunizieren über die Vereinbarkeit von Familie und Beruf sowie ihre Zukunftsvorstellungen Inhalte Kompetenzerwartungen beschreiben Formen des Zusammenlebens von Eltern und Kindern, Sexualität deuten veränderte Ver"/>
        <s v="Tieren oder Samenpflanzen, beschreiben die Fortpflanzung bei Tieren und Samenpflanzen, nutzen Messvorschriften, entwickeln Messvorschriften z. B. Reaktionsgeschwindigkeit, Körpertemperatur, Körpergewicht, Baumhöhe, Volumen eines Kiesels, nennen eigene Han"/>
        <s v="Samenpflanzen, nutzen Messvorschriften, entwickeln Messvorschriften z. B. Reaktionsgeschwindigkeit, Körpertemperatur, Körpergewicht, Baumhöhe, Volumen eines Kiesels, nennen eigene Handlungsmöglichkeiten für nachhaltiges und gesundheitsbewusstes Verhalten "/>
        <s v="unterschiedliche Lautstärken und Tonhöhen einfachen Schwingungsbildern zu, beschreiben Schallausbreitung mithilfe eines einfachen Teilchenmodells, nennen das Gehirn als Ort, in dem Wahrnehmung entsteht. beschreiben, dass Wahrnehmung im Gehirn entsteht und"/>
        <s v="Fachbegriffe die Art, die Beobachtung, die Beschreibung, die Bewegung, das Embryo, die Entwicklung, die Erklärung, das Experiment, die Reizbarkeit, das Skelett, der Stoffwechsel, die Umwelt, die Variable, die Vererbung, das Verhalten, die Vermutung, das W"/>
        <s v="wobei das Basiskonzept Wechselwirkung zur Anwendung kommt. Kompetenzen Fachbegriffe die Amplitude, die Frequenz, die Hypothese, der Lichtstrahl, das Modell, die Ordnung, die Reaktion, die Schwingung, das Sinnesorgan, der Vergleich, das Verhalten, die Well"/>
        <s v="und Umweltverhalten sowohl fachliche Grundlagen, als auch lebenspraktische Fertigkeiten angebahnt. Anforderungen des Alltags werden unter ökonomischen, aber vor allem auch unter ökologischen und gesundheitsrelevanten Kriterien betrachtet und führen zu nac"/>
        <s v="Laborgeräte, deren Bezeichnungen und sachgerechte Verwendung z. B. Reagenzglas, Petrischale, Erlenmeyerkolben, Präparierwanne, Präparierbesteck einfache Messgeräte, deren Bezeichnungen und sachgerechte Verwendung z. B. Thermometer, Meterstab, Stoppuhr, Wa"/>
        <s v="Beispiele z. B. vollkommene Verwandlung bei Amphibien, Entwicklung eines Kükens zu beschreiben. beobachten Beispiele innerartlicher und zwischenartlicher Kommunikation bei Wirbeltieren - auch am Original - und zeigen die Bedeutung von Verhalten z. B. Sozi"/>
        <s v="Wirbeltieren unter verschiedenen Aspekten z. B. Fortbewegung, Körperoberfläche, Temperaturregulation, Atmung, Reproduktion, Überwinterungsstrategien Vergleich mit Strukturen und Funktionen technischer Entwicklungen, Bionik z. B. Körperformen, Flügel Fortp"/>
        <s v="in die Natur und den sich dadurch verändernden abiotischen Faktoren her. Aus den damit verbundenen Auswirkungen auf die Lebensgemeinschaft entwickeln sie Schutzmaßnahmen oder vollziehen diese nach und reflektieren ihr eigenes Verhalten. Inhalte zu den Kom"/>
        <s v="abiotische Faktoren im Überblick, Zusammenwirken, ggf. jahreszeitliche Veränderungen; Biozönose: kennzeichnende Tier- und Pflanzenarten, Angepasstheiten, ökologische Nische, Zeigerorganismen; Insekten als wichtiger Bestandteil einer Lebensgemeinschaft: Gr"/>
        <s v="Beschreibungen. Dadurch kennzeichnen sie Angepasstheiten und zeigen gleichzeitig auf, wie Lebewesen in einem Ökosystem vergesellschaftet sind. beschreiben Angepasstheiten von Insekten an das Leben im Ökosystem, der Entwicklung sowie ggf. des Verhaltens. D"/>
        <s v="B. Weinherstellung; Rolle als Destruenten in Stoffkreisläufen, ggf. Darmflora Kompetenzerwartungen Die Schülerinnen und Schüler ... stellen verschiedene Formen der äußeren Abwehr des Körpers dar und erkennen dadurch die Bedeutung gesundheitsbewussten Verh"/>
        <s v="Natur. Ein besonderes Augenmerk des Biologieunterrichts liegt auf der aktiven Gesundheitsvorsorge. Aus den Kenntnissen von Bau und Funktion des eigenen Körpers leiten die Schülerinnen und Schüler Maßnahmen zur Vermeidung gesundheitsgefährdender Verhaltens"/>
        <s v="Basis der Gesundheitsprävention. Alltagsbezogener und sinnstiftender Unterricht trägt zur Persönlichkeitsstärkung der Schülerinnen und Schüler bei. So bewältigen sie die Anforderungen des Alltags. Sie erkennen, dass ihre Zufriedenheit nicht von bestimmten"/>
        <s v="Entscheidungen; B reflektieren Folgen von Entscheidungen für die Natur, das Individuum und die Gesellschaft; B reflektieren den Prozess der Bewertung in Bezug auf das Ergebnis und das Verfahren; B bewerten Verhaltensweisen zur Erhaltung der eigenen Gesund"/>
        <s v="Zahlreiche Themen geben Anlass, Sachverhalte unter biologischen und außerfachlichen Gesichtspunkten zu bewerten. Die Schülerinnen und Schüler bewerten die gesellschaftlichen Auswirkungen menschlichen Handelns und werden dadurch in die Lage versetzt, ihr V"/>
        <s v="zwischen genetischem Material, Genprodukten und Merkmal: Genmutationen Genetik menschlicher Erkrankungen: Familienstammbäume, Gentest und Beratung, Gentherapie Entstehung und Entwicklung des Lebens Synthetische Evolutionstheorie: Mutation, Rekombination, "/>
        <s v="Genetik menschlicher Erkrankungen: Familienstammbäume, Gentest und Beratung, Gentherapie Krebs: Krebszellen, Onkogene und Anti-Onkogene, personalisierte Medizin Entstehung und Entwicklung des Lebens Synthetische Evolutionstheorie: Mutation, Rekombination,"/>
        <s v="in variablen Situationen erfolgreich und verantwortungsvoll genutzt werden können. Sie sind Grundlage für die Befähigung, sich in beruflichen, gesellschaftlichen und privaten Situationen sachgerecht durchdacht sowie individuell und sozial verantwortlich z"/>
        <s v="Hypophyse, Hoden, Eierstöcke Ablauf des Menstruationszyklus - Grundzüge der vorgeburtlichen Entwicklung Zygote, Embryo, Fetus beschreiben und Maßnahmen zur Gesunderhaltung der Schwangeren sowie des ungeborenen Kindes ableiten - Sexualität als natürliches "/>
        <s v="erfolgt in geeigneten Lernsituationen: Die Lernenden können - individuell und in kooperativen Lernformen arbeiten und in diesem Kontext Lernziele formulieren und ihre Lernergebnisse einschätzen Verhaltensregeln festlegen bzw. einhalten und das Verhalten r"/>
        <s v="Die Lernenden können - individuell und in kooperativen Lernformen arbeiten und in diesem Kontext Lernziele formulieren, Lernprozesse strukturieren, ihre Lernergebnisse einschätzen bzw. Schlussfolgerungen ziehen Verhaltensregeln festlegen und einhalten sow"/>
        <s v="allem hinsichtlich ihrer Zuverlässigkeit sachkritisch zu prüfen Sachverhalte zu bewerten sich einen eigenen Standpunkt zu bilden und diesen begründet zu vertreten verantwortungsvoll zu entscheiden bzw. zu handeln sowie Entscheidungen und Verhalten kritisc"/>
        <s v="Lymphe beschreiben - die Regulierung des Blutzuckerspiegels erläutern Regelkreis, Zusammenspiel von Insulin und Glukagon - Maßnahmen zur Gesunderhaltung erläutern: bedarfsangepasste z. B. bzgl. Alter, Aktivität Ernährung ballaststoffreiche Ernährung Präve"/>
        <s v="Entscheidungen reflektieren, B Folgen von Entscheidungen für die Natur, das Individuum und die Gesellschaft reflektieren B den Prozess der Bewertung in Bezug auf das Ergebnis und das Verfahren reflektieren B Verhaltensweisen zur Erhaltung der eigenen Gesu"/>
        <s v="Gruppen einteilen - Ernährung, Atmung, Fortpflanzung und Entwicklung erläutern - den Zusammenhang zwischen Körperbau, Angepasstheit an ihren Lebensraum und Schutzmaßnahmen am Beispiel von Wirbeltieren und Samenpflanzen ableiten - Maßnahmen bzw. Verhaltens"/>
        <s v="und geistigem Eigentum kennen und berücksichtigen, Diskussionen, Foren, Teamarbeit u. a. sachkritisch durchführen. Kompetenzbereich Bewerten Auf der Grundlage solider Fachkenntnisse entwickeln Schülerinnen und Schüler ein Wissensnetz, das sie befähigt, da"/>
        <s v="Massentierhaltung herstellen und ethische Fragestellungen mithilfe digitaler Medien diskutieren Grundlegende Wissensbestände - Kennzeichen von Lebewesen: Stoffwechsel, Bewegung, Reizbarkeit, Wachstum, Fortpflanzung und Entwicklung - Bestimmen von Lebewese"/>
        <s v="B. Werbung versus gesunde Lebensweise - biologische Phänomene erklären und Alltagsvorstellungen dazu in Beziehung setzen z. B. Immunisierung/Immunität, Homosexualität - Statistiken zu verschiedenen Erkrankungen u. Ä. auswerten Bewerten - sexuelles Verhalt"/>
        <s v="herstellen sowie Folgeerscheinungen auf die eigene Lebenswelt übertragen und bewerten - Maßnahmen und Verhaltensweisen zur Erhaltung der eigenen Gesundheit und zur sozialen Verantwortung beurteilen - Einfluss der Umwelt auf eigenes Verhalten beurteilen - "/>
        <s v="Lebewesen und ihre Veränderung erkunden / - Phänomene der Mikrobiologie beobachten und darstellen - System und Systemebenen am Beispiel des Menschen unter Einbeziehung seiner Umwelt erklären / - Grundlagen des Verhaltens anwenden - Wechselwirkungen zwisch"/>
        <s v="von Lebensführung und Gesundheit z. B. Immunisierung, Aids Bezüge zu fächerübergreifenden Themen Sicher und gesund durch den Straßenverkehr Luft, Wasser und Boden als natürliche Lebensgrundlage Schuljahrgänge / Kompetenzschwerpunkt: Grundlagen des Verhalt"/>
        <s v="der digitalen Welt Eine derartige Auseinandersetzung bewirkt, dass sich bei Schülerinnen und Schülern nicht nur Interessen entwickeln, die berufliche Vorstellungen unterstützen und Freizeitaktivitäten prägen, sondern es können auch Einstellungen und Verha"/>
        <s v="auf ihren sachlichen und ideologischen Gehalt, treffen Entscheidungen sachgerecht, selbstbestimmt und verantwortungsbewusst. Am Ende des Schuljahrgangs können die Schülerinnen und Schüler biologische Sachverhalte in einem neuen Bewertungskontext erklären,"/>
        <s v="Verhaltensäußerungen verschiedener Organismen beurteilen - Zusammenhang zwischen Drogen-, Medienkonsum z. B. Computer, Computerspiele und Smartphones und Sucht herstellen sowie Folgeerscheinungen auf die eigene Lebenswelt übertragen und bewerten - Maßnahm"/>
        <s v="verschiedener Einstellungen gefördert. Prävention und Gesundheitsförderung PG Traditionell kommt dem Fach Biologie eine wichtige Rolle bei den Themen Prävention und Gesundheitsförderung zu. Darunter wird nicht nur die Vermeidung von gesundheitsschädlichem"/>
        <s v="verschiedenen Zellen eine übergeordnete Funktion ermöglicht wird. Sie verstehen, wie über das Schlüssel-Schloss-Prinzip Kommunikation ermöglicht wird. Sie erkennen die individuelle und gesellschaftliche Bedeutung von Impfungen und die Notwendigkeit, durch"/>
        <s v="Rollenverhalten in partnerschaftlichen Beziehungen kritisch hinterfragen, Maßnahmen zur Erhaltung der eigenen Gesundheit in Bezug auf Ernährung oder Bewegung beschreiben und begründen, den Einfluss von äußeren und inneren Faktoren auf das Verhalten, die G"/>
        <s v="und Interessen geleiteten Aussagen andererseits, beurteilen die Bedeutung von naturwissenschaftlichen Kenntnissen für Anwendungsbereiche und Berufsfelder, zeigen an lebensweltbezogenen Fragestellungen die Chancen und Grenzen naturwissenschaftlicher Sichtw"/>
        <s v="Gesundheitsförderung Ein besonderes Augenmerk des Biologieunterrichts liegt auf der aktiven Gesundheitsfürsorge. Aus den Kenntnissen von Bau und Funktion des eigenen Körpers leiten die Schülerinnen und Schüler Maßnahmen zur Vermeidung gesundheitsgefährden"/>
        <s v="Wissen um die Entstehung von Suchtverhalten leiten die Schülerinnen und Schüler sinnvolle Strategien zur Persönlichkeitsstärkung ab, um die Anforderungen des Alltags bewältigen zu können und ihre Zufriedenheit nicht von bestimmten Verhaltensweisen oder Su"/>
        <s v="Sie liefern vertiefende Erläuterungen zu Kompetenzen und weisen auf konkrete Bezüge zu Basiskonzepten hin. Die Operatoren geben eine Hilfestellung für die unterrichtliche Planung. Operatoren formulieren eindeutige Arbeitsanweisungen und damit beschreibbar"/>
        <s v="auf die Bedeutung für evolutive Prozesse an. b Wiederholend auf Parasitismus, Symbiose und Räuber-Beute Beziehungen eingehen und auf evolutive Prozesse beziehen. Hier können die ultimaten Ursachen betont werden. E Das Verhalten von Tieren ist Ergebnis von"/>
        <s v="Hier können die ultimaten Ursachen betont werden. E Das Verhalten von Tieren ist Ergebnis von Evolution. Die Schülerinnen und Schüler a proximate Ursachen, ultimate Ursachen a erläutern an Beispielen, dass Verhalten proximate und ultimate Ursachen hat, a "/>
        <s v="Verhalten proximate und ultimate Ursachen hat, a siehe Erläuterungen im Vorwort auf S. sowie im Anhang b adaptiver Wert, reproduktive Fitness b beschreiben an einem Beispiel den adaptiven Wert von Verhalten und die Bedeutung für die reproduktive Fitness, "/>
        <s v="Verhalten und die Bedeutung für die reproduktive Fitness, b z. B. die Verteidigung der Brutkolonie von Lachmöwen gegen Fressfeinde, Lernprozesse beim Fressen der giftigen Aga-Kröte c Kosten-Nutzen-Analyse c beurteilen das Verhalten eines Organismus nach e"/>
        <s v="diesen Stellung. Informationsverarbeitung Biologie GK Leitperspektive Das Themenfeld Informationsverarbeitung beinhaltet umfassende Bezüge zu allen Basiskonzepten und ermöglicht eine abschließende Vernetzung der im Laufe der Hauptphase erworbenen Kompeten"/>
        <s v="ermöglicht eine abschließende Vernetzung der im Laufe der Hauptphase erworbenen Kompetenzen. Nachdem das menschliche Verhalten aus ökologischer und evolutionsbiologischer Perspektive betrachtetet wurde, werden nun die zellulären Prozesse untersucht, welch"/>
        <s v="ab K unterscheiden zwischen Alltags- und Fachsprache grundsätzlicher/übergeordneter Standard K erklären Sachverhalte aus ultimater und proximater Sicht, ohne dabei unangemessene finale Begründungen zu nutzen E a erläutern an Beispielen, dass Verhalten pro"/>
        <s v="politischer und sozialer Perspektive Begriffe, die gemäß der BiStas einzuführen sind Biologie GK Funktionale vs. kausale Erklärungen Funktionale Erklärungen beziehen sich auf die Funktion, welche eine bestimmte Struktur oder ein Verhalten erklären; häufig"/>
        <s v="sich auf die Funktion, welche eine bestimmte Struktur oder ein Verhalten erklären; häufig sind dies z. B. Struktur-Funktions-Zusammenhänge bei Angepasstheiten. Kausale Erklärungen beziehen sich auf die Ursache, die einem bestimmten Verhalten bzw. einer Le"/>
        <s v="Turgordruck, das Stoma öffnet sich. Funktional: Das Öffnen der Spaltöffnungen ermöglicht den Gasaustausch für die Fotosynthese. Proximate und ultimate Erklärungen Proximate Erklärungen beziehen sich auf den unmittelbaren Grund für ein Verhalten bzw. Phäno"/>
        <s v="sich auf den unmittelbaren Grund für ein Verhalten bzw. Phänomen. Beispiel: Das Fell des Eisbären hat keine Pigmente und sieht deshalb weiß aus. Ultimate Erklärungen beziehen sich darauf, wie ein Verhalten bzw. Phänomen im Laufe der Evolution entstanden i"/>
        <s v="situationsgerechten Beantwortung biologischer Fragestellungen. formulieren unter Nutzung fachwissenschaftlicher Erkenntnisse der Biologie systematisch und begründet Handlungsoptionen, wenden dabei Entscheidungsstrategien an und reflektieren über getroffen"/>
        <s v="Lernbereich : Ökosystem Mensch ca. Std. Kompetenzerwartungen Die Schülerinnen und Schüler ... beschreiben Wechselbeziehungen zwischen dem Menschen und anderen Lebewesen, die auf und im menschlichen Körper leben, um Maßnahmen und Verhaltensweisen für eine "/>
        <s v="Schädigung des Menschen z. B. durch Abgabe von Giftstoffen, Angepasstheiten an den Menschen als Ökosystem z. B. anaerober Stoffwechsel bei Darmbakterien Viren als Krankheitserreger: Bau und lytischer Vermehrungszyklus von Viren Verhaltensweisen zur Vermei"/>
        <s v="Aquarianer Körpergliederung, Körperbedeckung - Fortbewegung Arbeiten mit der Lupe und zeichnerisches Darstellen Betrachten von Schuppen Kiemen - Atmung Fried- und Raubfische - Ernährung Fortpflanzung und Entwicklung geschlechtliche Fortpflanzung äußere Be"/>
        <s v="Artenschutz GEO, Kl. , LB Kennen von EF am Beispiel der Fische Lernkompetenz Begriffsverständnis: EF EF als Lernhilfe EF Vielfalt Vorhandensein von Gemeinsamkeiten und Unterschieden in den Merkmalen Bau, Funktion, Verhalten von Lebewesen sowie deren Leben"/>
        <s v="Bestimmungsschlüsseln, typische Merkmale Differenzierung: Bestimmen von Kriechtiere Körperbedeckung, Körpertemperatur Lebensraum wechselwarme Tiere, Feuchtlufttier, Trockenlufttier Atmung - Lebensraum Befruchtungsarten - Lebensraum äußere, innere Befrucht"/>
        <s v="Experimentieren Vergleich Ergebnis mit Vermutungen Wahlbereich : Heim- und Nutztiere Kennen von Heim- und Nutztieren Exkursion: Bauernhof, Zoo, Tierpark, Tierheim Bildung für nachhaltige Entwicklung Betrachten und Beobachten von Tieren Erscheinungsbild, V"/>
        <s v="Die Schüler beschreiben den Bau und die Funktionen von Organen und Organsystemen des eigenen Körpers. Unter dem Gesichtspunkt der eigenen Gesundheit bewerten sie verschiedene Verhaltensweisen und Umweltbedingungen. Sie lernen das Verhalten als Ergebnis vo"/>
        <s v="Gesundheitsamt, Beratungsstellen Kennen von sexuell übertragbare Krankheiten Hepatitis, AIDS Bundeszentrale für gesundheitliche Aufklärung, Aidshilfe Differenzierung: Syphilis, Tripper GE, Kl. , LB Bildung für nachhaltige Entwicklung Kennen der Phasen der"/>
        <s v="Aidshilfe Differenzierung: Syphilis, Tripper GE, Kl. , LB Bildung für nachhaltige Entwicklung Kennen der Phasen der Individualentwicklung Verhalten als Ergebnis von Angeborenem und Erworbenem Nachahmung tierische und menschliche Verhaltensweisen Zusammenh"/>
        <s v="dar und beschreiben deren Auswirkungen auf den menschlichen Körper. Entwickeln eines Grundverständnisses für den eigenen Körper und die Rolle des Menschen in der Natur Die Schüler erkennen, dass sie ihr Verhalten steuern können und die Verantwortung für i"/>
        <s v="Körper. Entwickeln eines Grundverständnisses für den eigenen Körper und die Rolle des Menschen in der Natur Die Schüler erkennen, dass sie ihr Verhalten steuern können und die Verantwortung für ihr Verhalten tragen. Sie beurteilen verschiedene Verhaltensw"/>
        <s v="deren Lebensräume einem ständigen Wandel unterliegen. Entwickeln eines Grundverständnisses für den eigenen Körper und die Rolle des Menschen in der Natur Die Schüler beschreiben und erklären Unterschiede im Bau und Verhalten von Menschen als Folgen der bi"/>
        <s v="Körperbau, Lebensweise Überblick über Entwicklungsetappen Entwicklungslinien, Stammbäume, territoriale Ausbreitung überwiegende genetische Gemeinsamkeiten aller Menschen - Artzugehörigkeit Angepasstheit an klimatische Verhältnisse Antirassismus als Gebot "/>
        <s v="des Humanismus kulturelle Evolution - Sprache, Kulturen Verhalten g g Beurteilen der Folgen menschlicher Eingriffe in Ökosysteme Wechselwirkung zwischen Biosphäre und den anderen Sphären der Erde Stoffkreislauf und Energiefluss Umweltschutz, Verhalten reg"/>
        <s v="wesentliche Voraussetzung für ein Verständnis von Schlüsselproblemen unserer Zeit und damit für den Anspruch auf Selbst- und Mitbestimmung in der Gesellschaft. Das Fach Biologie leistet einen Beitrag zum Verständnis des Verhaltens von Lebewesen und der Ro"/>
        <s v="Wirbeltiere in ihren Lebensräumen Ustd. Lernbereich : Säugetiere - Wirbeltiere in ihren Lebensräumen Ustd. Lernbereiche mit Wahlcharakter Wahlbereich : Vom Probieren zum Experimentieren Wahlbereich : Heim- und Nutztiere Wahlbereich : Verhaltensweisen Klas"/>
        <s v="Schüler beschreiben an Vertretern der Wirbeltiere deren Fortpflanzung und Entwicklung. Beim Vergleichen der Wirbeltiergruppen erwerben sie erste Vorstellungen zu stammesgeschichtlichen Entwicklungen. Die Schüler stellen an Beispielen die Bedeutung der beo"/>
        <s v="mit der Lupe und zeichnerisches Darstellen Körpertemperatur gleichwarme Tiere Anpassungserscheinungen einfache Flugmodelle Körperbau - Fliegen Körperform, Körperbedeckung, Skelett Schnabelform - Nahrung Atmung Fortpflanzung und Entwicklung innere Befrucht"/>
        <s v="Körpertemperatur Lebensraum gleichwarme Tiere Betrachten von Fellproben mit der Lupe Skelett - Lebensraum Gliedmaßenskelett Gebiss - Nahrung Lungen - Landleben Kennen der Fortpflanzung der Säugetiere innere Befruchtung Einblick gewinnen in Verhaltensweise"/>
        <s v="in den Evolutionsgedanken Wirbeltiere Mensch zunehmende Unabhängigkeit vom Wasser Fossilien, Übergangsformen Anwenden verhaltensbiologischer Kenntnisse Medienbildung Werteorientierung Bildung für nachhaltige Entwicklung artgerechte Haltung von Tieren Form"/>
        <s v="Tierheim Bildung für nachhaltige Entwicklung Betrachten und Beobachten von Tieren Erscheinungsbild, Verhalten Haltung und Nutzung von Tieren durch den Menschen artgerechte Tierhaltung, Tierschutzgesetz Ergebnispräsentation Steckbriefe, Fotos, Portfolio, P"/>
        <s v="Beobachten von Tieren Erscheinungsbild, Verhalten Haltung und Nutzung von Tieren durch den Menschen artgerechte Tierhaltung, Tierschutzgesetz Ergebnispräsentation Steckbriefe, Fotos, Portfolio, Poster Wahlbereich : Verhaltensweisen Einblicke gewinnen in a"/>
        <s v="von Insekten beschreiben sie Entwicklungsformen von Lebewesen. Entwickeln eines Grundverständnisses für den eigenen Körper und die Rolle des Menschen in der Natur Die Schüler beschreiben an bekannten Sachverhalten Auswirkungen von Verhaltensweisen des Men"/>
        <s v=": Beobachten und Untersuchen wirbelloser Tiere Anwenden der Arbeitstechniken Beobachten und Untersuchen auf eine weitere Gruppe der wirbellosen Tiere Naturobjekte, Filme, Bilder, Modelle Formenvielfalt und Schönheit Weichtiere, Spinnentiere, Krebstiere ty"/>
        <s v="Rolle des Menschen in der Natur Die Schüler beschreiben den Bau und die Funktionen von Organen und Organsystemen des eigenen Körpers. Unter dem Gesichtspunkt der eigenen Gesundheit bewerten sie verschiedene Verhaltensweisen und Umweltbedingungen. Sie lern"/>
        <s v=", LB Bau und Funktion der Geschlechtsorgane Bedeutung von Sexualität und Fortpflanzung Vergleich Mensch - Tier Problematik des sexuellen Missbrauchs, Prävention Sexuelle Vielfalt Menstruationszyklus Kl. , LB Schwangerschaft und Geburt Verhaltensweisen wäh"/>
        <s v="gesundheitliche Aufklärung, Aidshilfe Differenzierung: Syphilis, Tripper GE, Kl. , LB Bildung für nachhaltige Entwicklung Kennen der Phasen der Individualentwicklung Verhalten als Ergebnis von Angeborenem und Erworbenem Nachahmung tierische und menschlich"/>
        <s v="der Lebewesen Die Schüler lernen, dass biologische Systeme dynamisch sind. Sie erkennen, dass der Mensch sich als biologisches und gesellschaftliches Wesen entwickelt. Die Schüler stellen an Beispielen die Bedeutung von Verhaltensweisen dar und beschreibe"/>
        <s v="den eigenen Körper und die Rolle des Menschen in der Natur Die Schüler erkennen, dass sie ihr Verhalten steuern können und die Verantwortung für ihr Verhalten tragen. Sie beurteilen verschiedene Verhaltensweisen hinsichtlich ihrer Auswirkungen auf sich se"/>
        <s v="Knochen ausglühen/Säureeinwirkung Gelenke Arten, allgemeiner Bau, Funktionsmodell Muskulatur Mikroskopieren von Muskelzellen SPO, Kl. - , LB Fitness Kennen der Zellatmung als energieliefernden Vorgang Wortgleichung, Bedingungen, Zellbestandteil Beurteilen"/>
        <s v="Bau und Funktion von Nervenzellen Hormonsystem Überblick Hormondrüsen Regulationswirkung eines Hormons Wirkungsweise von Geschlechtshormonen, Wachstumshormonen, Blutzuckerhormonen Kennen des Zusammenwirkens von Sinnesorganen und Nervensystem Reflexbogen D"/>
        <s v="Kl. , LB GEO, Kl. , LB VK Gesundheit und Soziales, LB Recherche und Präsentation mit digitalen und traditionellen Medien Nutzung von EF Nutzung von Lernsoftware und Datenbanken Beurteilen menschlicher Verhaltensweisen hinsichtlich der Ausbreitung von Kran"/>
        <s v="Verantwortlichkeit ihr gegenüber zu entwickeln und zu zeigen, bedeutet aktiv für sie eintreten zu müssen. Indem wir darauf achten im Umgang mit der Natur Ressourcen zu schonen und aus unserem Verhalten auftretende Schäden zu minimieren treten wir für das "/>
        <s v="fachsprachlichen Texten und von Bildern in strukturierter sprachlicher Darstellung. Biologische Sachverhalte werden in verschiedenen Kontexten erkannt und bewertet. Schwerpunkte sind dabei nicht nur die eigene Gesundheit, sondern auch das verantwortungsbe"/>
        <s v="Hypothesen und Untersuchungen zu sinnesphysiologischen Phänomenen Kommunikation Interpretation von Beobachtungen, Abbildungen und Daten sinnesphysiologischer Versuche Diskussion von tierischen und menschlichen Verhaltensweisen Bewertung Bewertung von äuße"/>
        <s v="Einrichtungen mmunikation chreibung persönlicher Standpunkn angemessener Weise Erweiterung fachlicher Grundlagen: - Hormone - biologische Grundlagen der Empfängnis und Empfängnisverhütung - Reproduktionsmedizin - Schwangerschaftsabbruch Heterosexuelle und"/>
        <s v="in ethischer Verantwortung die Veränderungen während der Pubertät. Kenntnisse zur Bedeutung von Eizelle und uchtungsvorgang, zur Entwicklung des Embryos/Fetus und des Kindes sowie zu Methoverhütung bilden die fachlichen Grundlagen selbstbestimmten Verhalt"/>
        <s v="und homosexuelle Partnerschaften Einflüsse auf sexuelles Verhalten, Rollenverhalten Verantwortung für das eigene Sexualverhalten Seelisch-körperliche Selbstbestimmung Kommunikation Erläuterung biologischer Grundlagen zur Empfängnis und Empfängnisverhütung"/>
        <s v="Sinnesorganen Auge oder Ohr werfen Fragen zum Gesundheitsschutz auf. swege werden auch durch die Wirkung der Hormone als Botenstoffe deutlich. Beispiele Erkenntnisgewinnung Arbeiten mit physiologischen Modellen Beobachten, Beschreiben und ezifischen Verha"/>
        <s v="geeigneter Form gen ökologischer Beziehungen zeigen Vernetzungen verschiedener Ökosysteme. In diewerden die Gründe für deren Gefährdung durch Eingriffe des Menschen ersichtlich. Veranschaulichung von Daten mit angemessenen Gestaltungsmitteln Bewertung Beu"/>
        <s v="die beteiligten Strukzwischen Organismen wird mit einfachen Beispielen zu intra- und interspezifischen s der Tierwelt beschrieben. Erkenntnisgewinnung Beobachtung, Beschreibung und Vergleich von Reiz-ReaktionsMechanismen Unterscheidung zwischen Ursache un"/>
        <s v="der Jahrgangsstufe / ezüge zu Kompetenzbereichen Inhaltliche Schwerpunkte Bezüge zu Kompetenzbereichen Informationsfluss im Organismus und zwischen Organismen kenntnisgewinnung bachtung, Beschreibung und Verch von Reiz-Reaktionschanismen bei Tier und Mens"/>
        <s v="und zwischen Organismen kenntnisgewinnung bachtung, Beschreibung und Verch von Reiz-Reaktionschanismen bei Tier und Mensch alyse von Verhaltensweisen bei us- oder Nutztieren mmunikation essatengerechte und sachgerechte chreibung und Erläuterung von halten"/>
        <s v="Reiz-Reaktionschanismen bei Tier und Mensch alyse von Verhaltensweisen bei us- oder Nutztieren mmunikation essatengerechte und sachgerechte chreibung und Erläuterung von haltensweisen Verhaltensweisen von Tieren: intra- und interspezifisch des Menschen: s"/>
        <s v="in einfacher Form Hormone als Botenstoffe im Organismus Erkenntnisgewinnung Arbeit mit Modellen zur Funktionsweise der Sinnesorgane Beobachtung, Beschreibung und Vergleich von Phänomenen und Vorgängen bei der Informationsverarbeitung und bei ausgewählten "/>
        <s v="Ursache und Wirkung von Funktionseinschränkungen der Sinnesorgane Entwicklung von Fragestellungen, Hypothesen und Untersuchungen zu sinnesphysiologischen Phänomenen Kommunikation Interpretation von Beobachtungen, Abbildungen und Daten sinnesphysiologische"/>
        <s v="rteilung lokaler Auswirkungen von griffen des Menschen in den Lesraum von Organismen Erweiterung der Artenkenntnis Vernetzung verschiedener Ökosysteme Begründungszusammenhänge der Gefährdung von Ökosystemen durch Eingriffe des Menschen Bewertung Beurteilu"/>
        <s v="von Alltagskontexten mit naturwissenschaftlichen Kenntnissen ftlich belegbaren Fakten und Prozessen einerseits und Interessen geleiteten Aussagen andererseits, nschaftlichen Kenntnissen für Anwendungsbereiche und Berufsfelder, lungen die Chancen und Grenz"/>
        <s v="sexuellen Identitäten. RELIGION, WERTE UND NORMEN ben Grundaspekte der sexutpflanzung, Schwangerschaft fängnisverhütung beim Meneiden zwischen geschlechtliungeschlechtlicher FortpflanBlütenpflanzen. beschreiben Methoden der Empfängnisverhütung und der Ver"/>
        <s v="Entscheidungen; B. reflektieren Folgen von Entscheidungen für die Natur, das Individuum und die Gesellschaft; B. reflektieren den Prozess der Bewertung in Bezug auf das Ergebnis und das Verfahren; B. bewerten Verhaltensweisen zur Erhaltung der eigenen Ges"/>
        <s v="den ersten allgemeinbildenden Schulabschluss ESA Mindestanforderungen für den mittleren Schulabschluss MSA Mindestanforderungen für den Übergang in die Studienstufe am Ende der Jahrgangsstufe gewichten Handlungsoptionen für Entscheidungen zu bewertungsrel"/>
        <s v="benennen Bewertungskriterien ausgehend von Sachinformationen, Werten und Normen, treffen Entscheidungen auf der Grundlage von Handlungsoptionen und Bewertungskriterien, nennen Folgen von Entscheidungen für die Natur, das Individuum und die Gesellschaft, b"/>
        <s v="Normen, entwickeln Handlungsoptionen für Entscheidungen zu bewertungsrelevanten Sachverhalten, treffen Entscheidungen auf der Grundlage von Handlungsoptionen und Bewertungskriterien, nennen Folgen von Entscheidungen für die Natur, das Individuum und die G"/>
        <s v="einschätzen bzw. daraus entsprechende Handlungsoptionen ableiten Entwicklung von Selbstvertrauen die Arbeit des Einzelnen in der Gruppe reflektieren und die Arbeitsergebnisse der gemeinsamen Arbeit einschätzen Verhaltensregeln festlegen bzw. einhalten und"/>
        <s v="und Schüler sowie Lehrkräfte entlasten. Dazu werden neben dem Unterricht in Regelklassen eigene Lerngruppen für Schülerinnen und Schüler mit starken Auffälligkeiten in den Bereichen Sprache oder Lernen oder Auffälligkeiten im Verhalten gebildet. In inklus"/>
        <s v="Schülerinnen und Schüler erfassen biologische Fragestellungen in verschiedenen Kontexten. Sie erkennen Probleme und Interessenkonflikte, entwickeln Lösungsansätze, diskutieren Konsequenzen und beurteilen diese. Sie begründen Verhaltensweisen einer gesunde"/>
        <s v="die Verknüpfung von Inhalten und prozessbezogenen Kompetenzen: S: Vielfalt der Pilze beschreiben E: am Beispiel der Pilze die Biodiversität erkennen K: die Bedeutung der Pilze als Krankheitserreger diskutieren B: eigenes Verhalten unter gesundheitsrelevan"/>
        <s v="- biologische Sachverhalte prüfen und beurteilen Die Schülerinnen und Schüler erfassen biologische Fragestellungen in verschiedenen Kontexten. Sie erkennen Probleme und Interessenkonflikte, entwickeln Lösungsansätze, diskutieren Konsequenzen und beurteile"/>
        <s v="begründen sie ihren eigenen Standpunkt. Sie beurteilen Informationen aus verschiedenen Quellen hinsichtlich ihrer Glaubwürdigkeit und Objektivität. Die Schülerinnen und Schüler unterscheiden zwischen naturwissenschaftlichen und ethischen Aussagen, beurtei"/>
        <s v="Meinungsbildung bei. Zahlreiche Themen geben Anlass, Sachverhalte unter biologischen und außerfachlichen Gesichtspunkten zu bewerten. Die Lernenden bewerten die gesellschaftlichen Auswirkungen menschlichen Handelns und werden dadurch in die Lage versetzt,"/>
        <s v="Merkmale N Belege für die Evolution: molekularbiologische -Homologien N Grundlegende Prinzipien der Evolution: Rekombination, Mutation, Selektion, Verwandtschaft, Variation, Fitness, Isolation, Drift, Artbildung, Biodiversität, Koevolution, populationsgen"/>
        <s v="Besonderheiten im Grundbauplan, bei der Fortpflanzung und im Stoffwechsel beschreiben. erklären die Bedeutung von Mikroorganismen beim Lebensmittelverderb anhand des Stoffwechsels, der Fortpflanzung und der Ausbreitung von Mikroorganismen und leiten darau"/>
        <s v="abhängige Variable, Bezeichnung von Messgröße, Größensymbol und Einheit Quellen: v. a. Schulbuch, populärwissenschaftliche Literatur und altersgemäße digitale Medien Gesundheitsbewusstsein und Verantwortung: z. B. Gesundheitsvorsorge, Stressbewältigung, S"/>
        <s v="Austausch von Stoffen durch die Plazenta Empfängnisregulation: verschiedene Methoden mit gesundheitlichen und ethischen Aspekten ungewollte Schwangerschaft, Schwangerschaftsabbruch, unerfüllter Kinderwunsch Schutz vor sexuell übertragbaren Erkrankungen u."/>
        <s v="von der anderer Lebewesen ab. Inhalte zu den Kompetenzen: Zusammenwirken von reaktionsauslösenden Reizen und inneren Faktoren z. B. beim Beutefangverhalten, Balzverhalten, bei der Brutpflege; Attrappenversuche Hinweise für überwiegend genetisch bedingtes "/>
        <s v="Entwicklung ab und erörtern Handlungsoptionen, indem sie vorgegebene Pro- und Kontra-Argumente z. B. zum Einkaufsverhalten oder zur Transportmittelnutzung auswerten, um bewusste, wertorientierte Entscheidungen treffen zu können. wägen Folgen von eigenen V"/>
        <s v="und erörtern Handlungsoptionen, indem sie vorgegebene Pro- und Kontra-Argumente z. B. zum Einkaufsverhalten oder zur Transportmittelnutzung auswerten, um bewusste, wertorientierte Entscheidungen treffen zu können. wägen Folgen von eigenen Verhaltensweisen"/>
        <s v="Kontexten sowie in Partnerschaften in geeigneter Sprache und respektvoll über Sexualität und begegnen medial vermittelter sexueller Belästigung und Gewalt sowie der unterschwelligen Bedrohung durch sexualisierten, abwertenden Sprachgebrauch angemessen. be"/>
        <s v="zu können. Dabei erkennen sie den Einfluss der Medien auf eigene Vorstellungen von Sexualität und Schönheit. beschreiben den Menstruationszyklus und erklären dessen Steuerung durch das Zusammenspiel verschiedener Hormone. bewerten verschiedene Verhaltensw"/>
        <s v="Kinderwunsch Schutz vor sexuell übertragbaren Erkrankungen u. a. HIV-Infektion B Lernbereich : Verhalten - genetisch bedingt und erlernt ca. Std. Kompetenzerwartungen Die Schülerinnen und Schüler ... beobachten und vergleichen einfache Verhaltensweisen au"/>
        <s v="zu beschreiben. beurteilen auf der Grundlage von Daten aus Verhaltensbeobachtungen, ob eine Verhaltensweise v. a. auf genetisch bedingten oder erworbenen Anteilen beruht. planen Experimente zur Konditionierung, um die Beeinflussbarkeit von Verhaltensweise"/>
        <s v="sind dadurch für die Gefahren einer Sucht sensibilisiert. erklären die Bedeutung von Lebenskompetenzen für eine starke Persönlichkeit, die die Anforderungen des Alltags bewältigen kann und ihre Zufriedenheit nicht von bestimmten Verhaltensweisen oder Subs"/>
        <s v="einfache Verhaltensweisen auch mithilfe von Attrappenversuchen, um sie als Ergebnis des Zusammenwirkens von inneren Faktoren und reaktionsauslösenden Reizen zu beschreiben. beurteilen auf der Grundlage von Daten aus Verhaltensbeobachtungen, ob eine Verhal"/>
        <s v="Evolution homologe Organe analoge Organe Übergangsformen Nachtigall-Sprosser, Fitis-Zilpzalp, Esel-Pferd Chimärenbildung: Löger, Schiege, Maultier z. B. Birkenspanner Industriemelanismus Würdigung der wissenschaftlichen Leistungen MD evolutionäre Bedeutun"/>
        <s v="Mensch-Menschenaffe unter morphologischen, anatomischen, ethologischen und molekularbiologischen Gesichtspunkten Soziokulturelle Evolution des Menschen Beginn bei den Hominiden ursprüngliche und abgeleitete Merkmale Die Entwicklung von Tradition ist mit e"/>
        <s v="Bakterien und Resistenzen von Pflanzenschädlingen gegen Pestizide Evolution - Leben ist in ständigem Wandel Biologie LK Inhalte / Basisbegriffe Verbindliche Kompetenzerwartungen Vorschläge und Hinweise E Arten verändern sich E Das Verhalten von Tieren ist"/>
        <s v="Wandel Biologie LK Inhalte / Basisbegriffe Verbindliche Kompetenzerwartungen Vorschläge und Hinweise E Arten verändern sich E Das Verhalten von Tieren ist Ergebnis von Evolution. Die Schülerinnen und Schüler a erworbenes Verhalten, angeborenes Verhalten a"/>
        <s v="LK Inhalte / Basisbegriffe Verbindliche Kompetenzerwartungen Vorschläge und Hinweise E Arten verändern sich E Das Verhalten von Tieren ist Ergebnis von Evolution. Die Schülerinnen und Schüler a erworbenes Verhalten, angeborenes Verhalten a beschreiben an "/>
        <s v="Vorschläge und Hinweise E Arten verändern sich E Das Verhalten von Tieren ist Ergebnis von Evolution. Die Schülerinnen und Schüler a erworbenes Verhalten, angeborenes Verhalten a beschreiben an Beispielen, dass Verhalten angeboren oder erworben sein kann,"/>
        <s v="verschiedener Entenarten und der Gesang von schallisoliert aufgezogenen Buchfinken, Ritualisierung, Kaspar-Hauser-Experimente vgl. Erklärung im Vorwort auf S. sowie im Anhang b erklären, dass nach neuen Erkenntnissen der Epigenetik auch erworbenes Verhalt"/>
        <s v="im Anhang b erklären, dass nach neuen Erkenntnissen der Epigenetik auch erworbenes Verhalten vererbt werden kann, c proximate Ursachen, ultimate Ursachen, kausale Ursachen, funktionale Ursachen c erläutern an Beispielen, dass Verhalten proximate und ultim"/>
        <s v="vererbt werden kann, c proximate Ursachen, ultimate Ursachen, kausale Ursachen, funktionale Ursachen c erläutern an Beispielen, dass Verhalten proximate und ultimate Ursachen hat und unterscheiden kausale und funktionale Erklärungen für Verhalten, d adapt"/>
        <s v="Beispielen, dass Verhalten proximate und ultimate Ursachen hat und unterscheiden kausale und funktionale Erklärungen für Verhalten, d adaptiver Wert, reproduktive Fitness d beschreiben an einem Beispiel den adaptiven Wert von Verhalten und die Bedeutung f"/>
        <s v="vor. In der Wissenschaft wird dieser jedoch präzise verstanden und erfordert ein aufwendiges Verfahren, das von den Schülerinnen und Schülern so nicht zu leisten ist. e Kosten-Nutzen-Analyse e beurteilen das Verhalten eines Organismus nach einer Kosten-Nu"/>
        <s v="Positionen und nehmen zu diesen Stellung. Evolution - Leben ist in ständigem Wandel Biologie LK Inhalte / Basisbegriffe Verbindliche Kompetenzerwartungen Vorschläge und Hinweise E Die Evolution des Menschen E Das Verhalten von Menschenaffen ähnelt dem Ver"/>
        <s v="Stellung. Evolution - Leben ist in ständigem Wandel Biologie LK Inhalte / Basisbegriffe Verbindliche Kompetenzerwartungen Vorschläge und Hinweise E Die Evolution des Menschen E Das Verhalten von Menschenaffen ähnelt dem Verhalten des Menschen. Die Schüler"/>
        <s v="unterschiedliche Formen des Zusammenlebens bei Menschenaffen, b endogene Ursachen, exogene Ursachen b analysieren Verhaltensmuster hinsichtlich endogener und exogener Ursachen, b endogen: z. B. physiologische Ursachen wie Hunger, exogen: z. B. Verhalten v"/>
        <s v="der Menschenaffen Orang-Utan, Gorilla, Schimpanse. Evolution - Leben ist in ständigem Wandel Biologie LK Inhalte / Basisbegriffe Verbindliche Kompetenzerwartungen Vorschläge und Hinweise E Die Evolution des Menschen E Ähnlichkeiten im Verhalten und Ausseh"/>
        <s v="genetischer Unterschiede Informationsverarbeitung Biologie LK Leitperspektive Das Themenfeld Informationsverarbeitung beinhaltet umfassende Bezüge zu allen Basiskonzepten und ermöglicht eine abschließende Vernetzung der im Laufe der Hauptphase erworbenen "/>
        <s v="ab K unterscheiden zwischen Alltags- und Fachsprache grundsätzlicher/übergeordneter Standard K erklären Sachverhalte aus ultimater und proximater Sicht, ohne dabei unangemessene finale Begründungen zu nutzen E c erläutern an Beispielen, dass Verhalten pro"/>
        <s v="erläutern an Beispielen, dass Verhalten proximate und ultimate Ursachen hat ... K unterscheiden zwischen funktionalen und kausalen Erklärungen E c E a ... und unterscheiden kausale und funktionale Erklärungen für Verhalten stellen Koevolution als wechsels"/>
        <s v="ökologischer, ökonomischer, politischer und sozialer Perspektive Begriffe, die gemäß der Bildungsstandards einzuführen sind Funktionale vs. kausale Erklärungen Funktionale Erklärungen beziehen sich auf die Funktion, welche eine bestimmte Struktur oder ein"/>
        <s v="wenige Informationen langfristig gespeichert. b limbisches System, Hippocampus, Mandelkern Amygdala, Angst b beurteilen die evolutionsbiologische Bedeutung des limbischen Systems, b Erinnern und somit Vermeiden gefährlicher Erfahrungen und positives Verst"/>
        <s v="aus Informationen zu Aufbau und Vermehrung von Viren und Bakterien Hygienemaßnahmen ableiten und einhalten. K, K Bewertung Die Schülerinnen und Schüler können ... auf der Basis biologischer Erkenntnisse ihr persönliches Verhalten gegenüber sich selbst und"/>
        <s v="K Bewertung Die Schülerinnen und Schüler können ... auf der Basis biologischer Erkenntnisse ihr persönliches Verhalten gegenüber sich selbst und Mitmenschen in Bezug auf Infektionskrankheiten hinterfragen und Entscheidungen zu ihrem Verhalten begründen. B"/>
        <s v="Tiere kriteriengeleitet mittels einfacher Bestimmungsschlüssel bestimmen. UF die Prinzipien der Fortpflanzung bei Pflanzen und Tieren vergleichen und Gemeinsamkeiten erläutern. UF Erkenntnisgewinnung Die Schülerinnen und Schüler können ... aufgrund von Be"/>
        <s v="Werte in normativen Aussagen, die bewertungsrelevante Sachverhalte betreffen, beurteilen Argumente über bewertungsrelevante Sachverhalte, entwickeln Handlungsoptionen für Entscheidungen zu bewertungsrelevanten Sachverhalten, treffen Entscheidungen auf der"/>
        <s v="und Rekombination, Selektion, Isolation, Gendrift den biologischen Artbegriff erklären und Artbildungsprozesse erläutern allopatrische und sympatrische Artbildung Koevolution als wechselseitigen Anpassungsprozess zweier Arten an einem Beispiel darstellen "/>
        <s v="Beispiel darstellen Erkenntnisgewinnung , , Kommunikation , Evolution Genetik Biomoleküle und molekulare Genetik proximate und ultimate Erklärungen unterscheiden unter anderem an Beispielen des Sozialverhaltens von Primaten den adaptiven Wert von Verhalte"/>
        <s v="nennen die prozentualen Anteile der Luftbestandteile, Verbrennung beschreiben die Verbrennung als eine Stoffumwandlung unter Flammenerscheinung, beschreiben Bedingungen für die Entstehung von Bränden, erläutern Methoden der Brandbekämpfung, beschreiben un"/>
        <s v="von den legalen Suchtmitteln Alkohol und Nikotin ausgehenden Gefahren, referieren über die gesetzlichen Regelungen zum Jugendschutz, beschreiben Nicht-stoffgebundene Abhängigkeiten als Suchterkrankungen und nennen Beispiele, erörtern Handlungsoptionen zur"/>
        <s v="Austausch von Körperflüssigkeiten Weiße Blutkörperchen, Antikörper, Lymphknoten Immunisierung Sexuell übertragbare Krankheiten: Syphilis, Tripper, Hepatitis, Herpes, Aids Legale Suchmittel: Alkohol, Nikotin; illegale Suchtmittel Drogen: Cannabis, Haschisc"/>
        <s v="Schülerinnen und Schüler sowie Lehrkräfte entlasten. Dazu werden neben dem Unterricht in Regelklassen eigene Lerngruppen für Schülerinnen und Schüler mit starken Auffälligkeiten in den Bereichen Sprache, Lernen oder Auffälligkeiten im Verhalten gebildet. "/>
        <s v="Kenntnisse, reflektieren die Bedeutung lebender Systeme für gegenwärtige und zukünftige Lebenssituationen, erörtern Handlungsoptionen einer umwelt- und naturverträglichen Teilhabe im Sinne der Nachhaltigkeit, unterscheiden naturwissenschaftliche und ethis"/>
        <s v="gegenwärtige und zukünftige Lebenssituationen, erörtern Handlungsoptionen einer umwelt- und naturverträglichen Teilhabe im Sinne der Nachhaltigkeit, unterscheiden naturwissenschaftliche und ethische Aussagen, reflektieren ihr eigenes Verhalten gegenüber d"/>
        <s v="den Bau und das Vorkommen von Hefepilzen und Bakterien beschreiben E: am Beispiel der Pilze die Biodiversität erklären K: mit Hilfe der Mikroskopie Strukturen der Pilze adressatengerecht präsentieren B: eigenes Verhalten unter gesundheitsrelevanten Aspekt"/>
        <s v="Sachverhalte mediengestützt und zielgruppenorientiert. B Bewertungskompetenz Die Schülerinnen und Schüler erfassen biologische Fragestellungen in verschiedenen Kontexten. Sie erkennen Probleme und Interessenkonflikte, entwickeln Lösungsansätze, diskutiere"/>
        <s v="und Schüler ... Verbindliche Fachinhalte Jahrgangsstufen / Sek. I - IK Informationsaufnahme ist die Grundlage für Kommunikation. beschreiben die Informationsaufnahme als Grundlage für die Reaktion von Lebewesen auf ihre Umwelt. Verhalten eines Wirbeltiere"/>
        <s v="Betriebsstoffe Blut äußere Atmung Produzenten, Konsumenten, Destruenten Kohlenstoffkreislauf Energiefluss Fotosynthese Zellatmung anthropogener Einfluss auf lokaler und globaler Ebene Nachhaltigkeitsdreieck Reflexion der persönlichen Lebensweise Informati"/>
        <s v="Parthenogenese Fortführung der Tabelle Grundlegende Zusammenhänge des Basiskonzepts Inhaltsbezogene Kompetenzen Die Schülerinnen und Schüler ... Verbindliche Fachinhalte OS - R Die Partnerwahl basiert auf genetischer Disposition. beschreiben und erklären "/>
        <s v="Arten mit der synthetischen Evolutionstheorie. Artbegriff Isolationsmechanismen allopatrische und sympatrische Artbildung Genfluss adaptive Radiation OS - VA Verhaltensweisen können mit Hilfe von proximaten und ultimaten Ursachen erklärt werden. erklären "/>
        <s v="Genfluss adaptive Radiation OS - VA Verhaltensweisen können mit Hilfe von proximaten und ultimaten Ursachen erklärt werden. erklären das Verhalten von Tieren, indem sie zwischen proximaten und ultimaten Ursachen von Verhalten unterscheiden. proximate und "/>
        <s v="mit Hilfe von proximaten und ultimaten Ursachen erklärt werden. erklären das Verhalten von Tieren, indem sie zwischen proximaten und ultimaten Ursachen von Verhalten unterscheiden. proximate und ultimate Ursachen Kosten-Nutzen-Analyse von Verhalten OS - V"/>
        <s v="Ebene der Organismen Phänotyp, Genotyp Modifikation Rekombination Mutation Anpassungsmechanismen des menschlichen Immunsystems Proteinbiosynthese Polyphänie, Polygenie Mutationsarten Rekombination von Allelen durch Gentechnik Selektion Migration reprodukt"/>
        <s v="Phänotyp, Genotyp Modifikation Rekombination Mutation Anpassungsmechanismen des menschlichen Immunsystems Proteinbiosynthese Polyphänie, Polygenie Mutationsarten Rekombination von Allelen durch Gentechnik Selektion Migration reproduktive Fitness proximate"/>
        <s v="globaler Einfluss Sek. I - SE Nachhaltigkeit bedeutet, ein Ökosystem zu nutzen, ohne die Existenzgrundlage des Menschen zu zerstören. erklären Nachhaltigkeit als die Bewahrung der natürlichen Regenerationsfähigkeit der Biosphäre. beschreiben Verhaltenswei"/>
        <s v="Form wieder abgeben. Produzenten Konsumenten Destruenten OS - SE Die Energiemenge, die ein Organismus Individuum in Lebensprozesse investieren kann, ist beschränkt. beschreiben unterschiedliche Strategien der Energienutzung bei Organismen. Kosten-Nutzen-A"/>
        <s v="Arten beruht auf der Isolation von Teilpopulationen. beschreiben und erklären die Entstehung von Arten mit der synthetischen Evolutionstheorie. Artbegriff Isolationsmechanismen allopatrische und sympatrische Artbildung Genfluss adaptive Radiation OS - VA "/>
        <s v="Populationsebene Produzenten, Konsumenten, Destruenten Kohlenstoffkreislauf und Energiefluss Nachhaltigkeit Produzenten, Konsumenten, Destruenten Kohlenstoffkreislauf, Stickstoffkreislauf Nahrungsnetze Trophiestufen SE - Ebene der Organismen Anwendungen d"/>
        <s v="räumliche Strukturen am Beispiel eines Ökosystems Steuerung und Regelung SR intra- und interspezifische Beziehungen dichte- und dichteunabhängige Faktoren Lotka-Volterra Regeln topdown- / bottom-up-Kontrolle Stoff- und Energieumwandlung SE Kosten-Nutzen-A"/>
        <s v="verschiedener Ökosysteme. In diewerden die Gründe für deren Gefährdung durch Eingriffe des Menschen ersichtlich. Kommunikation Darstellung von Zusammenhängen in geeigneter Form Veranschaulichung von Daten mit angemessenen Gestaltungsmitteln Bewertung Beur"/>
        <s v="Abschluss der Jahrgangsstufe ezüge zu Kompetenzbereichen Inhaltliche Schwerpunkte Bezüge zu Kompetenzbereichen Informationsfluss im Organismus und zwischen Organismen kenntnisgewinnung bachtung, Beschreibung und Verch von Reiz-Reaktionschanismen bei Tier "/>
        <s v="Organismen Erweiterung der Artenkenntnis Vernetzung verschiedener Ökosysteme Begründungszusammenhänge der Gefährdung von Ökosystemen durch Eingriffe des Menschen Veranschaulichung und Präsentation von im Sachzusammenhang adäquaten Daten mit angemessenen G"/>
        <s v="und die Bedeutung des Nervensystems erläutern. UF, UF die Bedeutung der Haut als Sinnesorgan darstellen und Schutzmaßnehmen gegen Gefahren wie UV-Strahlen erläutern. UF, B das Aussehen von Gegenständen mit dem Verhalten von Licht an ihren Oberflächen Refl"/>
        <s v="in wesentlichen Bestandteilen beschreiben. UF am Beispiel unterschiedlicher Phänomene Wirkungen von Kräften beschreiben und erläutern. UF das physikalische Verständnis von Kräften von einem umgangssprachlichen Verständnis unterscheiden. UF, UF das richtig"/>
        <s v="von Strömen und Spannungen erläutern. UF den grundlegenden Aufbau und die Funktionsweise von Batterien, Akkumulatoren und Brennstoffzellen beschreiben. UF, UF, UF Erkenntnisgewinnung Die Schülerinnen und Schüler können ... Hypothesen zum Verhalten von Str"/>
        <s v="und lösen jeweils spezifische Reaktionen und Verhaltensweisen aus. Auf der Systemebene der Organismen wird dies deutlich bei der Reizaufnahme, der Erregungsleitung und Verarbeitung im Gehirn. Hierbei spielen Gedächtnis, Lernvorgänge und Verhalten eine wic"/>
        <s v="Oberflächenvergrößerung, Blutkreislauf, menschliches Skelett, Gegenspielerprinzip Basiskonzept Entwicklung Baustoffe, Gefahren des Rauchens Umgang mit Fachwissen Die Schülerinnen und Schüler können ... Skelett und Bewegungssystem in wesentlichen Bestandte"/>
        <s v="K die Bedeutung eigener Beiträge für Arbeitsergebnisse einer Gruppe einschätzen und erläutern u. a. bei Untersuchungen, Recherchen, Präsentationen. K Bewertung Die Schülerinnen und Schüler können ... die Angemessenheit des eigenen Verhaltens im Straßenver"/>
        <s v="Leben in extremen Lebensräumen beschreiben. UF die Angepasstheit von Tieren bzw. Pflanzen und ihren Überdauerungsformen an extreme Lebensräume erläutern. UF Erkenntnisgewinnung Die Schülerinnen und Schüler können ... aufgrund von Beobachtungen Verhaltensw"/>
        <s v="Schüler können ... aufgrund eines Energiediagramms eine chemische Reaktion begründet als exotherme oder endotherme Reaktion einordnen. K Verfahren des Feuerlöschens mit Modellversuchen demonstrieren. K Gefahrstoffsymbole und Gefahrstoffhinweise adressaten"/>
        <s v="Berücksichtigung eigener Wertvorstellungen Entscheidungen zur eigenen Lebensplanung treffen zu können. Information und Regulation Auf den verschiedenen Systemebenen biologischer Systeme werden Signale erkannt und ausgetauscht und lösen jeweils spezifische"/>
        <s v="und benennen und deren Funktionen erläutern. UF das Prinzip der Fortpflanzung bei Pflanzen und Tieren vergleichen und Gemeinsamkeiten erläutern. UF Erkenntnisgewinnung Die Schülerinnen und Schüler können ... aufgrund von Beobachtungen Verhaltensweisen in "/>
        <s v="fördert die Fähigkeiten zur Abstraktion, zum Perspektivwechsel und zum logischen sowie vernetzten Denken. Er versetzt die Lernenden in die Lage, Auswirkungen menschlichen Handelns zu erfassen, zu bewerten und ihr eigenes Verhalten zu reflektieren. Biologi"/>
        <s v="Drift, Artbildung, Biodiversität, Koevolution, populationsgenetischer Artbegriff erläutern die Wirkung von Evolutionsfaktoren auf die Entstehung und Veränderung von Arten erläutern Koevolution als Ergebnis der Selektion durch Konkurrenz IB Adaptiver Wert "/>
        <s v="Artbegriff erläutern die Wirkung von Evolutionsfaktoren auf die Entstehung und Veränderung von Arten erläutern Koevolution als Ergebnis der Selektion durch Konkurrenz IB Adaptiver Wert von Verhalten: reproduktive Fitness, Kosten-Nutzen-Analyse werten Verh"/>
        <s v="Reproduktionsmedizin Grundlagen der Immunbiologie Allergien und Autoimmunerkrankungen Diagnostische Verfahren Leitthemen mit Pflicht- und Wahlpflichtbausteinen Unterrichtsstunden GF LF Leitthema Entstehung und Entwicklung des Lebens Pflichtbausteine Absta"/>
        <s v="der Informationsverarbeitung Stress Emotionen und Motivation Schmerz Sucht Erkrankungen des Nervensystems Chronobiologie Signalverarbeitung und Bewegung bei Pflanzen und Einzellern Spezielle Sinnesleistungen bei Tieren Kommunikation und Sprache Neuroethik"/>
        <s v="und neuen Arten führen, ebenso wie die Regeln, nach denen Organismen, inklusive des Menschen, interagieren und Sozialsysteme bilden, besondere Bedeutung in der Forschung. Bei der Betrachtung des adaptiven Wertes von Verhalten stehen die reproduktive Fitne"/>
        <s v="Er bestimmt durch sein aktives Handeln die Faktoren der zukünftigen Selektion mit und übernimmt damit Verantwortung im Sinne einer nachhaltigen Entwicklung. Leitthema Entstehung und Entwicklung des Lebens Abstammung und Verwandtschaft Verhalten als Ergebn"/>
        <s v="Selektion Hinweise, Anregungen und mögliche thematische Anknüpfungen - z. B. Antibiotikaresistenzen Mögliche Vertiefungen und Vernetzungen - Leitthema , Pflichtbaustein: Vielfalt und Vererbung - Leitthema , Pflichtbaustein: Umweltfaktoren, Ressourcen und "/>
        <s v="- Leitthema , Pflichtbaustein: Vielfalt und Vererbung - Leitthema , Pflichtbaustein: Umweltfaktoren, Ressourcen und Populationen Verhalten als Ergebnis von Evolution - Verhaltensökologie Grund- und Leistungsfach Leistungsfach Grundlagen und Ursachen von V"/>
        <s v="Vielfalt und Vererbung - Leitthema , Pflichtbaustein: Umweltfaktoren, Ressourcen und Populationen Verhalten als Ergebnis von Evolution - Verhaltensökologie Grund- und Leistungsfach Leistungsfach Grundlagen und Ursachen von Verhalten adaptiver Wert von Ver"/>
        <s v="Decodierung von Information Hinweise, Anregungen und mögliche thematische Anknüpfungen - evolutionäre Spieltheorie, z. B. Falke-Taube-Modell Mögliche Vertiefungen und Vernetzungen - Leitthema , Wahlpflichtbaustein: Kommunikation und Sprache - Leitthema , "/>
        <s v="Verfahren und biologische Denk- und Arbeitsweisen Grund- und Leistungsfach Leistungsfach Abstammung und Verwandtschaft vergleichende morphologische Untersuchungen Vergleich von DNA-Sequenzen Konstruktion von Stammbäumen Entstehung von Biodiversität Modell"/>
        <s v="die Bewertung anthropogener Eingriffe in Ökosysteme und deren mögliche Konsequenzen für die Dynamik und vorübergehende Stabilität derselben sowie für Biodiversität und Klima. Damit kann die Basis für ein zukunftsfähiges ökologisches Verhalten unter dem As"/>
        <s v="das Bewusstsein. Das Verständnis der neuronalen Plastizität in Abhängigkeit von sensorischer Erfahrung ermöglicht z. B. Rückschlüsse auf das eigene Lernverhalten. Höhere Leistungen neuronaler Netzwerke, wie z. B. Erinnerung, Sprache und Verhalten, lassen "/>
        <s v="Geistes- und Naturwissenschaft werden. Leitthema Informationsverarbeitung in Lebewesen Anatomie und Physiologie neuronaler und hormoneller Kommunikation Fachliche Verfahren und biologische Denk- und Arbeitsweisen Evolution der Informationsverarbeitung Sch"/>
        <s v="und Risiken der Hirnforschung Hinweise und Anregungen - z. B. Hirndoping, Prothesen, Cochleaimplantat Psychoneuroimmunologie Wechselwirkung zwischen Nerven-, Immun- und Hormonsystem Placebo-Effekt Hypothalamus-Hypophysen-Nebennieren-Achse Hinweise und Anr"/>
        <s v="und Anregungen - z. B. Hirndoping, Prothesen, Cochleaimplantat Psychoneuroimmunologie Wechselwirkung zwischen Nerven-, Immun- und Hormonsystem Placebo-Effekt Hypothalamus-Hypophysen-Nebennieren-Achse Hinweise und Anregungen - z. B. Selbstwirksamkeit, Resi"/>
        <s v="z. B. Hirndoping, Prothesen, Cochleaimplantat Psychoneuroimmunologie Wechselwirkung zwischen Nerven-, Immun- und Hormonsystem Placebo-Effekt Hypothalamus-Hypophysen-Nebennieren-Achse Hinweise und Anregungen - z. B. Selbstwirksamkeit, Resilienz Verhalten G"/>
        <s v="Entwicklung des Lebens Thematischer Zusammenhang: Evolution des Menschen Leistungsfach Abb. : Strukturierungsvorschlag LT , Evolution des Menschen Entstehung von Biodiversität Evolutionstheorien Evolutionsmechanismen Evolutionäre Entwicklungsbiologie Evo-"/>
        <s v="Menschen Entstehung von Biodiversität Evolutionstheorien Evolutionsmechanismen Evolutionäre Entwicklungsbiologie Evo-Devo Kommunikation und Sprache - LT Verhalten - LT Abstammung und Verwandtschaft Evolution des Menschen Darstellung stammesgeschichtlicher"/>
        <s v="- LT Verhalten - LT Abstammung und Verwandtschaft Evolution des Menschen Darstellung stammesgeschichtlicher Verwandtschaft Belege für die Evolution Verhalten als Ergebnis von Evolution Verhaltensökologie Kulturelle Evolution Grundlagen und Ursache von Ver"/>
        <s v="Vererbung - Leitthema , Pflichtbaustein: Umweltfaktoren, Ressourcen und Populationen Verhalten als Ergebnis von Evolution - Verhaltensökologie Grund- und Leistungsfach Leistungsfach Grundlagen und Ursachen von Verhalten adaptiver Wert von Verhalten - Verh"/>
        <s v="über Bewegung und Antriebe zur Entwicklung oder Optimierung eigener Modelle. Natürliche und technische Bewegungsformen fordern zur kritischen Bewertungen von Mobilität heraus: Im Zusammenhang mit einer nachhaltigen Entwicklung wird das eigene Verhalten al"/>
        <s v="Artenvielfalt System Lebensräume sind durch Umweltfaktoren z. B. Licht, Beutegreifer charakterisiert. An ausgewählten Tierund Pfl anzenbeispielen wird deutlich, dass Lebewesen an ihren Lebensraum angepasst sind z. B. Maulwurf. Körperbau und Verhalten lass"/>
        <s v="Dieses Themenfeld bietet die Möglichkeit, das Grundverständnis der Kinder von Systemen und Energie zu vertiefen. Die Sonne steuert Entwicklungsvorgänge von Pfl anzen und Tieren im Jahreslauf. Fortpfl anzung, Körperbau und Verhalten von Lebewesen sind jahr"/>
        <s v="den populationsgenetischen Artbegriff. simulieren evolutive Prozesse und diskutieren Möglichkeiten und Grenzen des Modells. grenzen die synthetische Evolutionstheorie von nichtwissenschaftlichen Vorstellungen ab. erklären Koevolution ultimat und vermeiden"/>
        <s v="Experiment zur Toleranz von Organismen gegenüber einem ausgewählten abiotischen Faktor und führen es unter Berücksichtigung des Variablengefüges durch, nehmen quantitative Daten auf und werten sie aus. beobachten und dokumentieren geschlechtsspezifische V"/>
        <s v="ab. erklären Koevolution ultimat und vermeiden dabei finale Begründungen. Das Verhalten eines Individuums beeinflusst seine Überlebenswahrscheinlichkeit und reproduktive Fitness. Sachkompetenz Erkenntnisgewinnungskompetenz Kommunikationskompetenz Bewertun"/>
        <s v="Das Verhalten eines Individuums beeinflusst seine Überlebenswahrscheinlichkeit und reproduktive Fitness. Sachkompetenz Erkenntnisgewinnungskompetenz Kommunikationskompetenz Bewertungskompetenz Die Lernenden... analysieren Kosten und Nutzen von Verhaltensw"/>
        <s v="Konsequenzen für die reproduktive Fitness. erklären Verhaltensweisen aus ultimater und proximater Sicht und vermeiden finale Aussagen. erläutern exogene und endogene Ursachen für das Sozialverhalten von Primaten. beobachten und dokumentieren geschlechtssp"/>
        <s v="u. a. auch beim Menschen wechselseitige Angepasstheiten zwischen interagierenden artfremden Lebewesen als Ergebnis einer Koevolution. leiten Selektionsvorteile des Menschen ab, die sich durch die v. a. sprachliche Weitergabe von erlerntem Verhalten und Wi"/>
        <s v="Selektionsformen stabilisierend, transformierend, disruptiv, Alleldrift; Fitness Artbildung als Folge von geographischer und ökologischer Isolation; reproduktive Isolation und populationsgenetischer Artbegriff; Problematik des Artbegriffs Koevolution: mut"/>
        <s v="Menschen: z. B. Rodung, Ackerbau, Viehzucht Grenzen und Gefahren des Eingriffs in natürliche Evolutionsprozesse: z. B. Überzüchtung, Veränderung des Genpools, Sozialdarwinismus B Lernbereich : Verhaltensökologie - Evolution und Angepasstheit von Verhalten"/>
        <s v="der Primaten im Hinblick auf exogene und endogene Ursachen, um ausgewählte menschliche Verhaltensweisen zu erklären. Dabei treten sie einseitig biologistischen Erklärungsansätzen kritisch gegenüber. Inhalte zu den Kompetenzen: adaptiver Wert von Verhalten"/>
        <s v="sie einseitig biologistischen Erklärungsansätzen kritisch gegenüber. Inhalte zu den Kompetenzen: adaptiver Wert von Verhalten; direkte und indirekte reproduktive Fitness verhaltensökologische Forschung: Kosten-Nutzen-Analyse, Optimalitätsmodell, ggf. verg"/>
        <s v="Evolutionsprozesse: z. B. Überzüchtung, Veränderung des Genpools, Sozialdarwinismus B Lernbereich : Verhaltensökologie - Evolution und Angepasstheit von Verhalten ca. Std. Kompetenzerwartungen Die Schülerinnen und Schüler ... erklären das Auftreten versch"/>
        <s v="ca. Std. Kompetenzerwartungen Die Schülerinnen und Schüler ... erklären das Auftreten verschiedener Verhaltensweisen, indem sie deren Einfluss auf die Gesamtfitness des Lebewesens beurteilen. wenden Methoden der verhaltensökologischen Forschung an, um Ver"/>
        <s v="und Fortpflanzung zu analysieren und deren Bedeutung für die Weitergabe der genetischen Information zu erklären. analysieren das Sozialverhalten der Primaten im Hinblick auf exogene und endogene Ursachen, um ausgewählte menschliche Verhaltensweisen zu erk"/>
        <s v="Ein weiterer Schwerpunkt ist die Entwicklung der Bewertungskompetenz: An geeigneten Fachinhalten lernt der Schüler, naturwissenschaftliche Sachverhalte, Entscheidungen und Handlungen sachgerecht zu bewerten sowie Bewertungen für seine eigene Entscheidungs"/>
        <s v="sachgerecht darstellen, - respektvoll mit anderen Personen umgehen, - Konflikte angemessen bewältigen und - seine naturwissenschaftlichen Kenntnisse bewusst nutzen, um Entscheidungen im Alltag sachgerecht zu treffen und sich entsprechend zu verhalten Eing"/>
        <s v="Phänomenen entwickelt, -naturwissenschaftliche Alltagsphänomene hinterfragt und sie unter Nutzung von Fachwissen versteht, -naturwissenschaftliche Methoden erlernt und anwenden kann, -seine Kompetenzen nutzt, um fachliche Sachverhalte fachlich richtig und"/>
        <s v="Objekte, Vorgänge ordnen und klassifizieren. Definieren - ausgewählte Begriffe aus den Bereichen Biologie, Chemie und Physik definieren. Ableiten/Begründen - kausale Beziehungen zwischen Struktur und Funktion ableiten/ begründen, - Maßnahmen und Verhalten"/>
        <s v="persönliche festlegen, - Sachverhalte unter Verwendung von Fachwissen an den Kriterien messen, - die Ergebnisse wichten, - einen Standpunkt formulieren. Bewerten von naturwissenschaftlich bedeutsamen Sachverhalten - ausgewählte Entscheidungen, Maßnahmen u"/>
        <s v="Kriterien messen, - die Ergebnisse wichten, - einen Standpunkt formulieren. Bewerten von naturwissenschaftlich bedeutsamen Sachverhalten - ausgewählte Entscheidungen, Maßnahmen und Verhaltensweisen bewerten, d. h. Maßnahmen zur gesundheitsfördernden Leben"/>
        <s v="Alleldrift; Fitness Artbildung als Folge von geographischer und ökologischer Isolation; reproduktive Isolation und populationsgenetischer Artbegriff; Problematik des Artbegriffs Koevolution: mutualistisch, antagonistisch B Lernbereich : Verhaltensökologie"/>
        <s v="Verhaltensweisen zum Überleben des Individuums bei Kooperation, Aggression und Fortpflanzung zu analysieren und deren Bedeutung für die Weitergabe der genetischen Information zu erklären. Inhalte zu den Kompetenzen: adaptiver Wert von Verhalten; direkte u"/>
        <s v="Weitergabe der genetischen Information zu erklären. Inhalte zu den Kompetenzen: adaptiver Wert von Verhalten; direkte und indirekte reproduktive Fitness verhaltensökologische Forschung: Kosten-Nutzen-Analyse, Optimalitätsmodell, ggf. vergleichende Methode"/>
        <s v="populationsgenetischer Artbegriff; Problematik des Artbegriffs Koevolution: mutualistisch, antagonistisch B Lernbereich : Verhaltensökologie - Evolution und Angepasstheit von Verhalten ca. Std. Kompetenzerwartungen Die Schülerinnen und Schüler ... erkläre"/>
        <s v="eines Phänomens angemessen. Lebensweltbezogenes Lernen Biologisches Wissen ermöglicht die Erklärung von Lebensprozessen, insbesondere auch die der eigenen Person, sowie von evolutionären Entwicklungsprozessen. Dies beeinflusst das Handeln in unterschiedli"/>
        <s v="den Verlauf des weiblichen Zyklus ableiten Kommunikationskompetenz - biologische Veränderungen während der Pubertät darstellen - Möglichkeiten der Prävention vor sexuellem Missbrauch reflektieren und mit Alltagssituationen in Beziehung setzen z. B. Verhal"/>
        <s v="im Sinne einer nachhaltigen Entwicklung aus ökologischer, ökonomischer und sozialer Perspektive bewerten z. B. Veredelung von Nahrungsmitteln, Abfallbeseitigung, nachhaltige Abfallvermeidung - Maßnahmen zur Abfallbeseitigung, Mülltrennung und -vermeidung "/>
        <s v="für Menschen ableiten - exemplarisch Nahrungsbeziehungen mit wirbellosen Tieren erläutern - Fortpflanzung und Entwicklung von Insekten beschreiben sowie die Abhängigkeit der Populationsentwicklung von Umweltfaktoren begründen Erkenntnisgewinnungskompetenz"/>
        <s v="unvollständige Metamorphose bei Insekten - Wechselwirkung von Lebensbedingungen und Fortpflanzungsrate - Bedeutung der Honigbiene und anderer Insekten für den Menschen - Population, Massenvermehrung von Insekten, Schädlingsbekämpfung, Nahrungsbeziehungen "/>
        <s v="zwischen ungesunder Lebensweise und möglichen Erkrankungen bzw. Verminderung der Lebensqualität darstellen sowie Schlussfolgerungen für das eigene Handeln anhand von Kriterien ableiten - Infektionsrisiken und Möglichkeiten der Immunisierung reflektieren -"/>
        <s v="Risikofaktoren und Auswirkung von Süchten und Stress kriteriengeleitet bewerten - Maßnahmen und Verhaltensweisen zur Erhaltung der eigenen Gesundheit beurteilen und soziale Verantwortung exemplarisch ableiten - Einfluss der Umwelt auf eigenes Verhalten be"/>
        <s v="Stellung nehmen z. B. regenerative Energien, Recycling - gesellschaftliche Handlungsoptionen einer umwelt- und naturverträglichen Teilhabe im Sinne der Nachhaltigkeit erörtern z. B. nachwachsende Rohstoffe, Landschaftsgestaltung, Erhalt der Biodiversität "/>
        <s v="Prozess der Erkenntnisgewinnung reflektieren - Methoden zur Erforschung der Stammesgeschichte auf phänotypischer und molekulargenetischer Ebene erläutern sowie Möglichkeiten und Grenzen des Erkenntnisgewinnungsprozesses reflektieren Kriterien wissenschaft"/>
        <s v="B. Diabetes - chemische Zeichensprache auf biologische Prozesse anwenden Bewertungskompetenz - Möglichkeiten und Grenzen biologischer Sichtweisen z. B. experimentelle Methode beurteilen - zu Zusammenhängen zwischen Diabetes und Lebensführung sowie eigenem"/>
        <s v="Herkunft in Bezug auf spezifische Interessenlagen beurteilen - anhand relevanter Bewertungskriterien Handlungsoptionen in gesellschaftlich oder alltagsrelevanten Entscheidungssituationen in Bezug auf den Missbrauch von Drogen und leistungssteigernden Subs"/>
        <s v="Simulationen analysieren und den Prozess der Erkenntnisgewinnung reflektieren - Methoden zur Erforschung der Stammesgeschichte erläutern sowie Möglichkeiten und Grenzen des Erkenntnisgewinnungsprozesses reflektieren - Kriterien wissenschaftlicher Wissensp"/>
        <s v="und den Prozess der Erkenntnisgewinnung reflektieren - eine morphologische und eine molekulare Methode zur Erforschung der Stammesgeschichte auf phänotypischer und molekulargenetischer Ebene erläutern Kriterien wissenschaftlicher Wissensproduktion zum ada"/>
        <s v="und Effektoren unter Berücksichtigung energetischer Aspekte exemplarisch erläutern - biologische Grundlagen von Sucht und Stress materialgestützt ableiten - lebensrettende Sofortmaßnahmen begründen - Wirkmechanismen von Hormonen materialgestützt erklären "/>
        <s v="Sinneszelle - Struktur und Funktion der Fotorezeptoren, Rezeptorpotenzial - Hormone: Hormonwirkung Steroidhormone und Peptidhormone, Verschränkung hormoneller und neuronaler Steuerung - Stress: Adrenalin als Stresshormon, Eustress, Disstress - proximate E"/>
        <s v="biotechnologischen Insulinproduktion mediengestützt auswerten und digital präsentieren Bewertungskompetenz - Interaktion von Sinnesorganen und Gehirn des Menschen reflektieren - Risikofaktoren und Auswirkung von Süchten und Stress kriteriengeleitet bewert"/>
        <s v="lebensrettende Sofortmaßnahmen begründen - Wirkmechanismen von Hormonen materialgestützt erklären - Grundelemente des Verhaltens auf proximater Ebene im Zusammenhang mit Reflexen sowie dem Schlüsselreiz-AAM-Konzept exemplarisch erläutern - Lernvorgänge al"/>
        <s v="Nervenzellen Basiskonzept System, das in der Unterrichtseinheit Nervensystem vertieft wird. In der Unterrichtseinheit Suchtmittel und Süchte erhalten die Schülerinnen und Schüler ein fundiertes Fachwissen über Merkmale und Formen von süchtigem Verhalten, "/>
        <s v="Verlangen nach einem bestimmten Erlebniszustand, diskutieren Merkmale der Sucht und setzten sie in Beziehung zu Alltagsvorstellungen, unterscheiden stoffgebundene und stoffungebundene Süchte, unterscheiden legale und illegale Suchtmittel, geben an, dass r"/>
        <s v="und stoffungebundene Süchte, unterscheiden legale und illegale Suchtmittel, geben an, dass riskantes Verhalten in Bezug auf Suchtstoffe und suchtpotente Medien sich schädigend auswirken kann, bewerten Komatrinken als Beispiel für riskantes Verhalten in Be"/>
        <s v="Dies ist insbesondere der Fall, wenn illegale Suchtmittel konsumiert werden oder wenn durch den Konsum legaler Suchtmittel geltende rechtliche Regelungen zum Beispiel des Jugendschutzgesetzes oder des Nichtraucherschutzgesetzes verletzt werden. Missbräuch"/>
        <s v="konsumiert werden oder wenn durch den Konsum legaler Suchtmittel geltende rechtliche Regelungen zum Beispiel des Jugendschutzgesetzes oder des Nichtraucherschutzgesetzes verletzt werden. Missbräuchliches Verhalten liegt auch vor, wenn sich das problematis"/>
        <s v="Folgen von Suchtmittelmissbrauch für die Gesundheit und die soziale Situation des/der Konsumierenden und für seine Mitmenschen, geben an, dass Suchtprävention auf die Verhinderung der Entwicklung riskanten bzw. süchtigen oder abhängigen Verhaltens zielt u"/>
        <s v="Nahrung bzw. das Sonnenlicht Lebewesen wandeln Energie um Kohlenhydrate und Fette als Energieträger Lichtenergie als Energiequelle für die Fotosynthese Ökosysteme sind durch Stoffkreisläufe und Energieflüsse gekennzeichnet Einführungsphase Trophiestufen K"/>
        <s v="und nicht erneuerbare Ressourcen Ökosysteme Bevölkerungswachstum nachhaltige Artennutzung natürliche Ressourcen persönlicher Material- und Energieverbrauch Schutz menschlicher Populationen Lebensqualität Nahrungsmittelerzeugung Nahrungsmittelverteilung En"/>
        <s v="die Basiskonzepte der EPA werden hier zunächst die Kennzeichen des Lebens eingeführt. Reizbarkeit Lebewesen orientieren sich Sich in der Welt zurechtfinden - jeder macht es anders Umweltreize Sinnesorgane der Tiere Verhalten eines Wirbeltieres Kommunikati"/>
        <s v="SE- IK- VA- VA- Evolution SF- SF- R- R- SR- SR- SE- IK- VA- VA- VA- VA- VA- VA- GV- GV- GV- GV- GV- GV- GV- GV- GV- Neurobiologie und Verhalten R- K- SR SE- IK- IK- VA- VA- Unterricht in der Einführungsphase - Evolutionsökologie Die Geschichte des Lebens "/>
        <s v="OS-VA OS-VA OS-VA OS-VA OS-GV OS-GV OS-GV OS-GV Artbildung Wie konnte alles entstehen Die Bildung von Arten erklären Wie kann die Entstehung von Arten erklärt werden Wie kann man das Verhalten von Tieren erklären Evolutionsfaktoren Artbildung Synthetische"/>
        <s v="Die Bildung von Arten erklären Wie kann die Entstehung von Arten erklärt werden Wie kann man das Verhalten von Tieren erklären Evolutionsfaktoren Artbildung Synthetische Evolutionstheorie proximate und ultimate Ursachen von Verhalten Kosten-Nutzen-Analyse"/>
        <s v="Zelltod Proteinbiosynthese bei Eukaryoten Embryonalstadien und Entwicklung im Mutterleib gentechnische Verfahren in der Tier- und Pflanzenzüchtung gentechnische Verfahren in der Medizin Lernabschnitt : Fortpflanzung genetische Vielfalt des Menschen MHC-Sy"/>
        <s v="Proteinbiosynthese bei Eukaryoten Embryonalstadien und Entwicklung im Mutterleib gentechnische Verfahren in der Tier- und Pflanzenzüchtung gentechnische Verfahren in der Medizin Lernabschnitt : Fortpflanzung genetische Vielfalt des Menschen MHC-System Par"/>
        <s v="In-vitro-/in-vivo-Fertilisation Leihmutterschaft Adoption Lernabschnitt : Evolution des Menschen aktueller molekulargenetischer Stammbaum der Hominiden und des Menschen Faktoren der Menschwerdung Neurone neuronale Netze das menschliche Gehirn als Produkt "/>
        <s v="Schüler... ./ Jahrgang Jahrgang Jahrgang . Jahrgang Sek I - IK Informationsaufnahme ist die Grundlage für Kommunikation. beschreiben die Informationsaufnahme als Grundlage für die Reaktion von Lebewesen auf ihre Umwelt. Verhalten eines Wirbeltieres Sek I "/>
        <s v="Modellorganismus Parasexualität bei Bakterien Transformation Konjugation Transduktion beschreiben und erklären Sonderfälle bei sexuell reproduktiven Organismen. z.B. Parthenogenese OS - R Die Partnerwahl basiert auf genetischer Disposition. beschreiben un"/>
        <s v="können mit Hilfe von proximaten und ultimaten Ursachen erklärt werden. erklären das Verhalten von Tieren, indem sie zwischen proximaten und ultimaten Ursachen von Verhalten unterscheiden. proximate und ultimate Ursachen von Verhalten Kosten-Nutzen-Analyse"/>
        <s v="von proximaten und ultimaten Ursachen erklärt werden. erklären das Verhalten von Tieren, indem sie zwischen proximaten und ultimaten Ursachen von Verhalten unterscheiden. proximate und ultimate Ursachen von Verhalten Kosten-Nutzen-Analyse von Verhalten OS"/>
        <s v="Basiskonzepts Information und Kommunikation / - Oberstufe Population Kommunikationsprozesse stabilisieren soziale Verbände. Kommunikation ist ein zentraler Bestandteil der Evolution des Menschen. OS-IK,OS-IK Organismus Informationsaufnahme und Verarbeitun"/>
        <s v="ermöglicht den Gasaustausch. Verdauung, Blutkreislauf und äußere Atmung ermöglichen die Energiebereitstellung. Sek I-SE, Sek I-SE, Sek I-SE, Sek I-SE Lebewesen werden als offene Systeme in einem Fließgleichgewicht beschrieben. Kosten-Nutzen-Analysen von V"/>
        <s v="Schwerpunkte, bevor zum Ende der Schulzeit die aktuellen Erkenntnisse zur Evolution des Menschen vorgestellt werden. Das menschliche Gehirn als Ergebnis eines Evolutionsprozesses sowie die proximate und ultimate Sicht auf die Verhaltensweisen von Organism"/>
        <s v="Evolutionsfaktoren geklärt Artbildung Artbildungsprozesse werden durch die Synthetische Evolutionstheorie erklärt. Der Organismus wird als Mitglied einer Art in seiner Population Artbegriff und als Teil des Ökosystems beschrieben. Proximate und ultimate V"/>
        <s v="Arten erklären Wie kann die Entstehung von Arten erklärt werden Wie kann man das Verhalten von Tieren erklären Evolutionsfaktoren Artbildung Synthetische Evolutionstheorie proximate und ultimate Ursachen von Verhalten Kosten-Nutzen-Analyse von Verhaltensw"/>
        <s v="globaler Einfluss Sek I - SE Nachhaltigkeit bedeutet, ein Ökosystem zu nutzen, ohne die Existenzgrundlage des Menschen zu zerstören. erklären Nachhaltigkeit als die Bewahrung der natürlichen Regenerationsfähigkeit der Biosphäre. beschreiben Verhaltensweis"/>
        <s v="wieder abgeben. Produzenten Konsumenten Destruenten OS - SE Die Energiemenge, die ein Organismus Individuum in Lebensprozesse investieren kann, ist beschränkt. beschreiben unterschiedliche Strategien der Energienutzung bei Organismen. Kosten-Nutzen-Analys"/>
        <s v="dieser Grundlage die Aussagen zur Sicherheit kritisch reflektieren E, E, B. Bewertung Die Schülerinnen und Schüler können die Übernahme von Verantwortung für sich selbst und andere im Hinblick auf sexuelles Verhalten an Fallbeispielen diskutieren B, K, be"/>
        <s v="Pubertät und unterstützt die Persönlichkeitsentwicklung durch die Reflexion der eigenen Rolle und des eigenen Handelns. Leitend sind insgesamt die Erziehung zu partnerschaftlichem und verantwortungsbewusstem Handeln, zu Respekt vor verschiedenen sexuellen"/>
        <s v="k d k ti Es ist wichtig, die vielfältigen Bedürfnisse und Interessen von Mädchen und Jungen sowie Lernenden mit weiteren Geschlechtsidentitäten zu berücksichtigen, die z. B. in Sprache, Idolen, Mode, Verhalten und Umgang miteinander zum Ausdruck kommen. E"/>
        <s v="medizinische, hygienische, psychologische und sexualwissenschaftliche Grundlagen ermöglicht. Es soll sowohl Sachinformationen über die körperliche Entwicklung und die damit verbundenen Veränderungen im emotionalen Bereich enthalten als auch sexuelles Erle"/>
        <s v="Vergleichen sowie Modellbildung und Simulation. Das Sammeln von Daten und der Umgang mit Diagrammen sind weitere zu entwickelnde naturwissenschaftliche Kompetenzen. Das experimentelle Arbeiten erfordert planvolles Vorgehen, Beständigkeit, Teamfähigkeit un"/>
        <s v="zu erheblichen Umwelt- und Gesundheitsproblemen. Die Auseinandersetzung mit den Umweltauswirkungen und den gesundheitlichen Belastungen durch Schadstoffe in der Luft sind geeignet, ein Bewusstsein dafür zu vermitteln, dass jeder durch sein Verhalten zur R"/>
        <s v="Erkenntnismethoden und Arbeitstechniken leiten den Unterricht grundsätzlich und sind bei jedem Rahmenthema zu berücksichtigen. Basiskonzepte Rahmenthemen Struktur und Funktion, mit Angepasstheit mit Variabilität und Vielfalt der Organismen Lernen, Wahrneh"/>
        <s v="Funktion, mit Angepasstheit mit Variabilität und Vielfalt der Organismen Lernen, Wahrnehmung und Verhalten Immunität und Immunisierung System mit Steuerung und Regelung mit Stoffwechsel und Energieumwandlung mit Wechselwirkungen Lernen, Wahrnehmung und Ve"/>
        <s v="Fachkonferenzen legen im Rahmen des Schulprogramms den Umfang der Themen fest. Durch eine geschickte Wahl der Beispiele sind in einem Kontext mehrere Standards zu bearbeiten. Rahmenthemen Jahrgangsstufe Lernen, Wahrnehmung und Verhalten Entwicklung und Ve"/>
        <s v="Rahmenthemen Jahrgangsstufe Lernen, Wahrnehmung und Verhalten Entwicklung und Verantwortung Leistungsfähigkeit durch energiereiche Stoffe Immunität und Immunisierung Zusammenhänge im Ökosystem Leben auf der Erde - woher, wohin / Lernen, Wahrnehmung und Ve"/>
        <s v="Lernen angewendet werden. Es ist sinnvoll, konkrete methodische Lernhilfen mit den Schülerinnen und Schülern zu entwickeln. Eine interdisziplinäre Herangehensweise ist zur Bearbeitung der Auswirkungen von Alkohol- und Drogengenuss auf das Verhalten erford"/>
        <s v="Regelung; mit Wechselwirkungen g g Der Themenkomplex Wachstum und Entwicklung hat einen Bezug zu den altersgemäßen Erfahrungen der Schülerinnen und Schüler. Sie erleben unbewusst, dass körpereigene Botenstoffe das Befinden, das Verhalten und die biologisc"/>
        <s v="ermöglichen, darüber hinausgehende Kompetenzen zu erwerben und weiter zu entwickeln. Eine thematisch-inhaltliche Reihenfolge innerhalb der Doppeljahrgangsstufe wird durch die Standards nicht festgeschrieben. Anforderungen am Ende der Jahrgangsstufe Lernen"/>
        <s v="die Funktion des Gehirns und des Rückenmarks beschreiben, die Erregungsleitung in Nervenzellen durch elektrische Impulse und chemische Botenstoffe darstellen, Reflexe beschreiben, die Wirkung von Alkohol und Drogen auf Reaktionsvermögen und Verhalten besc"/>
        <s v="Meinung und der Bewertungsfähigkeit zu fördern. Die im Biologieunterricht anzustrebenden Kompetenzen sind den nachfolgenden Kompetenzbereichen zugeordnet. Sie tragen bei gleichwertiger Berücksichtigung im Unterricht zur schrittweisen Entwicklung anschluss"/>
        <s v="anderen Medien u. a. zu Gefahren von Tabak und Alkohol zusammenfassend wiedergeben. K, K Informationen aus Texten und Abbildungen zu Fehlbelastungen des menschlichen Skeletts und möglichen Schäden zusammenfassen sowie richtiges Verhalten vorführen. K, K I"/>
        <s v="Bewertung Die Schülerinnen und Schüler können... Vorteile reflektierender Kleidung für die Sicherheit im Straßenverkehr begründen und für die eigene Sicherheit anwenden. B Präventionsmaßnahmen gegen Lärmschädigungen beurteilen und Konsequenzen für eigenes"/>
        <s v="Lebewesen kriteriengeleitet mittels Bestimmungsschlüssel bestimmen. UF, E das Prinzip der sexuellen Fortpflanzung bei Pflanzen und Tieren vergleichen und Gemeinsamkeiten erläutern. UF Erkenntnisgewinnung Die Schülerinnen und Schüler können... aufgrund von"/>
        <s v="Ökosysteme Wahlbereich : Nachwachsende Rohstoffe Wahlbereich : Energiehaushalt des Menschen Jahrgangsstufe - Leistungskurs Lernbereich : Grundlagen, Anwendungen und Perspektiven der Genetik Ustd. Lernbereich : Kommunikation zwischen Zellen Ustd. Lernberei"/>
        <s v="und Funktion, Wechselwirkung Zusammenspiel von Beuger und Strecker SPO, LB Wintersport SPO, Kl. -, LB Fitness Beurteilen von Maßnahmen zur Gesunderhaltung durch Bewegung und Sport Haltungsschäden Verantwortungsbereitschaft Sich positionieren zum Verhalten"/>
        <s v="Erdfrühzeit bis zur Erdneuzeit gewinnen EF Zeit GEO, Kl. , LB Kennen der Stellung des Menschen im System der Organismen EF Vielfalt Vergleich Mensch mit Menschenaffen Anatomie Schädel, Extremitäten, Wirbelsäule Verhalten Lernverhalten, Kommunikation, Aggr"/>
        <s v="neuro-neuronale Synapse neuro-muskuläre Synapse Lernbereich : Biodiversität und ihre Entstehung Ustd. Kennen des populationsgenetischen Artbegriffs Wert von Biodiversität Bildung für nachhaltige Entwicklung Kennen von Verhaltensursachen und des adaptiven "/>
        <s v="exemplarische Behandlung: Elektroenzephalografie EEG, Elektromyografie EMG Anwendung der Kenntnisse über Hormon- und Nervensystem auf die Verschränkung hormoneller und neuronaler Steuerung beim Menschen EF Information, Regelkreis Regulation im Hypothalamu"/>
        <s v="Methoden und Bedeutung der Verhaltensbiologie EF Information, Regulation vorurteilsfreies Beobachten, Ethogramm, Tierschutz Nutzung digitaler Medien zur Verhaltensbeobachtung Medienbildung Kennen von Verhaltensursachen endogene und exogene proximate und u"/>
        <s v="Beobachten, Ethogramm, Tierschutz Nutzung digitaler Medien zur Verhaltensbeobachtung Medienbildung Kennen von Verhaltensursachen endogene und exogene proximate und ultimate adaptiver Wert von Verhalten Kosten-Nutzen-Analyse, Fitnessmaximierung Anwenden de"/>
        <s v="Biodiversität und ihre Entstehung Ustd. Kennen des populationsgenetischen Artbegriffs Wert von Biodiversität Bildung für nachhaltige Entwicklung Kennen von Verhaltensursachen und des adaptiven Wertes von Verhalten EF Information, Regulation Besonderheiten"/>
        <s v="Beispiele Kennen von Merkmalen und Lebenserscheinungen der Lurche typische Merkmale feuchte, drüsenreiche Haut, wechselwarme Körpertemperatur, Feuchtlufttier Angepasstheit an den Lebensraum Hinführung EF Struktur und Funktion, Angepasstheit Körperbedeckun"/>
        <s v="Knochen, Brustbeinkamm, Flügel Atmungsorgan - Fliegen Lunge mit Luftsäcken Schnabelform - Nahrung Formen Fortpflanzung der Vögel EF Fortpflanzung Haushuhn innere Befruchtung Bau des Hühnereies Untersuchen eines Hühnereies SE Kennen ausgewählter Verhaltens"/>
        <s v="Beispiele Anwenden der Erschließungsfelder auf Merkmale und Lebenserscheinungen der Säugetiere Lernkompetenz typische Merkmale Fell, lebendgebärend, Säugen der Nachkommen, gleichwarme Körpertemperatur Untersuchen von Fellproben mit der Lupe SE zeichnerisc"/>
        <s v="und eines Wildtieres Sinnesleistungen als Grundlage des Informationsaustausches Sender-Empfänger-Modell Hund, Katze Beziehungen zwischen den Vertretern einer Art Rudel, Kooperation, Rangordnung, Aggression, Revier Angepasstheit von Säugetieren an ihre Leb"/>
        <s v="Fortpflanzung - Erzeugung von Nachkommen GS SU, Kl. , LB Bau und Funktion der Geschlechtsorgane Pubertät, Menstruation, Pollution innere Befruchtung Eltern-Kind-Beziehungen Verantwortungsbereitschaft Beurteilen der Problematik des sexuellen Missbrauchs ab"/>
        <s v="Weltverständnisses hinsichtlich der Mechanismen und Tendenzen der Evolution Die Schüler erkennen an ausgewählten humanbiologischen Sachverhalten ihre Verantwortung gegenüber sich selbst und der Gesellschaft. Dabei lernen sie das vorurteilsfreie Werten unt"/>
        <s v="Medien informatische Bildung Medienbildung Mikroskopieren SE Heuaufguss, Tümpelwasser Ziele Entwickeln des naturwissenschaftlichen Denkens und Arbeitens zum Erfassen der Vernetztheit biologischer Phänomene Die Schüler erweitern ihr Wissen über Bau, Leistu"/>
        <s v="eines naturwissenschaftlich fundierten Weltverständnisses hinsichtlich der Mechanismen und Tendenzen der Evolution Die Schüler erkennen an weiteren humanbiologischen Sachverhalten ihre Verantwortung gegenüber sich selbst und gegenüber der Gesellschaft. Si"/>
        <s v="und Wechselwirkung auf evolutionäre Entwicklungstendenzen EF Vielfalt Kl. , LB Struktur- und Funktionsbeziehungen Spezialisierung Angepasstheit der Vogelschnäbel an die Ernährung, Wechselwirkung zwischen Insekten und Blüten bei der Insektenbestäubung gene"/>
        <s v="Verantwortungsbereitschaft Wahlbereich : Nervensysteme Anwenden der Kenntnisse über Kommunikation von Zellen auf Nervensysteme diffuses und zentrales Nervensystem, peripheres und vegetatives Nervensystem g Gestalten von Beobachtungen und Untersuchungen ti"/>
        <s v="Bestimmung und Einordnung ins System SE traditionelle und digitale Medien zur dichotomen Bestimmung Angepasstheit an Umweltfaktoren Licht, Wasser Wahlbereich : Verhaltensbiologisches Praktikum Gestalten von Beobachtungen und Untersuchungen tierischer oder"/>
        <s v="Verantwortlichkeit ihr gegenüber zu entwickeln und zu zeigen, bedeutet aktiv für sie eintreten zu müssen. Indem wir darauf achten im Umgang mit der Natur Ressourcen zu schonen und aus unserem Verhalten auftretende Schäden zu minimieren, treten wir für das"/>
        <s v="Ohr werfen Fragen zum Gesundheitsschutz auf. swege werden auch durch die Wirkung der Hormone als Botenstoffe deutlich. Beispiele Erkenntnisgewinnung Arbeiten mit physiologischen Modellen Beobachten, Beschreiben und Vergleichen von Phänomenen ezifischen Ve"/>
        <s v="geeigneter Form en ökologischer Beziehungen zeigen Vernetzungen verschiedener Ökosysteme. In diewerden die Gründe für deren Gefährdung durch Eingriffe des Menschen ersichtlich. Veranschaulichung von Daten mit angemessenen Gestaltungsmitteln Bewertung Beur"/>
        <s v="Abschluss der Jahrgangsstufe ezüge zu Kompetenzbereichen Inhaltliche Schwerpunkte Bezüge zu Kompetenzbereichen Informationsfluss im Organismus und zwischen Organismen kenntnisgewinnung bachtung, Beschreibung und Verch von Reiz-Reaktions-Mechanisn bei Tier"/>
        <s v="und zwischen Organismen kenntnisgewinnung bachtung, Beschreibung und Verch von Reiz-Reaktions-Mechanisn bei Tier und Mensch alyse von Verhaltensweisen bei us- oder Nutztieren mmunikation essatengerechte und sachgerechte chreibung und Erläuterung von halte"/>
        <s v="Reiz-Reaktions-Mechanisn bei Tier und Mensch alyse von Verhaltensweisen bei us- oder Nutztieren mmunikation essatengerechte und sachgerechte chreibung und Erläuterung von haltensweisen Verhaltensweisen von Tieren: intra- und interspezifisch des Menschen: "/>
        <s v="die Meinungsbildung. Zahlreiche Themen geben Anlass, Sachverhalte unter biologischen und außerfachlichen Gesichtspunkten zu bewerten. Die Lernenden bewerten die gesellschaftlichen Auswirkungen menschlichen Handelns und werden dadurch in die Lage versetzt,"/>
        <s v="wie auch proximater und ultimater Erklärungsweisen kann in diesem Themenfeld analysiert werden. Das Themenfeld bietet besondere Anknüpfungspunkte zu den übergreifenden Themen Nachhaltige Entwicklung/Lernen in globalen Zusammenhängen und Gewaltprävention. "/>
        <s v="Motivation, Modellvorstellungen - Konfliktverhalten Sozialverhalten - Kommunikation - Formen des Zusammenlebens, Sozialstrukturen - Reviere, Fortpflanzungsstrategien - Rangordnung, Aggression Physiologische Grundlagen des Verhaltens - Informationsaufnahme"/>
        <s v="von nicht-naturwissenschaftlichen Vorstellungen abgrenzen - Grundlegende Prinzipien der Evolution: - Mutation, Rekombination, Selektion, Isolation, Drift - Variation, Fitness, Biodiversität - Verwandtschaft, allopatrische Artbildung, populationsgenetische"/>
        <s v="Fitnessmaximierung Information und Kommunikation - Weitergabe von Erfahrungen als Bestandteil der kulturellen Evolution des Menschen - sexuelle Selektion - Sozialverhalten bei Primaten Individuelle und evolutive Entwicklung - ultimate Ursachen von Verhalt"/>
        <s v="zusätzlich zum Grundkurs mögliche Beiträge zur Kompetenzentwicklung Die Lernenden ... - unterscheiden zwischen Alltagsund Fachsprache bei der Abgrenzung nichtnaturwissenschaftlicher Vorstellungen zur Evolution. K - betrachten den Zusammenhang von Evolutio"/>
        <s v="Bewertungskompetenz Basiskonzepte Struktur und Funktion Stoff- und Energieumwandlung Information und Kommunikation Steuerung und Regelung Individuelle und evolutive Entwicklung Themenfelder und Inhalte Wahlpflichtthemen für die Einführungsphase in der Jah"/>
        <s v="eine Vorwegnahme von Inhalten aus der Qualifikationsphase zu vermeiden. Die Reihenfolge der Themenfelder ist nicht festgelegt. Dies ermöglicht es, basierend auf einer geeigneten Lernstandsdiagnose schulspezifische Angebote zu gestalten. Biologie des Verha"/>
        <s v="- proximate und ultimate Ursachen - Reflexe - Auslöser, Motivation, Modellvorstellungen - Konfliktverhalten Sozialverhalten - Kommunikation - Formen des Zusammenlebens, Sozialstrukturen - Reviere, Fortpflanzungsstrategien - Rangordnung, Aggression Physiol"/>
        <s v="um Fragestellungen zu entwickeln und um proximate und ultimate Ursachen zu unterscheiden - Beobachtungen unter Laborbedingungen im Sinne eines hypothetischdeduktiven Vorgehens - Experimente zu kausalen Erklärungen menschlichen Lernverhaltens Biologie des "/>
        <s v="auf, leiten sie in Form elektrischer Erregungen weiter und verarbeiten diese. Im Leistungskurs wird die Betrachtung auf die organismische Ebene erweitert und mit der hormonellen Ebene bei der Steuerung menschlichen Verhaltens verschränkt. Das Themenfeld b"/>
        <s v="Qualifikationsphase zu vermeiden. Die Reihenfolge der Themenfelder ist nicht festgelegt. Dies ermöglicht es, basierend auf einer geeigneten Lernstandsdiagnose schulspezifische Angebote zu gestalten. Biologie des Verhaltens Das Beobachten und Analysieren d"/>
        <s v="Heroin von den Schülerinnen und Schülern selbst thematisiert, kann ihr Vorwissen als motivierender Einstieg genutzt werden, sollte aber nicht vertieft werden. Die Schülerinnen und Schüler sollen vielmehr unterstützt werden, riskantes Verhalten z. B. exzes"/>
        <s v="grundlegender Begriff der Systematik, Klassifikation und Taxonomie. Als Arten bezeichnet man Gruppen von Individuen, die durch Abstammungsbande zwischen Eltern und Nachkommen Nachkommenschaft gekennzeichnet sind Tokogenie und in Gestalt, Physiologie und V"/>
        <s v="es gegebenenfalls. Thema: Merkmale und Lebensbedingungen von Tieren und Pflanzen Inhalte aus der Biologie - Merkmale des Lebens - Arten und ihre spezifischen Merkmale, einfache Bestimmungshilfen - Körperbau, Fortpflanzung, Entwicklung, Verhalten Technik: "/>
        <s v="Drift, Artbildung, Biodiversität, Koevolution, populationsgenetischer Artbegriff Synthetische Evolutionstheorie, Abgrenzung von nicht-naturwissenschaftlichen Vorstellungen Stammbäume: ursprüngliche und abgeleitete Merkmale proximate exogen und endogen und"/>
        <s v="Artbegriff Synthetische Evolutionstheorie, Abgrenzung von nicht-naturwissenschaftlichen Vorstellungen Stammbäume: ursprüngliche und abgeleitete Merkmale proximate exogen und endogen und ultimate adaptiver Wert für die Fitnessmaximierung Ursachen von Verha"/>
        <s v="den Umgang mit biologischer Vielfalt in der Gesellschaft ableiten lassen. Im Vordergrund der Informationsverarbeitung steht die neuronale Informationsverarbeitung in Lebewesen. Sie liefert Erklärungen und modellhafte Veranschaulichungen für das Verständni"/>
        <s v="als Ursache von Biodiversität Belege für die Evolution: molekularbiologische Homologien grundlegende Prinzipien der Evolution: Rekombination, Mutation, Selektion, Verwandtschaft, Variation, Fitness, Isolation, Drift, Artbildung, Biodiversität, Koevolution"/>
        <s v="Quellen über hormonelle Einflüsse auf verschiedene Organe, wenden beim Sprechen über Sexualität Fachsprache statt der Alltagssprache an, wenden biologisches Wissen an, um verantwortliches Handeln abzuleiten z. B. zur Körperpflege, Verhütungsmethoden, Verh"/>
        <s v="verantwortliches Handeln abzuleiten z. B. zur Körperpflege, Verhütungsmethoden, Verhalten in der Schwangerschaft. Beitrag zur Entwicklung der Basiskonzepte: System: Information und Kommunikation Innerhalb des Organismus werden Informationen zwischen den O"/>
        <s v="von Stoffen TF fakultativ: AIDS TF Keimzellbildung, Befruchtung, Geschlechterrolle TF Reproduktionsmedizin Chemie TF Gefährliche Stoffe Physik -Sexualität in den Medien Gesetze zum Schwangerschaftsabbruch Frauenbild und Männerbild Risikobereitschaft von J"/>
        <s v="des Menschen, z. B. Stressreaktion, zu erklären, beschreiben Einflüsse der kulturellen Evolution technische und medizinische Errungenschaften auf die Entwicklung der Menschheit und der Biosphäre. Beitrag zur Entwicklung der Basiskonzepte: Entwicklung Verh"/>
        <s v="deshalb möglich, einzelne Aspekte in anderen Themenfeldern an passenden Stellen zu behandeln. TF , TF Individualität und Entwicklung und TF Biologische Anthropologie lassen sich auf der Kontextebene thematisch verbinden. Menschliches Verhalten wird unter "/>
        <s v="Lebendigen TF : Evolutive Zeiträume sind unvorstellbar und werden durch Modelle erfassbar. TF : Entwicklung von Ökosystemen TF : Phasen der menschlichen Entwicklung; Befruchtung als Beginn der Individualentwicklung. TF : Verhalten und Anatomie des Mensche"/>
        <s v="setzt das Interesse und die Reife der Schülerinnen und Schüler voraus. Es ist möglich, Aspekte von TF an passenden Inhalten anderer Themenfelder TF AIDS, TF sexuelle Identität, TF Evolution des Verhaltens zu vertiefen und die Sexualerziehung, ähnlich wie "/>
        <s v="Menschwerdung und wie wird der Mensch sich entwickeln In diesem Themenfeld geht es nicht darum, Evolution zu beweisen, sondern die Evolution als Denkrahmen vorzugeben. Mit Hilfe der Evolutionsgeschichte können menschliche Verhaltensweisen erklärt werden. "/>
        <s v="und punktuell zu vertiefen. Kompetenzen: Schülerinnen und Schüler werten Daten zur Anatomie, Genetik oder Immunbiologie aus, um Verwandtschaftsbeziehungen zu erkennen, wenden Wissen über die Abstammung des Menschen an, um ausgewählte Verhaltensweisen des "/>
        <s v="Kompetenzen, weiterführende Impulse zu möglichen Experimenten und weisen auf konkrete Bezüge zu Basiskonzepten hin. Die Operatoren geben eine Hilfestellung für die unterrichtliche Planung. Operatoren formulieren eindeutige Arbeitsanweisungen und damit bes"/>
        <s v="und Weichtieren möglich Bandwürmer, Spulwurm, Madenwurm Hygiene und Schutzmaßnahmen Beispiele für die Verknüpfung von Inhalten und prozessbezogenen Kompetenzen: S: die vollständige und unvollständige Metamorphose an Beispielen beschreiben E: Versuche zum "/>
        <s v="auf komplexe Sachverhalte an. B Bewertungskompetenz Die Schülerinnen und Schüler erfassen biologische Fragestellungen in verschiedenen Kontexten. Sie erkennen Probleme und Interessenkonflikte, entwickeln Lösungsansätze, diskutieren Konsequenzen und beurte"/>
        <s v="und Erweiterung der zu behandelnden Unterrichtsinhalte und damit zur thematischen Profilbildung, indem die Vorgaben der Bildungspläne sich auf die zentralen Kompetenzen beschränken. Aufgaben und Ziele Inhalte des Psychologieunterrichts sind das Verhalten "/>
        <s v="Normalitätsbegriffs mit Erlebens- und Verhaltensweisen auseinanderzusetzen, die für den Einzelnen bzw. für sein soziales Umfeld problematisch sind. Themen und Inhalte Wissenschaftliche Psychologie teilt mit Alltagspsychologie das Interesse am Erleben und "/>
        <s v="an Allgemeingültigkeit, Systematik und Gewissheit. Vor diesem Hintergrund wird in der Qualifikationsphase die Arbeit aus der Einführungsphase fortgesetzt, die bereits den Gegenstand der Psychologie als Wissenschaft geklärt hat Erleben und Verhalten des Me"/>
        <s v="Rahmenthema die Lerntheorien Pawlov, Skinner, kognitive Verhaltenstheorie Bandura, genetische Epistemologie Piaget oder die psychodynamische Theorie Freud sein. Innerhalb dieses Themas werden damit aktuelle Bedingungen normaler Entwicklungsverläufe deutli"/>
        <s v="ihrer Systematisierung z.B. ICD, DSM. Insbesondere werden biologische, soziale, entwicklungs- und verhaltensbezogene sowie kognitive und emotionale Faktoren psychischer Störungen untersucht, um Ursachen-WirkungsZusammenhänge, Wirkungsbedingungen und deren"/>
        <s v="und Schüler, die in der Qualifikationsphase das Fach Psychologie belegen wollen, sind folgende Standards verbindlich: Fachliche Kompetenzen Die Schülerinnen und Schüler können ... den Gegenstand der Psychologie - Erleben und Verhalten des Menschen oder Ve"/>
        <s v="der Qualifikationsphase das Fach Psychologie belegen wollen, sind folgende Standards verbindlich: Fachliche Kompetenzen Die Schülerinnen und Schüler können ... den Gegenstand der Psychologie - Erleben und Verhalten des Menschen oder Verhalten und innere P"/>
        <s v="und bewerten; die Unterschiede zwischen Alltagspsychologie und wissenschaftlicher Psychologie beschreiben und erläutern; ausgewählte wissenschaftliche Beobachtungsmethoden und dazugehörige Fachbegriffe beschreiben und durchführen; die Allgemeingültigkeit "/>
        <s v="wiedergeben; zentrale psychologische Begriffe korrekt definieren und sachgerecht verwenden; die Differenz zwischen Alltagswissen und wissenschaftlichem Wissen erläutern; psychologische Fragestellungen in die Systematik der Psychologie einordnen; psycholog"/>
        <s v="das eigene Selbstverständnis sowie dessen normative Prämissen reflektieren. Schülerinnen und Schüler können psychologische Fallbeispiele analysieren und beurteilen. Im Einzelnen können sie ... aktuelle psychische Prozesse wie Wahrnehmung, Kognition, Emoti"/>
        <s v="risikobehafteten Entwicklungen anwenden psychodynamisches Modell, Bindungstheorie; die Entwicklung der Geschlechterrollen u.a. auf der Grundlage von Lerntheorien beschreiben und erklären; Zwillings- und Adoptionsstudien zur Erblichkeit erläutern und disku"/>
        <s v="des persönlichen Wachstums erläutern; soziale Lerntheorien und kognitive Theorien bei der Analyse von Fälle anwenden; Theorien des Selbst zur Erklärung unterschiedlichen Verhaltens analysieren; die verschiedenen Positionen hinsichtlich Erbe, Umwelt, Bewus"/>
        <s v="Bezugspunkte sowohl im empirisch-naturwissenschaftlichen als auch im philosophisch-geisteswissenschaftlichen Bereich haben, wird sowohl der interdisziplinäre Charakter des Faches deutlich als auch die Möglichkeiten und Grenzen unterschiedlicher wissenscha"/>
        <s v="und diskutiert Fragen der Intervention und der Wertung von Entwicklungen des Einzelnen oder ganzer Gruppen in unserer Gesellschaft. Psychologie als Unterrichtsfach ist darauf gerichtet, insbesondere die Fragen des Erlebens und Verhaltens zu behandeln, die"/>
        <s v="psychodynamische Theorie Freud sein. Innerhalb dieses Themas werden damit aktuelle Bedingungen normaler Entwicklungsverläufe deutlich. Q Persönlichkeit und Verhalten Dieser Themenbereich beschäftigt sich grundsätzlich mit der theoriegestützten Beurteilung"/>
        <s v="Bedingungen normaler Entwicklungsverläufe deutlich. Q Persönlichkeit und Verhalten Dieser Themenbereich beschäftigt sich grundsätzlich mit der theoriegestützten Beurteilung des Erlebens und Verhaltens von Individuen. Fragestellungen dieses Themenbereichs "/>
        <s v="psychodynamische Theorie, zentrale Persönlichkeitseigenschaften z.B. Typen nach Eysenck oder Theorien des Selbst humanistische Psychologie, z.B. Maslow ein. Q Klinische Psychologie Der Themenbereich bezieht sich auf die Untersuchung gestörten Erlebens und"/>
        <s v="Instanzenmodell erläutern und anwenden; humanistische Theorien und den Gedanken des persönlichen Wachstums erläutern; soziale Lerntheorien und kognitive Theorien bei der Analyse von Fälle anwenden; Theorien des Selbst zur Erklärung unterschiedlichen Verha"/>
        <s v="der allgemeinen und ausgewählte Bereiche der speziellen und angewandten Psychologie behandelt. Anforderungen, die sich aus dem gesellschaftlichen Wandel ergeben etwa wie multikulturelle Perspektiven und der Schwund traditioneller Bindungen, Sicht- und Ver"/>
        <s v="befinden, bzw. die psychologischen Fragen, die sich aus ihrer sozialen und psychischen Umwelt ergeben. Die Schülerinnen und Schüler vermögen sich hier auf der Basis eines reflektierten Normalitätsbegriffs mit Erlebens- und Verhaltensweisen auseinanderzuse"/>
        <s v="psychischer Phänomene aus der Sicht verschiedener Paradigmen die Vielschichtigkeit und Bedingtheit eines Beurteilungsproblems zu erschließen sowie eigene Wertmaßstäbe und Beurteilungskriterien zu reflektieren. Die Psychologie beschäftigt sich mit dem Erle"/>
        <s v="in der Fähigkeit, psychologische Sachverhalte problembezogen und adressatengerecht zu kommunizieren und zu präsentieren. Eine Besonderheit der Auseinandersetzung mit psychologischen Fragestellungen besteht darin, dass der zentrale Gegenstand, das menschli"/>
        <s v="und präsent ist. Deshalb ist für die Schülerinnen und Schüler der Alltags- und Erfahrungsbezug von zentraler Bedeutung, da alle Kompetenzen auf eigenes oder im Alltag bei anderen erfahrenes Erleben und Verhalten angewendet werden können. Inhaltsfelder Kom"/>
        <s v="nicht nur an die Kompetenzbereiche, sondern immer auch an fachliche Inhalte gebunden. Reflektierte psychologische Kompetenz soll deshalb mit Blick auf die nachfolgenden Inhaltsfelder entwickelt werden. p Inhaltsfeld Menschliches Erleben und Verhalten In d"/>
        <s v="ein Verständnis sozialer Phänomene. Dabei stehen sozialpsychologische Frage- und Problemstellungen im Mittelpunkt. Neben sozialer Wahrnehmung und Einstellung sowie Einstellungsänderung behandeln die Schülerinnen und Schüler Gruppenprozesse und setzen sich"/>
        <s v="mit prosozialem Verhalten und Altruismus aus unterschiedlichen paradigmatischen Sichtweisen auseinander. Die Beschäftigung mit diesem Inhaltsfeld führt dazu, dass die Schülerinnen und Schüler die Bedeutung situationaler Einflüsse für menschliches Erleben "/>
        <s v="und in einem wissenschaftlichen Praxisfeld an HK. Die Kompetenzen der Schülerinnen und Schüler sollen im Rahmen der Behandlung des nachfolgenden, für die Einführungsphase obligatorischen Inhaltsfeldes entwickelt werden: Menschliches Erleben und Verhalten "/>
        <s v="Menschliches Erleben und Verhalten Bezieht man übergeordnete Kompetenzerwartungen im Bereich der Sach- und Urteilskompetenz sowie die inhaltlichen Schwerpunkte aufeinander, so ergeben sich die nachfolgenden konkretisierten Kompetenzerwartungen: Inhaltsfel"/>
        <s v="aufgeführten inhaltlichen Schwerpunkte aufeinander, so ergeben sich die nachfolgenden konkretisierten Kompetenzerwartungen. p g p Qi p Inhaltsfeld Das Individuum in Interaktion mit anderen Inhaltliche Schwerpunkte Attributionsprozesse Psychologie der Grup"/>
        <s v="Normen, Rollen, Status und Kohäsion, erläutern Entscheidungsprozesse in Gruppen, erläutern informativen und normativen Einfluss als Hauptfaktoren konformen Verhaltens, erläutern Strukturelemente einer Gruppe und Gruppenprozesse am Beispiel des Stanford-Pr"/>
        <s v="Strukturelemente einer Gruppe und Gruppenprozesse am Beispiel des Stanford-Prison-Experiments, unterscheiden prosoziales Verhalten und Altruismus, erläutern situative Determinanten und kognitive Aspekte anhand von Falldarstellungen und empirischen Untersu"/>
        <s v="unten aufgeführten inhaltlichen Schwerpunkte aufeinander, so ergeben sich die nachfolgenden konkretisierten Kompetenzerwartungen. p , p g Inhaltsfeld Das Individuum in Interaktion mit anderen Inhaltliche Schwerpunkte Attributionsprozesse Psychologie der G"/>
        <s v="Gruppenprozesse, erläutern informativen und normativen Einfluss als Hauptfaktoren konformen Verhaltens, erläutern Strukturelemente einer Gruppe und Gruppenprozesse am Beispiel des Stanford-Prison-Experiments, erklären anhand der Milgram-Experimente Gehors"/>
        <s v="und Gruppenprozesse am Beispiel des Stanford-Prison-Experiments, erklären anhand der Milgram-Experimente Gehorsam gegenüber Autoritätspersonen und erklären das Verhalten der Versuchspersonen, unterscheiden informativen und normativen sozialen Einfluss mit"/>
        <s v="Stanford-Prison-Experiments, erklären anhand der Milgram-Experimente Gehorsam gegenüber Autoritätspersonen und erklären das Verhalten der Versuchspersonen, unterscheiden informativen und normativen sozialen Einfluss mithilfe grundlegender Experimente, unt"/>
        <s v="informativen und normativen sozialen Einfluss mithilfe grundlegender Experimente, unterscheiden prosoziales Verhalten und Altruismus, erklären prosoziales Verhalten mit kognitiven und evolutionstheoretischen Modellen und Sachzusammenhängen, erläutern die "/>
        <s v="Beruf. Zentrale Aufgabe des Psychologieunterrichts ist die Förderung einer reflektierten psychologischen Kompetenz: Im Unterrichtsfach Psychologie gewinnen die Schülerinnen und Schüler grundlegende Einsichten in individuelle und interindividuelle Prozesse"/>
        <s v="deshalb mit Blick auf die nachfolgenden Inhaltsfelder entwickelt werden. p Inhaltsfeld Menschliches Erleben und Verhalten In diesem Inhaltsfeld lernen die Schülerinnen und Schüler anhand ausgewählter Beispiele allgemeinen menschlichen Erlebens und Verhalt"/>
        <s v="Schüler die Bedeutung situationaler Einflüsse für menschliches Erleben und Verhalten reflektieren. Inhaltsfeld Die menschliche Persönlichkeit und ihre Entwicklung Die Auseinandersetzung mit diesem Inhaltsfeld ermöglicht Einsicht in die individuelle Beding"/>
        <s v="a. Systembegriff, Subsystem, Grenzen, Regeln, Homöostase, unterscheiden Strukturelemente einer Gruppe im Hinblick auf Normen, Rollen, Status und Kohäsion, erläutern Entscheidungsprozesse in Gruppen, erläutern informativen und normativen Einfluss als Haupt"/>
        <s v="den Aspekten des biologischen Geschlechts, des psychologischen Geschlechts und des sozialen Geschlechts, bewerten ethische Aspekte und Implikationen sozialpsychologischer Experimente, beurteilen die Anwendbarkeit und den Erklärungswert kognitiver und evol"/>
        <s v="Grenzen, Regeln, Homöostase, unterscheiden Strukturelemente einer Gruppe im Hinblick auf Normen, Rollen, Status und Kohäsion, analysieren Entscheidungsfindung und Deindividuation als zentrale Gruppenprozesse, erläutern informativen und normativen Einfluss"/>
        <s v="und den Erklärungswert der mit typisch sozialpsychologischen Methoden u. a. Feldforschung und systematische Beobachtung erworbenen Daten, beurteilen die Anwendbarkeit und den Erklärungswert kognitiver und evolutionstheoretischer Modelle für die Erklärung "/>
        <s v="sozialpsychologischen Methoden u. a. Feldforschung und systematische Beobachtung erworbenen Daten, beurteilen die Anwendbarkeit und den Erklärungswert kognitiver und evolutionstheoretischer Modelle für die Erklärung prosozialen Verhaltens, erörtern Möglic"/>
        <s v="Psychoanalyse als einen klinischen Anwendungsbereich der tiefenpsychologischen Auffassung, erläutern das behavioristische Menschenbild, analysieren kriterienorientiert eine kognitivistische und eine ganzheitlich-humanistische Persönlichkeitstheorie, erklä"/>
        <s v="Querschnittsaufgabe Kompetenzen und Inhalte im Fach Psychologie Überfachliche Kompetenzen Fachliche Kompetenzen Inhalte Lernen im Fach Psychologie Didaktische Grundsätze Im Rahmen des Psychologieunterrichts setzen sich die Schülerinnen und Schüler mit dem"/>
        <s v="Fach Psychologie Didaktische Grundsätze Im Rahmen des Psychologieunterrichts setzen sich die Schülerinnen und Schüler mit dem Verhalten und Erleben von Menschen und Menschengruppen sowie mit den verschiedenen Ansätzen auseinander, dieses Verhalten und Erl"/>
        <s v="psychologischen Phänomenen anhand klarer Kriterien gegenübergestellt. Die Schülerinnen und Schüler lernen mit der Verschiedenheit und Widersprüchlichkeit psychologischer Anschauungen angemessen umzugehen, auf der Grundlage differenzierter Kenntnisse zu al"/>
        <s v="auf die Lebenswelt der Schülerinnen und Schüler durch die Auswahl solcher Unterrichtsthemen und entsprechender Anwendungsbeispiele hergestellt werden, die nicht direkt in ihre Privatsphäre eindringen. Da der Psychologieunterricht auch Missverständnisse, a"/>
        <s v="mit Toleranz und interkultureller Akzeptanz zu begegnen sowie Handlungsoptionen in alltagsrelevanten Situationen umzusetzen. Bildung für nachhaltige Entwicklung BNE Das Fach Psychologie orientiert sich an der Fachwissenschaft Psychologie, deren Gegenstand"/>
        <s v="deren Gegenstand das Verhalten und Erleben des Menschen ist. Im Unterricht haben Schülerinnen und Schüler die Möglichkeit, sich mit dem reziproken Verhältnis von Mensch und Umwelt auf ihr Erleben und Verhalten auseinanderzusetzen. Sie werden dafür sensibi"/>
        <s v="soziale Phänomene bzw. Sachverhalte in der analogen und digitalen Umgebung entwickeln. Interessengeleitete Setzung, Verbreitung und Dominanz psychologischer Themen in analogen und digitalen Umgebungen erschließen und beurteilen. Handlungskompetenz: Sich i"/>
        <s v="oder S. Gesundheitspsychologie oder S. Arbeits- und Organisations-psychologie Keine ergänzende Auswahl vorgesehen. S Sozialpsychologie S. Soziale Kognition S. Soziale Wahrnehmung S. Selbst und Identität S. Einstellungen und Einstellungsänderung S. Antisoz"/>
        <s v="Sinnessysteme z. B. Wahrnehmungsmittel nach Sherrington Wahrnehmungsablauf Bottom-up- und Top-down-Prozesse Kompetenzen gA Kompetenzen eA Fachinterne Bezüge M Paradigmen S. Soziale Kognition S. Soziale Wahrnehmung S. Einstellungen und Einstellungsänderung"/>
        <s v="Umsetzungshilfen Aufgabengebiete Sexualerziehung Sprachbildung Fachübergreifende Bezüge Grundbegriffe Komponenten physiologisch, konativ, kognitiv, motivational primäre und sekundäre Emotionen Kompetenzen gA Kompetenzen eA Fachinterne Bezüge M Paradigmen "/>
        <s v="ÜBER-ICH und die Dynamik der Instanzen ICH-Stärke/ICH-Schwäche Phasen bis des psychosexuellen Phasenmodells oral, anal, phallisch Sozialkognitive Lerntheorie Bandura Grundannahmen der sozial-kognitiven Lerntheorie o Selbstregulation/Selbststeuerung des Me"/>
        <s v="fachbezogener und fachübergreifender Anwendungsbezüge Paradigmen der Psychologie: Psychobiologie Alltagsbezüge: Bindung und Bindungsstörungen im Kontext von z. B. MutterKind-Beziehung, Vater-Kind-Beziehung, Paarbeziehung, eigener Persönlichkeit, Heimerzie"/>
        <s v="der Bedeutung digitaler Arbeitsweisen im modernen Arbeitsalltag. S S. Soziale Kognition Übergreifend Inhalte Fachbezogen Umsetzungshilfen Aufgabengebiete Interkulturelle Erziehung Sprachbildung Fachübergreifende Bezüge Grundlagen sozialer Kognition Zusamm"/>
        <s v="von Einstellungen explizite und implizite Maße von Einstellungen o Messung expliziter Maße mittels Tests und das Problem der sozialen Erwünschtheit o Impliziter Assoziationstest IAT nach Greenwald et al. Einstellungen und Verhalten Korrespondenz zwischen "/>
        <s v="Maße von Einstellungen o Messung expliziter Maße mittels Tests und das Problem der sozialen Erwünschtheit o Impliziter Assoziationstest IAT nach Greenwald et al. Einstellungen und Verhalten Korrespondenz zwischen Einstellungen und Verhalten Modelle der Ei"/>
        <s v="Kaufverhalten, Werbung, politisches Engagement, Wahlkampf Forschungsmethoden: Beschreibung von und Auseinandersetzung mit klassischen Experimenten und Formen der Datenerhebung, z. B. -Dollar-Experiment Festinger Carlsmith zur Dissonanz Experiment zum Zusa"/>
        <s v="mit gesellschaftlich relevanten Werten, Einstellungen und Handlungsweisen. BNE: Rolle von Einstellungen und Einstellungsänderungen bzgl. der Entwicklung eines nachhaltigen Umgangs mit Ressourcen, vgl. z. B. SDG , , , S Antisoziales Verhalten Übergreifend "/>
        <s v="antisozialen Verhaltens: Unterscheidung zwischen ... o instrumenteller und feindseliger Aggression o physischer und verbaler Aggression o direkter und indirekter Aggression Kompetenzen gA Kompetenzen eA Fachinterne Bezüge M Paradigmen M Prosoziales Verhal"/>
        <s v="Modelle der einzelnen Strömungen in den jeweiligen Fachdisziplinen der Psychologie. Im Mittelpunkt des Unterrichts stehen vor allem psychische Alltagsphänomene, wie z. B. Lernen, Wahrnehmung oder Persönlichkeit. Bereiche menschlichen Erlebens und Verhalte"/>
        <s v="o Messung expliziter Maße mittels Tests und das Problem der sozialen Erwünschtheit o Impliziter Assoziationstest IAT nach Greenwald et al. Einstellungen und Verhalten Korrespondenz zwischen Einstellungen und Verhalten Modelle der Einstellungs-Verhaltens-B"/>
        <s v="Ressourcen, vgl. z. B. SDG , , , S Antisoziales Verhalten Übergreifend Inhalte Fachbezogen Umsetzungshilfen Leitperspektiven Aufgabengebiete Medienerziehung Sexualerziehung Sprachbildung Fachübergreifende Bezüge Begriffsbestimmung Begriffsunterscheidung A"/>
        <s v="Serotonin, Testosteron Theorie aggressiver Skripte nach Huesmann Allgemeines Aggressionsmodell nach Anderson et al. Konkretisierung fachbezogener und fachübergreifender Anwendungsbezüge Paradigmen der Psychologie: Kognitivismus Tiefenpsychologie Nur für e"/>
        <s v="den Medien Hate Speech Sexualerziehung: sexualisierte Gewalt Formen und Folgen, Rolle digitaler Medien, Unterstützungsangebote Beitrag zu den Leitperspektiven W und D: W: Förderung eines kritisch-reflektierten Umgangs bzgl. verschiedener Formen antisozial"/>
        <s v="Förderung eines kritisch-reflektierten Umgangs bzgl. verschiedener Formen antisozialen Verhaltens im Kontext gesellschaftlicher Normen und Werte. D: Förderung eines kritisch-reflektierten Umgangs bzgl. eines Zusammenhangs von digitalen Medien und der Ents"/>
        <s v="für den Unterricht mit erhöhtem Anforderungsniveau Werbung Essstörungen Führungsstile Aufgaben für den Unterricht mit grundlegendem Anforderungsniveau Testtheorie Weitere Aufgaben Aufgabenbeispiele für die mündliche Abiturprüfung Soziale Kognition - Einst"/>
        <s v="Psychologie, Pädagogische Psychologie, Wirtschaftspsychologie mit ihren konkreten wissenschaftlichen Forschungsprogrammen. Dimension III - Alltags- und Erfahrungsbezug Eine Besonderheit des Psychologieunterrichts besteht darin, dass der Gegenstandsbereich"/>
        <s v="präsent ist. Deshalb ist für den Psychologieunterricht der Alltags- und Erfahrungsbezug von zentraler Bedeutung. Die Anwendung und Anwendbarkeit des Wissens auf eigenes oder im Alltag bei anderen erfahrenes Erleben und Verhalten und die damit verbundene F"/>
        <s v="Phänomen persönliche Konsistenz und Commitment Kg Themenbereiche Konkrete Gegenstände und ihre paradigmatische Zuordnung Abk.: Tf - Tiefenpsychologie, Gz - Ganzheitspsychologie, Bh - Behaviorismus, Pb - Psychobiologie, Kg - Kognitivismus Prosoziales Verha"/>
        <s v="Blockierung der Identitätsbildung der Tochter. In der frühkindlichen Beziehung der Anorektikerin zu ihrer Mutter mögen traumatische Erfahrungen eine Rolle spielen, als das Kind von einer überfürsorglichen Mutter nicht zu selbstinitiiertem Verhalten ermuti"/>
        <s v="erotischen Frau. Anforderungsbereich II/vorwiegend Aufgabe AB II ca. Der hier beschriebene Münzverstärkungsplan ist der Therapieform aus der Sicht der Verhaltenstherapie zuzuordnen, die auf den Lerntheorien basiert. Zentrale Aussage ist, dass Verhalten ge"/>
        <s v="Symptome gelten als Ausdruck der Unangepasstheit eines Individuums und werden mit der Störung gleichgesetzt. Beim hier beschriebenen Münzverstärkungsplan geht es um operantes Konditionieren. Die Therapie beruht darauf, dass das erwünschte Verhalten die ge"/>
        <s v="Reaktion steigt. Dieses von Skinner im Tierexperiment erforschte Lerngesetz, welches das Streben nach Belohnung als Antrieb des Handelns voraussetzt, wurde um kognitive Komponenten erweitert. Auch antizipierte Belohnungen können das gewünschte Verhalten e"/>
        <s v="Das Modell von Hersey/Blanchard umfasst einen wesentlich umfangreicheren Bereich der für die Unternehmen relevanten Führungsvariablen als das Modell des Social-Man. Im Gegensatz zu vielen anderen Führungsstilmodellen spielt hier auch das Verhalten der Gef"/>
        <s v="nicht verwerten darf und keine Anerkennung bekommt, sich nicht durch die Vertiefung in das Gebiet selbstverwirklichen darf, als gegeben und moralisch nicht bewertbar. Birkenbihl stempelt Friedrich als pathologisch, wobei das Verhalten von Friedrich mehr a"/>
        <s v="Arbeitsauftrag I II III Ein großes Problem aller Unternehmen ist die Frage des effizienten Führungsstils. Stellen Sie die Führungsstilmodelle von Blake/Mouton und Her sey/Blanchard dar. Analysieren Sie die Veränderungen im Verhalten von Friedrich mit Hilf"/>
        <s v="Im Übrigen gelten die Anmerkungen unter II. für die schriftliche Abiturprüfung. Soziale Kognition - Einstellungen A Aufgabenstellung A. Materialien Sozialer Druck Je geringer der soziale Druck auf Personen, ein bestimmtes Verhalten oder eine bestimmte Ein"/>
        <s v="und Selbst problematisiert werden. Für die Note ausreichend wird erwartet, dass zentrale Punkte von Festingers Theorie dargestellt und an Beispielen auf den Text angewendet werden können. Im Gespräch soll das Verhalten der Abgeordneten weiter problematisi"/>
        <s v="Leistung ist ausreichend, wenn der Text in seinen einzelnen Punkten der Psychoanalyse zugeordnet werden kann. Wesentliche Strukturmerkmale der Theorie, die für den Fall wichtig sind, sollen fehlerfrei dargestellt werden. Abweichendes Verhalten A Aufgabens"/>
        <s v="Christian Quelle: http//:www.zappelphilipp.de/brief.htm vom .. A. Arbeitsanweisung Teil - Selbstständige Prüfungsleistung Kinder mit Hyperaktivität sind verhaltensauffällig. Sie haben Schwierigkeiten mit dem sinnlichen Erfahren ihrer Umgebung. Stellen Sie"/>
        <s v="von individueller und gesellschaftlicher Ebene kann vorgenommen werden. Dabei ist jedoch zu beachten, dass der Bezug zum Fach Psychologie gewahrt bleibt. - Möglichkeit der Selbstverwirklichung für einen Menschen mit abweichendem Verhalten Bedürfnisse nach"/>
        <s v="Christian angewandt werden. Diese Darstellung ist die Basis für die weiterführende Auseinandersetzung mit dem Normbegriff, der in seiner historischen, gesellschaftlichen und kulturellen Dimension vorgestellt werden soll. Beim Transfer auf das Verhalten vo"/>
        <s v="inklusive des Zeitgeists berücksichtigt werden. Die multikausale Verursachung des problematischen Verhaltens soll vermittelt werden. Für die Note ausreichend muss die Definition auf den Fall angewandt und erkannt werden, dass abweichendes Verhalten vorlie"/>
        <s v="Gesellschaft, Kultur und Natur mit Hilfe empirischen und geisteswissenschaftlicher Methoden untersucht werden. Im Fach Psychologie gewinnen die Schülerinnen und Schüler grundlegende Einsichten in individuelle und interindividuelle Prozesse menschlichen Er"/>
        <s v="Annahmen. Praktische Anwendung psychologischen Wissens Anwendung psychologischer Gesetzmäßigkeiten und Verfahrensweisen psychologische Forschungsmethoden und Interventionstechniken, dazu gehört: zielgerechte psychologische Forschungs- und Erkenntnisprozes"/>
        <s v="Kg Themenbereiche Konkrete Gegenstände und ihre paradigmatische Zuordnung Abk.: Tf - Tiefenpsychologie, Gz - Ganzheitspsychologie, Bh - Behaviorismus, Pb - Psychobiologie, Kg - Kognitivismus Prosoziales Verhalten und Altruismus Prozessmodell hilfreichen V"/>
        <s v="ermöglichen. Die folgenden Beispiele beschreiben Themenbereiche, aus denen Teilaspekte als Prüfungsthemen für die fünfte Prüfungskomponente als mündliche Prüfung in neuer Form besonders geeignet erscheinen: Langzeitbeobachtungen und -messungen des Erleben"/>
        <s v="Wissen aus den verschiedenen Bereichen des Behaviorismus und der Humanistischen Psychologie, der Kommunikationspsychologie und der Wirtschaftspsychologie vernetzen und anwenden, den Fall also aus der Sichtweise verschiedener Paradigmen untersuchen. Einord"/>
        <s v="Erwachsene, ist zu abhängig ist roh zu Tieren, quält sie Quelle: Steinhausen, Hans-Christoph: Seelische Störungen im Kindesalter. Klett-Cotta. Stuttgart S. f. A. Arbeitsanweisung Svens Eltern suchen eine Beratungsstelle wegen des Verhaltens ihres Sohnes a"/>
        <s v="Maßnahmen schlagen Sie vor B. Unterrichtliche Voraussetzungen Der folgende Lösungsvorschlag geht davon aus, dass das Thema Hyperkinetische Störung nicht im Unterricht behandelt wurde. Behandelt wurde jedoch die Problematik des abweichenden Verhaltens unte"/>
        <s v="dass das Thema Hyperkinetische Störung nicht im Unterricht behandelt wurde. Behandelt wurde jedoch die Problematik des abweichenden Verhaltens unter Berücksichtigung verschiedener psychologischer Erklärungsansätze. B. Erwartungshorizont Die Problematik de"/>
        <s v="in den Vordergrund stellt, sollten genetische Ursachen auf jeden Fall angesprochen werden. Dabei ist, gerade unter Berücksichtigung der Normverstöße von Christian, ein Eingehen auf die Wechselwirkung von genetischen Grundlagen des Verhaltens und sozialen "/>
        <s v="auf die soziale Umwelt gut behandelt werden. AB II u. III B. Bewertungshorizont für die Noten gut und ausreichend Für die Note gut sollten die Merkmale der Definition des abweichenden Verhaltens vollständig dargestellt und zutreffend auf den Fall Christia"/>
        <s v="in seiner historischen, gesellschaftlichen und kulturellen Dimension vorgestellt werden soll. Beim Transfer auf das Verhalten von Christian sollen diese Aspekte inklusive des Zeitgeists berücksichtigt werden. Die multikausale Verursachung des problematisc"/>
        <s v="Die multikausale Verursachung des problematischen Verhaltens soll vermittelt werden. Für die Note ausreichend muss die Definition auf den Fall angewandt und erkannt werden, dass abweichendes Verhalten vorliegt. Die Normen des Verhaltens müssen als verände"/>
        <s v="von Kritikpunkten, die im Unterricht erarbeitet wurden, keine eigenständige Leistung im Urteilsbereich sondern lediglich Reproduktion vgl. Anforderungsbereich I. Kreativität und Originalität Schöpferischer Umgang mit vorhandenen Kenntnissen, Fähigkeiten, "/>
        <s v="zur Alltagspsychologie Erkenntnisziele, Methoden der Erkenntnisgewinnung Betrachtung psychischer Phänomene Erklärungsaspekte für psychische Phänomene: innere Prozesse, personale Dispositionen, Situationsfaktoren, Entwicklung ausgewählte Paradigmen: Tiefen"/>
        <s v="Aspekten das Experiment in den Naturwissenschaften Menschenbilder in der Philosophie/ Geschichte/ Kunstgeschichte/ Literatur Einführung in die Wissenschaft Psychologie Kompetenzbezug Die Schülerinnen und Schüler formulieren aus eigener Erfahrung bekanntes"/>
        <s v="Ursache - Wirkung- Beziehungen zur Erklärung psychischer Phänomene. Sie identifizieren multifaktorielle Kausalbezüge und analysieren die Komplexität menschlichen Erlebens und Verhaltens. Mithilfe geeigneter Systeme erfassen und erklären sie menschliches E"/>
        <s v="und Schüler ein grobes, inhaltliches Grundgerüst, in das psychologische Themen auch in Zukunft eingeordnet werden können. Die Schülerinnen und Schüler identifizieren die Existenz verschiedener Perspektiven der Betrachtung von Erleben und Verhalten, nehmen"/>
        <s v="selbstständig allein und in Gruppen herzustellen und wertvolle Erfahrungen zu sammeln. Praktische Leistungen Beitrag des Faches Psychologie zum Kompetenzerwerb Fachprofil Ausgehend vom Selbstverständnis der Psychologie als einer empirischen Wissenschaft v"/>
        <s v="es entsprechend, dass die Schülerinnen und Schüler mit dieser Verschiedenheit angemessen umgehen können, sie auf ihren Alltag anwenden können und auf der Grundlage differenzierter Kenntnisse zu alltäglichen Fragen, die menschliches Verhalten und Erleben b"/>
        <s v="Medien inhaltlich zu erschließen, Zusammenhänge adäquat wiederzugeben und sachlich zu argumentieren Kommunikationsfähigkeiten, die insbesondere auf die gegenseitige Toleranz und Achtung und auf Verständigung ausgerichtet sind Neugier und Offenheit für das"/>
        <s v="Entwicklung Untersuchungsmethoden, Forschungstechniken psychoanalytische Gesprächssituation Introspektion freie Assoziation, Widerstandsanalyse Deutung Theoriebildung durch Vergleich von Einzelfallstudien Das Paradigma des Behaviorismus Inhalte Forschungs"/>
        <s v="operantes Konditionieren Prinzipien der Reizsubstitution, Reizdiskriminierung, Reizgeneralisierung, Löschung Untersuchungsmethoden, Forschungstechniken Laborexperiment objektive Kontrolle der untersuchten Variablen Reduktionismus Theoriebildung durch Vera"/>
        <s v="Denkens Modelle der Überzeugungen, Einstellungen, Selbstkonzepte, Attributionen Untersuchungsmethoden, Forschungstechniken: quantitative Verfahren Feld und Labor repräsentative Befragungen Theoriebildung durch Verallgemeinerung experimenteller Befunde Com"/>
        <s v="Überzeugungen, Einstellungen, Selbstkonzepte, Attributionen Untersuchungsmethoden, Forschungstechniken: quantitative Verfahren Feld und Labor repräsentative Befragungen Theoriebildung durch Verallgemeinerung experimenteller Befunde Computersimulationen Da"/>
        <s v="Psychobiologie - peripheres und zentrales Nervensystem - Reizleitung - Hirnarchitektur - visuelles System - Bindungstheorie BOWLBY P A R A D I G M - Konstitutionstypologien - Temperamente - prosoziales Verhalten und Altruismus HAMILTON, TRIVERS E N - Krit"/>
        <s v="so psychologische Aspekte im Alltag. Auf dieser Grundlage identifizieren sie alltagspsychologische Herangehensweisen und unterscheiden diese von wissenschaftlichen. Sie erschließen sowohl Möglichkeiten der Wissenschaft Psychologie bei der Betrachtung mens"/>
        <s v="von Verhaltensbeschreibungen aus ihrer Lebenswelt suchen die Schülerinnen und Schüler nach Ursache - Wirkung- Beziehungen zur Erklärung psychischer Phänomene. Sie identifizieren multifaktorielle Kausalbezüge und analysieren die Komplexität menschlichen Er"/>
        <s v="Vier Kompetenzbereiche werden für das Fach Psychologie definiert: Fachwissen - psychische Phänomene, Begriffe, Methoden, Theorien verwenden und grundlegenden theoretischen Wissenschaftsströmungen Paradigmen oder Sichtweisen zuordnen Die Psychologie beginn"/>
        <s v="in präzisierter Form als Thema einer schriftlichen Ausarbeitung geeignet scheinen. Teilaspekte dieser Themen können als Prüfungsthemen für die mündliche Form der fünften Prüfungskomponente fungieren: Langzeitbeobachtungen und -messungen des Erlebens und V"/>
        <s v="III enthält zwei Teilbereiche: Problemlösung, Bewertung und Urteilsbildung selbstständiges Lösen von Problemstellungen; wissenschaftlich begründetes Stellungnehmen und Urteilen und Kreativität und Originalität schöpferischer Umgang mit vorhandenen Kenntni"/>
        <s v="der jeweiligen individuellen, gesellschaftlichen, zeit- und raumbezogenen Bedingungen und Auswirkungen. Bei der Betrachtung von Alltagsphänomenen mithilfe evidenzbasierter, wissenschaftlicher Beschreibungen und Erklärungsansätze erfolgt eine bewusste mult"/>
        <s v="wissenschaftlich zu beschreiben, empirisch zu untersuchen und auf der Grundlage psychologischer Theorien zu erklären. Dadurch erfassen sie die Bedeutsamkeit der gewonnenen wissenschaftlichen Erkenntnisse und entwickeln Handlungsoptionen und Strategien zum"/>
        <s v="Denn die Schülerinnen und Schüler entwickeln die Fähigkeit und Bereitschaft, sowohl ihre eigene Lebenswelt zu reflektieren, diese im verantwortungsvollen Umgang mit sich und anderen zu gestalten Handlungskompetenz als auch beobachtbares Verhalten und subj"/>
        <s v="mitzuteilen Kommunikationskompetenz. Die Entwicklung der beiden Rahmenkompetenzen wird durch die phänomenologische Kompetenz, die Analyse- und Bewertungskompetenz gefördert. Im Unterricht untersuchen die Schülerinnen und Schüler psychische Phänomene und e"/>
        <s v="die Fertigkeit sowie die Bereitschaft, psychologische Erkenntnisse konstruktiv und verantwortungsvoll einerseits für die Bewältigung sozialer Situationen und andererseits für das eigene Leben anzuwenden. Sie erkennen im konkreten menschlichen Erleben und "/>
        <s v="Integrierende Modell beziehen, deren Bedeutung für die rationale Bewältigung des täglichen Lebens analysieren und damit einen verantwortlichen Umgang mit sich selbst und der sozialen Umgebung entwickeln, ihr eigenes Erleben und Verhalten sowie das Verhalt"/>
        <s v="deren Bedeutung für die rationale Bewältigung des täglichen Lebens analysieren und damit einen verantwortlichen Umgang mit sich selbst und der sozialen Umgebung entwickeln, ihr eigenes Erleben und Verhalten sowie das Verhalten anderer situations- und anfo"/>
        <s v="psychologische Erkenntnisse sachlogisch und konstruktiv führen und moderieren, psychologische Sachverhalte für Nichtfachleute verständlich darstellen, erklären und auf Alltagsbeispiele übertragen, eigenes Erleben nachvollziehbar beschreiben, die häufig vo"/>
        <s v="zu erschließen und einzuschätzen. Dabei werden sowohl widersprüchliche als auch konkurrierende Perspektiven und dahinterstehende Argumentationen einbezogen. Am Ende der Qualifikationsphase können die Schülerinnen und Schüler in der Regel Erleben und Verha"/>
        <s v="aufzugreifen und zu untersuchen. Dadurch leistet das Fach einen umfänglichen Beitrag zur Herausbildung der im Grundsatzband ausgewiesenen fächerübergreifenden Schlüsselkompetenzen. Durch die bewusste Auseinandersetzung mit dem eigenen und fremden Erleben "/>
        <s v="die bewusste Auseinandersetzung mit dem eigenen und fremden Erleben und Verhalten wird im Besonderen die Entwicklung der Sozialund Sprachkompetenz unterstützt, denn die im Psychologieunterricht geforderte Fähigkeit, über menschliches Erleben und Verhalten"/>
        <s v="mündlich zu kommunizieren, fördert explizit die Sprachkompetenz der Schülerinnen und Schüler. Auf der Grundlage des Kennenlernens von Entstehungs- und Funktionsmechanismen entwickeln sie ein Verständnis für fremde Einstellungen oder für das Verhalten ande"/>
        <s v="in der Regel unterschiedliche Standpunkte zu pädagogischen und psychologischen Phänomenen vertreten, Verständnis für entgegengesetzte Standpunkte entwickeln, Fachsprachkenntnisse selbstständig aneignen und korrekt nutzen, Fachtexte selbstständig hinsichtl"/>
        <s v="Wissenschaft Psychologie darstellen Phänomenologische Kompetenz - aus eigener Erfahrung gewonnene alltagspsychologische Kenntnisse identifizieren und von Merkmalen der wissenschaftlichen Theorie unterscheiden - Gegenstand der Psychologie durch die Betrach"/>
        <s v="Merkmalen der wissenschaftlichen Theorie unterscheiden - Gegenstand der Psychologie durch die Betrachtung von Erleben und Verhalten auf Alltagsphänomene anwenden Analysekompetenz - Gegenstand der Psychologie durch die Betrachtung von Erleben und Verhalten"/>
        <s v="deren Wechselwirkungen ermitteln - Ziele der Psychologie beschreiben und am Beispiel erläutern - psychologische Fragestellungen verschiedener Disziplinen und ausgewählter Anwendungsgebiete unterscheiden und zuordnen - zur Erfassung verschiedener Erklärung"/>
        <s v="- alltagspsychologische Erfahrungen und daraus folgende subjektive Verallgemeinerungen prüfen und beurteilen - Berechtigung verschiedener Erklärungsansätze für Alltagsbeispiele auf Grundlage der Paradigmen unter Anleitung beurteilen Handlungskompetenz - B"/>
        <s v="Kommunikationskompetenz - als Voraussetzung für die differenzierte und zielgerichtete Anwendung der Fachsprache Inhalte psychologischer Begriffe wiedergeben und zuordnen Grundlegende Wissensbestände - Merkmale und Funktion der Alltagspsychologie - Gegenst"/>
        <s v="Paradigmen der Psychologie im Überblick z. B. Tiefenpsychologie, Behaviorismus, Biopsychologie, Kognitivismus, Ganzheitspsychologie Möglichkeiten zur Abstimmung im Schuljahrgang - Biologie: Wechselwirkungen zwischen Mensch und Umwelt darstellen Einfluss d"/>
        <s v="Pluralität mit der Frage nach Gott auseinandersetzen Erkenntnismethoden von Geisteswissenschaften und Naturwissenschaften Kompetenzschwerpunkt: Psychische Phänomene: Wahrnehmung erklären Phänomenologische Kompetenz - Multidimensionalität von Wahrnehmung s"/>
        <s v="Sozialformen wahrnehmen und erkennen - Auswirkungen von Gruppenkonstellationen auf den Einzelnen beschreiben Analysekompetenz - Merkmale und Arten von Gruppen sowie Gruppenentwicklungsprozesse beschreiben und auf verschiedene eigene Gruppenzugehörigkeiten"/>
        <s v="- Zusammenhänge von Gruppe und Leistung experimentell prüfen und auf den schulischen Kontext übertragen Bewertungskompetenz - ethische Aspekte sozialpsychologischer Experimente bewerten - Einfluss von Gruppendruck, Gruppennormen und Autorität auf das Verh"/>
        <s v="auf den schulischen Kontext übertragen Bewertungskompetenz - ethische Aspekte sozialpsychologischer Experimente bewerten - Einfluss von Gruppendruck, Gruppennormen und Autorität auf das Verhalten des Einzelnen als Voraussetzung für die Erklärung von Verha"/>
        <s v="Autorität auf das Verhalten des Einzelnen als Voraussetzung für die Erklärung von Verhalten in Alltagssituationen beurteilen - Einflüsse der digitalen Welt auf Gruppenbildung, -werte und -strukturen reflektieren Handlungskompetenz - eigenes Verhalten in G"/>
        <s v="Deutsch, Englisch, Französisch, Spanisch, Russisch, Italienisch, Latein, Griechisch, Geschichte, Sozialkunde, Evangelischer Religionsunterricht, Katholischer Religionsunterricht, Geographie Kompetenzschwerpunkt: Integrierendes Modell beschreiben und übert"/>
        <s v="beschreiben Analysekompetenz - anhand von Alltagssituationen und Fallbeispielen grundlegende Aspekte des psychischen Systems identifizieren - die Notwendigkeit der Sensibilisierung in Bezug auf nachhaltiges Handeln im Alltag ermitteln - Erleben und Verhal"/>
        <s v="Berücksichtigung von Ursache-Wirkungs-Beziehungen erklären - zur Strukturierung psychologischen Wissens paradigmatische Ansätze und Disziplinen den Aspekten des Integrierenden Modells zuordnen Bewertungskompetenz - Eignung des integrierenden Modells zur E"/>
        <s v="Wissens paradigmatische Ansätze und Disziplinen den Aspekten des Integrierenden Modells zuordnen Bewertungskompetenz - Eignung des integrierenden Modells zur Erklärung von Erleben und Verhalten multifaktoriell beurteilen Handlungskompetenz - eigenes und f"/>
        <s v="Modells interpretieren und für eigenes Handeln Verantwortung übernehmen - Aspekte der Nachhaltigkeit für die eigene gesunde, aktive und nachhaltige Lebensgestaltung ableiten Kommunikationskompetenz - zur Darstellung der Komplexität von Erleben und Verhalt"/>
        <s v="und Rogers auf der Grundlage fachspezifischer Quellen erläutern und vergleichen - sich mit den Bedingungen für die Entwicklung des ICHs und des Selbstkonzepts im schulischen und familiären Kontext auseinandersetzen - Verhalten und Persönlichkeitsmerkmale "/>
        <s v="- zum Einsatz persönlichkeitsdiagnostischer Verfahren und des Anwendungskontextes Stellung nehmen - Einfluss eines Erziehenden auf die individuelle Entwicklung beurteilen Handlungskompetenz - individuelle Möglichkeiten der Kontrolle und Steuerung von Erle"/>
        <s v="Therapien Kurs : Ausgewählte sozialpsychologische Phänomene interpretieren Phänomenologische Kompetenz - ein psychisches Phänomen mithilfe von drei Paradigmen charakterisieren - verschiedene psychologische Untersuchungen und Fallbeispiele beschreiben - al"/>
        <s v="Phänomene auf der Grundlage psychologischer Gesetzmäßigkeiten selbstständig erschließen und multiperspektivisch interpretieren - Ergebnisse psychologischer Untersuchungen sowie Fallbeispiele aus verschiedenen Medien hypothesengeleitet und theoriebezogen s"/>
        <s v="Erweiterung der eigenen sozialen Handlungsfähigkeit sowie zur Selbstwahrnehmung, Selbstreflexion und Selbststeuerung konstruktiv beurteilen - Interventionsmöglichkeiten in ihrer praktischen Relevanz bewerten sowie nach ethischen Gesichtspunkten beurteilen"/>
        <s v="problembezogen und adressatengerecht multimedial präsentieren - psychologisch argumentieren sowie einen Diskurs über kontroverse psychologische Erkenntnisse sachlogisch und konstruktiv führen und moderieren Grundlegende Wissensbestände - zwei ausgewählte "/>
        <s v="psychologische Erkenntnisse sachlogisch und konstruktiv führen und moderieren Grundlegende Wissensbestände - zwei ausgewählte psychische Phänomene Aggression, prosoziales Verhalten, Einstellungen aus der Sicht von drei Paradigmen - Merkmale von Aggression"/>
        <s v="Formen aggressiven Verhaltens einschließlich Mobbing sowie Theorien und Modelle der Entstehung von Aggression z. B. Triebtheorien, Frustrations-Aggressions-Theorie, Theorie aggressiver Hinweisreize von Berkowitz, Lerntheorien, Präventions- und Interventio"/>
        <s v="Verhaltens einschließlich Mobbing sowie Theorien und Modelle der Entstehung von Aggression z. B. Triebtheorien, Frustrations-Aggressions-Theorie, Theorie aggressiver Hinweisreize von Berkowitz, Lerntheorien, Präventions- und Interventionsmaßnahmen - Unter"/>
        <s v="Bildung und Erziehung im Fach Psychologie Teilhabe und Teilnahme am gesellschaftlichen Leben Im Fach Psychologie gewinnen die Schülerinnen und Schüler grundlegende Einsichten in intrapersonelle und interpersonelle Prozesse menschlichen Erlebens und Verhal"/>
        <s v="eigene Person vorzunehmen. Dabei sind kommunikative und kooperative Fähigkeiten erforderlich. Am Ende der Qualifikationsphase können die Schülerinnen und Schüler in der Regel Handlungsalternativen bezüglich der Kontrolle und Steuerung des eigenen Verhalte"/>
        <s v="und andere mögliche Sichtweisen skizzieren. Die Schülerinnen und Schüler können mithilfe fachwissenschaftlicher Methoden und auf der Grundlage ausgewählter psychologischer Theorien und Modelle aus verschiedenen Paradigmen und Disziplinen der Psychologie k"/>
        <s v="ethischen Gesichtspunkten bewerten, psychologisches Wissen zur Erweiterung der eigenen sozialen Handlungsfähigkeit sowie zur Selbstwahrnehmung, Selbstreflexion und Selbststeuerung konstruktiv beurteilen, zu unterschiedlichen Lebenswirklichkeiten sowie int"/>
        <s v="verschiedener Erklärungsansätze für Alltagsbeispiele auf Grundlage der Paradigmen unter Anleitung beurteilen Handlungskompetenz - Beschreibung und Interpretation von Verhalten in sozialen Situationen bewusst unterscheiden - anhand ausgewählter Beispiele d"/>
        <s v="- alltagsgebräuchlichen Begriff der Persönlichkeit und psychologisches Konstrukt Persönlichkeit benennen - individuelle Ausprägungen des psychologischen Konstrukts Persönlichkeit beschreiben - verschiedene Persönlichkeitstheorien darstellen - Bewusstwerde"/>
        <s v="führen und moderieren Grundlegende Wissensbestände - zwei ausgewählte psychische Phänomene Aggression, prosoziales Verhalten, Einstellungen aus der Sicht von drei Paradigmen - Merkmale von Aggression, aggressivem Verhalten und Aggressivität, Formen aggres"/>
        <s v="der Entstehung von Aggression z. B. Triebtheorien, Frustrations-Aggressions-Theorie, Theorie aggressiver Hinweisreize von Berkowitz, Lerntheorien, Präventions- und Interventionsmaßnahmen - Unterschiede von hilfreichem Verhalten, prosozialem Verhalten und "/>
        <s v="Umfeld reflektiert Beziehungen aufzubauen, zu pflegen sowie Verantwortung für sich und das Wohl anderer zu übernehmen. Das impliziert die Ausbildung individueller Lebens- und Werteorientierungen, das Verständnis für unterschiedliche Denk- und Verhaltenswe"/>
        <s v="geben. Lebensweltbezogenes Lernen Die Schülerinnen und Schüler erwerben grundlegende Fähigkeiten und Fertigkeiten wissenschaftlichen Arbeitens, die auf einem handlungsorientierten und auf Weiterentwicklung der Selbstständigkeit beruhenden Fachunterricht b"/>
        <s v="anwenden, eigene Hypothesen im Sinne einer Verifizierung bzw. Falsifizierung überprüfen und die Ergebnisse fachkompetent sowie fachsprachlich kommunizieren. Andererseits werden sie auf diese Weise befähigt, zentrale Alltagsprobleme sowie eigene Erfahrunge"/>
        <s v="Medienpsychologie Klinische Psychologie und Gesundheitspsychologie Operatoren Anhang Verweise Abkürzungen Geschlechtergerechte Sprache Besondere Schriftauszeichnungen Leitgedanken zum Kompetenzerwerb Bildungswert des Faches Im Psychologieunterricht gewinn"/>
        <s v="der wissenschaftlichen Psychologie Die Schülerinnen und Schüler erwerben Grundkenntnisse, wie die Psychologie als Wissenschaft systematisch zu Erkenntnissen gelangt, und setzen sich mit der Pluralität verschiedener Erklärungsansätze für menschliches Erleb"/>
        <s v="Motivation Die Schülerinnen und Schüler setzen sich mit der Komplexität menschlicher Wahrnehmungs-, Gedächtnis- und Lernprozesse auseinander. Sie erkennen, wie Kognition, Emotion und Motivation zusammenwirken und können vor diesem Hintergrund eigenes Verh"/>
        <s v="Nervensystem , , MB Medienanalyse; Mediengesellschaft Die Schülerinnen und Schüler können ein psychologisches Gedächtnismodell darlegen, den Begriff Intelligenz beschreiben und problematisieren sowie Strategien zur Verbesserung kognitiven Lernens für das "/>
        <s v="Intelligenz beschreiben und problematisieren sowie Strategien zur Verbesserung kognitiven Lernens für das eigene Verhalten entwickeln Analyse- und Methodenkompetenz , Orientierungs- und Handlungskompetenz , , BIO Nervensystem , menschliches Erleben und Ve"/>
        <s v="nach P. Watzlawick oder nach F. Schulz von Thun erläutern und sich mit den Möglichkeiten und Grenzen des Modells auseinandersetzen Reflexions- und Urteilskompetenz D Funktion von Äußerungen , , gesprächshemmendes Verhalten und Probleme in Kommunikationssi"/>
        <s v="Thun erläutern und sich mit den Möglichkeiten und Grenzen des Modells auseinandersetzen Reflexions- und Urteilskompetenz D Funktion von Äußerungen , , gesprächshemmendes Verhalten und Probleme in Kommunikationssituationen analysieren sowie gesprächsförder"/>
        <s v="MB Kommunikation und Kooperation PG Mobbing und Gewalt Soziale Wahrnehmung und Gruppe Die Schülerinnen und Schüler befassen sich mit sozialen Wahrnehmungsprozessen, Einstellungen und Vorurteilen. Sie erkennen, wie menschliches Erleben und Verhalten durch "/>
        <s v="und Handlungskompetenz BTV Formen von Vorurteilen, Stereotypen, Klischees Merkmale von Gruppen beschreiben und grundlegende gruppendynamische Prozesse erläutern zum Beispiel Rollen, Phasen der Gruppenbildung BTV Minderheitenschutz darlegen, wie andere auf"/>
        <s v="des politischen Systems MB Medienanalyse; Mediengesellschaft PG Mobbing und Gewalt VB Bedürfnisse und Wünsche; Medien als Einflussfaktoren Angewandte Psychologie Medienpsychologie Die Schülerinnen und Schüler setzen sich mit menschlichem Erleben und Verha"/>
        <s v="exemplarische Konzepte und Modelle der einzelnen Strömungen in den jeweiligen Fachdisziplinen der Psychologie. Im Mittelpunkt des Unterrichts stehen vor allem psychische Alltagsphänomene des Erlebens und Verhaltens. Das menschliche Erleben und Verhalten h"/>
        <s v="auf die Lebenswelt der Schülerinnen und Schüler durch eine Auswahl von Unterrichtsthemen und geeigneten Anwendungsbeispielen hergestellt werden, die nicht direkt in ihre Privatsphäre eindringen. Da der Psychologieunterricht auch Missverständnisse, abweich"/>
        <s v="und Erleben des Menschen ist. Im Unterricht haben die Schülerinnen und Schüler die Möglichkeit, sich mit dem reziproken Verhältnis von Mensch und Umwelt und dessen Einfluss auf ihr Erleben und Verhalten auseinanderzusetzen. Sie werden sensibilisiert, Umwe"/>
        <s v="soziale Phänomene bzw. Sachverhalte in der analogen und digitalen Umgebung entwickeln, interessengeleitete Setzung, Verbreitung und Dominanz psychologischer Themen in analogen und digitalen Umgebungen erschließen und beurteilen. Handlungskompetenz: Sich i"/>
        <s v="Sicherheit, Überschaubarkeit, Alltagsbewältigung, Schutz und Orientierung Merkmale wissenschaftlicher Psychologie z. B. Allgemeingültigkeit, Falsifizierbarkeit, Überprüfbarkeit, Wiederholbarkeit, Objektivität, Systematik/Methodik, Operationalisierung Gege"/>
        <s v="Die Paradigmen der Psychologie Fachübergreifend Inhalte Fachbezogen Umsetzungshilfen Leitperspektiven Sprachbildung Die Schülerinnen und Schüler lernen in diesem Modul mindestens fünf Paradigmen der Psychologie und deren verschiedene Sichtweisen auf das m"/>
        <s v="diesem Modul exemplarisch Formen des Erkenntnisgewinns der kognitivistisch orientierten Psychologie kennen. Die Vertiefung des Paradigmas des Kognitivismus soll dabei entweder anhand des Themas Psychologie der Gruppe oder des Themas Prosoziales Verhalten "/>
        <s v="Vertiefung des Paradigmas des Kognitivismus soll dabei entweder anhand des Themas Psychologie der Gruppe oder des Themas Prosoziales Verhalten erfolgen. Kompetenzen Fachinterne Bezüge S. Motivation S. Soziale Wahrnehmung S. Antisoziales Verhalten bleibt z"/>
        <s v="für Gruppenbildung, soziale Rollen und Normen, Gruppenzusammenhalt, Leistung in Gruppen Social loafing Latané et al. Informativer Sherif und normativer Asch sozialer Einfluss Einfluss von Kultur und Selbstsicht interdependent, independent Prosoziales Verh"/>
        <s v="fachübergreifender Bezüge Bezüge zu den Aufgabengebieten: Interkulturelle Erziehung: vgl. Psychologie der Gruppe Einfluss von Kultur und Selbstsicht z. B. auf Leistung in Gruppen Sozial- und Rechtserziehung: innerhalb des Themas Prosoziales Verhalten Erst"/>
        <s v="mit ihrer individuellen Verantwortung im sozialen Miteinander auseinander. Wesentliche Werte können zudem über die Unterthemen Kultur und Selbstsicht sowie unterlassene Hilfeleistung vermittelt werden. Beitrag zur Leitperspektive BNE: Das Thema Prosoziale"/>
        <s v="beinhaltet die Auseinandersetzung mit Verantwortung und sozialer Teilhabe, die als wesentliche Punkte in mehreren SDGs aufgeführt werden. Beitrag zur Leitperspektive D: Die Schülerinnen und Schüler können sich vertieft mit dem Verhalten von Gruppen in soz"/>
        <s v="und Schüler angeleitet werden, sich kritisch und selbstbestimmt mit Kommunikationswegen und der Entstehung von Kommunikationsstörungen zu befassen. Kompetenzen Fachinterne Bezüge M Psychologie der Gruppe S. Konstruktivismus S. AOPsychologie S. Antisoziale"/>
        <s v="befassen. Kompetenzen Fachinterne Bezüge M Psychologie der Gruppe S. Konstruktivismus S. AOPsychologie S. Antisoziales Verhalten bleibt zunächst leer Grundbegriffe der Kommunikation Soziale Kommunikation und soziale Interaktion Verbales, nonverbales und p"/>
        <s v="Paradoxien Metakommunikation oder Kommunikationsmodell nach Schulz von Thun: Nachrichtenquadrat -Ohren-Modell Kommunikationsstile und inneres Team Doppelbindungen Kommunikation und neue Medien Social Media Einer der folgenden Bereiche medienvermittelter K"/>
        <s v="Erleben und Verhalten im Zusammenhang mit der Nutzung von Medien soll vertieft behandelt werden: Sozialpsychologische Bedingungen des Erlebens und Verhaltens bei der Nutzung von Medien soziale Vergleichsprozesse Medienvermitteltes Erleben und Verhalten au"/>
        <s v="Wahrnehmung S. Selbst und Identität bleibt zunächst leer Jugendalter Jugend als Lebensphase Entwicklungsaufgaben im Jugendalter: o Formen des Identitätsstatus nach Marcia o Entwicklungsaufgaben nach Havighurst o Risikoverhalten z. B. suizidales Verhalten "/>
        <s v="selbstbestimmt mit der Definition von Straftaten und dem rechtsstaatlichen Umgang mit Kriminalität zu befassen. Kompetenzen Fachinterne Bezüge M Psychologie der Gruppe S. Entwicklung S. Eigenschaftstheorien S. Klinische Psychologie S. Antisoziales Verhalt"/>
        <s v="erleben oder beobachten, zum anderen exemplarische Konzepte und Modelle der einzelnen Strömungen in den jeweiligen Fachdisziplinen der Psychologie. Im Mittelpunkt des Unterrichts stehen vor allem psychische Alltagsphänomene des Erlebens und Verhaltens. Da"/>
        <s v="psychischen Systems Fachübergreifend Inhalte Fachbezogen Umsetzungshilfen Leitperspektiven Aufgabengebiete Berufsorientierung Sprachbildung Die Schülerinnen und Schüler lernen in diesem Modul die Disziplinen der Psychologie und ein Strukturmodell zur Erkl"/>
        <s v="Paradigmen der Psychologie und deren verschiedene Sichtweisen auf das menschliche Verhalten kennen. Kompetenzen Fachinterne Bezüge M Tiefenpsychologie M Behaviorismus M Kognitivismus SS Verortung der Themen bleibt zunächst leer Erklärungsansätze menschlic"/>
        <s v="neue Medien Social Media Einer der folgenden Bereiche medienvermittelter Kommunikation menschliches Erleben und Verhalten im Zusammenhang mit der Nutzung von Medien soll vertieft behandelt werden: Sozialpsychologische Bedingungen des Erlebens und Verhalte"/>
        <s v="leiten daraus Ansätze für Veränderungen ab. erkennen und umschreiben Alltags- und Arbeitsbereiche, in denen psychologische Erkenntnisse ihre Anwendung finden, und wenden dabei die korrekte Fachterminologie an. Inhalte zu den Kompetenzen: Verhalten und Erl"/>
        <s v="z. B. Bedürfnis-, Trieboder Erwartungswerttheorien Grundlagen von Emotionen, z. B. Basisemotionen, Einflussfaktoren, Komponenten, Funktionen und Entstehungstheorien, wie psychophysiologische, kognitive oder evolutionsbiologische Theorien Zusammenhänge zwi"/>
        <s v="B. Forschung, Frühförderung, Inklusion, Einzelfall-/Gruppen-/Familienberatung Ps/ : Modul Lernpsychologie ca. Std. Kompetenzerwartungen Die Schülerinnen und Schüler ... beschreiben Lernen als grundlegenden und erfahrungsbasierten Prozess. erklären die Ent"/>
        <s v="des Behaviorismus, des Kognitivismus, der humanistischen, der systemischen Psychologie, der Biopsychologie anhand ausgewählter Modelle und Theorien Analyse ausgewählter Phänomene mittels psychologischer Modelle und Theorien, z. B. Analyse des Erwerbs vers"/>
        <s v="Wissenschaft Psychologie Betrachtung psychischer Phänomene Paradigmen in der Psychologie Methoden der Psychologie Kompetenzentwicklung im Fach Psychologie Ziele des Unterrichts Die Beschäftigung mit psychologischen Erkenntnissen bedarf der Auseinandersetz"/>
        <s v="heute und in Zukunft unerlässlich: in der Wirtschaft, in der Medizin, überall, wo Menschen ausgebildet werden, nicht zuletzt aber in der Familie und in den persönlichen Beziehungen. Die Möglichkeiten, menschliches Verhalten und Erleben psychologisch zu be"/>
        <s v="wahr, deren Theorien und wissenschaftliche Methoden sich durch die Auswahl und Interpretation von Alltagsphänomenen unterscheiden. Das Unterrichtsfach Psychologie hält die Schülerinnen und Schüler an, den Menschen, sein Erleben und sein Verhalten aus vers"/>
        <s v="Inhalte entstammen aus Natur und Gesellschaft und können aus einer individuellen und/oder gruppendynamischen Perspektive betrachtet werden. Aus dem wirkungsvollen Zusammenspiel aller genannten Kompetenzbereiche ergibt sich die Fähigkeit, menschliches Erle"/>
        <s v="formulieren Erklärungsansätze. Die Schülerinnen und Schüler vollziehen zunächst psychologische Erkenntnismethoden nach und erlangen so zunehmend die Fähigkeit, diese Methoden in einfacher Weise selbst zu nutzen. Kommunizieren Die Verständigung über mensch"/>
        <s v="interpretiert werden können. Um psychologische Interpretationen qualitativ einzuschätzen, wählen sie aus vorgegebenen Kriterien geeignete aus. Sie formulieren fachlich begründete Vermutungen über die mit den verschiedenen Deutungen verbundenen Absichten. "/>
        <s v="konkrete psychische Phänomene des menschlichen Verhaltens und Erlebens identifizieren Fachinhalte von Begriffen und Modellen wiedergeben psychische Phänomene und psychologische Fragestellungen verschiedenen Teildisziplinen der Psychologie zuordnen untersc"/>
        <s v="des menschlichen Verhaltens und Erlebens nach vorgegebenen Kriterien konstruieren ähnliche Fachbegriffe voneinander abgrenzen und interpretieren eigene Fragestellungen zu verschiedenen Teildisziplinen der Psychologie formulieren Erklärungen unterschiedlic"/>
        <s v="Elemente auswählen und diese adäquat nutzen unterschiedliche Darstellungen, Positionen gleichberechtigt diskutieren alltagssprachliche Formulierungen in Fachsprache übersetzen Fachzusammenhänge für einen Informationsempfänger adäquat formulieren und illus"/>
        <s v="gleichberechtigt diskutieren alltagssprachliche Formulierungen in Fachsprache übersetzen Fachzusammenhänge für einen Informationsempfänger adäquat formulieren und illustrieren Bewerten Die Qualität von Alltagswissen zum Verhalten und Erleben von Menschen "/>
        <s v="und dasselbe psychische Phänomen zum Ausdruck bringen Die Schülerinnen und Schüler können E F ihre eigene Einschätzung zur Qualität von Alltagswissen begründen konkrete Situationen beschreiben, in denen sie ihr eigenes Verhalten und Erleben an psychologis"/>
        <s v="zu alltagspsychologischem Wissen nicht allgemeingültig ist aufgrund psychologischer Erkenntnisse Vermutungen zu eigenen Entwicklungspotenzialen formulieren verschiedene Erklärungen ein und desselben psychischen Phänomens vergleichen und diskutieren H die "/>
        <s v="Basis für die Unterrichtspraxis als auch einen zentralen Inhalt im Sinne des inklusiven Lernens. Einführung in die Wissenschaft Psychologie Die Schülerinnen und Schüler formulieren aus eigener Erfahrung bekanntes Erleben und Verhalten und erfassen so psyc"/>
        <s v="identifizieren multifaktorielle Kausalbezüge und analysieren die Komplexität menschlichen Erlebens und Verhaltens. Mithilfe geeigneter Systeme erfassen und erkennen sie die individuelle Vielfalt menschlichen Erlebens und Verhaltens. Thema Inhalte Mögliche"/>
        <s v="und Schüler ein grobes inhaltliches Grundgerüst, in das psychologische Themen auch in Zukunft eingeordnet werden können. Die Schülerinnen und Schüler identifizieren die Existenz verschiedener Perspektiven der Betrachtung von Erleben und Verhalten, nehmen "/>
        <s v="Themen und Alltagsbezügen für den Unterricht, deren psychologische Relevanz nicht immer leicht durchschaubar ist. Die Schülerinnen und Schüler verwenden deshalb Paradigmen als zentrale, erkenntnisleitende Prinzipien, um konkrete Phänomene des menschlichen"/>
        <s v="Erleben und Verhalten psychologisch reflektieren Die Schülerinnen und Schüler zeigen sich kompetent in den beschriebenen Kompetenzbereichen, wenn sie auf der Grundlage psychologischen Wissens einfache psychische Phänomene des menschlichen Erlebens und Ver"/>
        <s v="nutzen die Schülerinnen und Schüler ihre bereits erworbenen Kompetenzen und vertiefen diese. Am Ende der Jahrgangsstufe wird das entsprechende Übergangs- bzw. Abschlussniveau erreicht. Fachwissen aufbereiten Psychologische Aspekte menschlichen Erlebens un"/>
        <s v="beschreiben Zusammenhänge und Unterschiede zwischen Alltagspsychologie und wissenschaftlicher Psychologie erkennen und verwenden Paradigmen als zentrale, erkenntnisleitende Prinzipien verwenden Die Schülerinnen und Schüler können E F konkrete psychische P"/>
        <s v="von Begriffen und Modellen wiedergeben psychische Phänomene und psychologische Fragestellungen verschiedenen Teildisziplinen der Psychologie zuordnen unterschiedliche paradigmatische Erklärungsmodelle für menschliches Verhalten und Erleben beschreiben G k"/>
        <s v="Aussagen/Texte hinsichtlich ihres wissenschaftlichen Gehaltes untersuchen und begründet von der Alltagspsychologie unterscheiden paradigmatische Erklärungsmodelle bezüglich vorgegebener Kriterien z. B. Menschenbild, Wissenschaftlichkeit vergleichen H Beis"/>
        <s v="im Alltag. Auf dieser Grundlage identifizieren sie alltagspsychologische Herangehensweisen und unterscheiden diese von wissenschaftlichen. Die Schülerinnen und Schüler erschließen sowohl Möglichkeiten der Wissenschaft Psychologie bei der Betrachtung mensc"/>
        <s v="Auf der Grundlage von Verhaltensbeschreibungen aus ihrer Lebenswelt suchen die Schülerinnen und Schüler nach Ursache-Wirkungs-Beziehungen zur Erklärung psychischer Phänomene. Sie identifizieren multifaktorielle Kausalbezüge und analysieren die Komplexität"/>
        <s v="Ursache-Wirkungs-Beziehungen zur Erklärung psychischer Phänomene. Sie identifizieren multifaktorielle Kausalbezüge und analysieren die Komplexität menschlichen Erlebens und Verhaltens. Mithilfe geeigneter Systeme erfassen und erkennen sie die individuelle"/>
        <s v="Komplexität menschlichen Erlebens und Verhaltens. Mithilfe geeigneter Systeme erfassen und erkennen sie die individuelle Vielfalt menschlichen Erlebens und Verhaltens. Thema Inhalte Mögliche Konkretisierungen Warum verhalten wir uns so Analyse menschliche"/>
        <s v="Hauptrefinanzierungsgeschäfte unverändert bei ,. Der damit vergleichbare Zinssatz in den USA beträgt ,. Stellen Sie jeweils eine Wirkungskette auf, in der die idealtypischen Auswirkungen einer Senkung des EZB-Leitzinses auf das Verhalten der Unternehmer, "/>
        <s v="Der damit vergleichbare Zinssatz in den USA beträgt ,. Stellen Sie jeweils eine Wirkungskette auf, in der die idealtypischen Auswirkungen einer Senkung des EZB-Leitzinses auf das Verhalten der Unternehmer, das Verhalten der Haushalte, den Kurs des Euro ge"/>
        <s v="Ablauf und Strukturierung der Präsentation Zeitmanagement optimal angemessen gelegentlich unangemessen häufig unangemessen sehr stark eingeschränkt Kommunikationsfähigkeit Wahl einer adressatenbezogenen Sprachebene Darstellung eines Sachzusammenhangs auf "/>
        <s v="unangemessen häufig unangemessen sehr stark eingeschränkt Kommunikationsfähigkeit Wahl einer adressatenbezogenen Sprachebene Darstellung eines Sachzusammenhangs auf fachsprachlicher und allgemein verständlicher Ebene Verbales Verhalten Rhetorik: Verständl"/>
        <s v="eigenen Wünschen, gesellschaftlichen Erwartungen und politischen, ökonomischen und sozialen Erfordernissen - Einfluss von Medien auf die Identitätsbildung - Wertepluralismus in der Demokratie Individuum, Familie, Freunde, Gesellschaft - Jugendkriminalität"/>
        <s v="Meinungsbildung und Entscheidungsfindung unter Wahrung demokratischer Grundprinzipien mit der notwendigen Konflikt- und Kompromissbereitschaft weitgehend selbstständig beteiligen, eigene Positionen zu politischen und wirtschaftlichen Lösungsmöglichkeiten "/>
        <s v="ist in der Bundesrepublik Deutschland die Basis gesellrter sozialer Gerechtigkeit. Dabei ist die europäische Integration von besonderer Bedeutung okratischen Gestaltungsprozess als auch für die Entwicklung des Sozialstaates. suchung von demokratiefeindlic"/>
        <s v=".., oder . Wahlpflichtmodul zum Thema Nachhaltigkeit Pflicht: ein Modul in der Studienstufe Wahlpflichtmodul mit mathematischen Anteilen für das erhöhte Anforderungsniveau Pflicht eA: ein Modul in der Studienstufe H- Menschliches Verhalten in ökonomisch g"/>
        <s v="Wirtschaftsordnung . Wirtschaftspolitik . Auf erhöhtem Niveau: Geldpolitik und Finanzmärkte im internationalen Zusammenhang . Internationale Wirtschaftsbeziehungen . Theorie und Praxis der Nachhaltigkeitspolitik .; dieses Modul kann oder ersetzen S- Mensc"/>
        <s v="SWOT-Analyse Operatives Marketing Marketing-Mix Produktpolitik Kommunikationspolitik Preispolitik Distributionspolitik Beitrag zur Leitperspektive D: Die zunehmende Rolle digitaler Medien führt zu einer veränderten Ausrichtung von Marketingkonzepten. Die "/>
        <s v="Beitrag zur Leitperspektive BNE: Die Vorstellung eines primär an Wachstum und Konsuminteressen orientierten Individuums kann ebenso kritisch hinterfragt werden wie Vorstellungen prinzipiell grenzenlosen wirtschaftlichen Wachstums. Indem die verschiedenen "/>
        <s v="primär an Wachstum und Konsuminteressen orientierten Individuums kann ebenso kritisch hinterfragt werden wie Vorstellungen prinzipiell grenzenlosen wirtschaftlichen Wachstums. Indem die verschiedenen Erklärungsansätze menschlichen Verhaltens auf Möglichke"/>
        <s v="Teil Gemeinschaftsschule Im Einklang mit den Grundprinzipien der Gemeinschaftsschule steht im Mittelpunkt des Lernbereichs Gesellschaftswissenschaften die Befähigung der Schülerinnen und Schüler zu verantwortungsvoller Partizipation, zu demokratischem Han"/>
        <s v="eigenen Person - in die Gesellschaft ermöglichen. Dies erfolgt sowohl auf der zeitlichen als auch auf der räumlichen Ebene. Die Schülerinnen und Schüler erkennen und vergleichen eigenes, aber auch fremdes Verhalten ausgehend von ihrem unmittelbaren sozial"/>
        <s v="Konfliktlösungsansätze vermittelt den Schülerinnen und Schülern das nötige Verständnis für die Bedeutung supranationaler Organisationen und internationaler Vereinbarungen. In diesem Zusammenhang sind sie vor allem auch zu Fremdverstehen und zu mitmenschli"/>
        <s v="mit alltäglichen Ausgrenzungen z. B. Rassismus, Antisemitismus oder Sexismus und erfassen Möglichkeiten des persönlichen Engagements für Minderheitenschutz und Gleichberechtigung im demokratischen Rechtsstaat. vergleichen Möglichkeiten der staatlichen Ein"/>
        <s v="unterschiedlicher Darstellungsweisen zu beurteilen. reflektieren zentrale Ursachen des demografischen Wandels, um grundsätzliche Möglichkeiten und Grenzen staatlicher Lenkung zu diskutieren und eine aktuelle politische Maßnahme z. B. im Bereich des genera"/>
        <s v="Demokratie wurde wirtschaftliche Not, politische Polarisierung und Radikalisierung Vertrauensverlust in die Demokratie Selbstentmachtung des Parlaments wichtige Ursachen für das Scheitern der ersten deutschen Demokratie kennen Krisen, Strukturmängel, Ment"/>
        <s v="Verschränkung von Partei und Staat, Propaganda Konzentrationslager wichtige Grundelemente der nationalsozialistischen Ideologie kennen und reflektieren Rassenideologie, Antisemitismus, Lebensraumkonzept, Führerprinzip, Weltherrschaftsanspruch, Demokratief"/>
        <s v="GG: Chancengleichheit / -gerechtigkeit Frauengesetzgebung Zusammenleben mit Ausländern und Asylrecht Die Schülerinnen und Schüler sollen einen Einblick gewinnen in Fragen und Probleme des Zusammenlebens mit zugewanderten Minderheiten Fremdheit, Vorurteile"/>
        <s v="in der Politik Zusammenleben mit Ausländern und Asylrecht Lernziele Inhaltsaspekte Die Schülerinnen und Schüler sollen Probleme bei der Gestaltung des Zusammenlebens von Deutschen mit zugewanderten Minderheiten erörtern Fremdheit, Vorurteile, individuelle"/>
        <s v="Subsistenzwirtschaft/Marktorientierung, Produktivität Industrie: Rohstoffe und eigene Rohstoffverarbeitung, Arbeits- und Kapitalintensität Handel: Exportorientierung Tourismus: Ausmaß und Auswirkungen in wirtschaftlicher, sozialer, kultureller und ökologi"/>
        <s v="weil sie sich als notwendig erweisen im methodischen Nachdenken über politische Zusammenhänge. Politisches Denken bewegt sich auf der Ebene der politischen Soziologie im Beschreiben und Analysieren politischer Strukturen, Konstellationen und Verhaltenswei"/>
        <s v="Macht, Raumnutzungsmuster in verschiedenen gesellschaftlichen, politischen, ökonomischen und ökologischen Systemen, Wandlungen räumlicher Ordnungssysteme durch wirtschaftliche und soziale Prozesse, Räumliche Planung im Konflikt zwischen Zielen und Methode"/>
        <s v="normative Grundlage Jugendschutzgesetz, Jugendarbeitsschutz Familienrecht, Kaufrecht, z. B. Kaufverträge im Internet, Taschengeldparagraph AWT Jugendstrafrecht, Sinn und Zweck von Strafe, Erziehungsmaßnahmen und Auflagen Informatik und Medienbildung Refle"/>
        <s v="der Perspektive von Konsument, Arbeitnehmer, Unternehmer oder Staatsbürger Problemstellungen kriterienorientiert analysieren, beurteilen und lösen können. Das im Fach Wirtschaft und Recht erworbene Strukturwissen ermöglicht es den Schülerinnen und Schüler"/>
        <s v="Schülerinnen und Schüler eigene Entscheidungen aus Sicht der Verhaltensökonomie kritisch. Zudem analysieren sie unternehmerische und politische Maßnahmen aus verhaltensökonomischer Perspektive. Dabei diskutieren sie auch ethische Aspekte bei der Beeinflus"/>
        <s v="der Einführungsphase und der Qualifikationsphase sind insofern beabsichtigt, Doppelungen sollen aber im Unterricht vermieden werden. A Familie, Kindheit und Jugend Inhalte Familienrecht Familienpolitik Individuum und Gruppe Konsum und Vertragsrecht abweic"/>
        <s v="sich die Schülerinnen und Schüler im Gebrauch sozialwissenschaftlicher Begriffe und Methoden sozialwissenschaftliches Analysieren und in der Fähigkeit zum Perspektivenwechsel. Indem die Schülerinnen und Schüler Widersprüche zwischen einzel- und gesamtwirt"/>
        <s v="unter dem Aspekt: selbstständige Arbeit vs. Erwerbsarbeit Chancen und Risiken; Gesetz zum Schutz der arbeitenden Jugend Jugendarbeitsschutzgesetz - JArbSchG; Mitbestimmung in Betrieben Existenzgründung/Wirtschaft: Schülerfirmen und Schülergenossenschaften"/>
        <s v="Grundkursfach Leistungskursfach Die Schülerinnen und Schüler präsentieren Erkenntnisse situations- und anforderungsgemäß mündlich, schriftlich, medienunterstützt, legen eigene Auffassungen im Bewusstsein der gewählten Perspektive dar, stellen sich der kri"/>
        <s v="und anforderungsgemäß mündlich, schriftlich, medienunterstützt, legen eigene Auffassungen im Bewusstsein der gewählten Perspektive dar, stellen sich der kritischen Beurteilung durch andere, verhalten sich in Diskussionen dialogisch der sozialen Situation "/>
        <s v="Sozialwissenschaften ihre Lernwege und die Ergebnisse ihrer Arbeit. Solch ein Ansatz erfordert eine Unterrichtsgestaltung, in der eigene Lernwege bewusst und kritisch-konstruktiv zum Gegenstand der Diskussion werden. So können Einstellungen und Verhaltens"/>
        <s v="Entwicklung von wirtschaftlichem Wachstum und Lebensqualität und deren Beschreibungsmöglichkeiten - Tauschbeziehungen und Koordination durch Märkte Geld- und Güterkreislauf, gegebenenfalls vom einfachen zum erweiterten Wirtschaftskreislauf Modellbildungen"/>
        <s v="Lösung nationaler, europäischer und globaler Herausforderungen wie etwa im Bereich der Asyl- und Migrationspolitik zu verstehen und sich mit unterschiedlichen Lösungsperspektiven auseinanderzusetzen, dabei - eine Widerstandshaltung gegen inhumane und unde"/>
        <s v="sich in politischen, gesellschaftlichen und ökonomischen Auseinandersetzungen reflektiert mit sozialer, geschlechtsspezifischer und kultureller Differenz auseinandersetzen, H anderen Positionen tolerant und gegebenenfalls begründet kritisch begegnen, H un"/>
        <s v="anderer kriteriengeleitet überprüfen g, U: den Zusammenhang von Sinn-vorstellungen und gesellschaftlichen Strukturen reflektieren e, H: anderen Positionen tolerant und gegebenenfalls begründet kritisch begegnen g, H: undemokratische und rechtsstaatswidrig"/>
        <s v="mit zu entwickeln Demokratie lernen, - Ansätze zur Lösung nationaler, europäischer und globaler Herausforderungen zu verstehen und sich mit unterschiedlichen Lösungsperspektiven auseinanderzusetzen, dabei - eine Widerstandshaltung gegen inhumane und undem"/>
        <s v="Intention unterschiedlicher Darstellungsweisen zu beurteilen. reflektieren zentrale Ursachen des demografischen Wandels, um Möglichkeiten und Grenzen staatlicher Lenkung zu erkennen und eine aktuelle politische Maßnahme z. B. im Bereich des generativen Ve"/>
        <s v="Leerkosten. begründen verbal und grafisch die Entstehung von Nutz- und Leerkosten und die Möglichkeit der Abbaubarkeit der Leerkosten Beurteilungskompetenz. Marktformen und Marktprozesse auf dem vollkommenen Markt Wirtschaftslehre Hauptphase GK Das Verhal"/>
        <s v="Handlungskompetenz Die Schülerinnen und Schüler erklären die Verhaltensweisen und Marktstrategien eines Oligopolisten, Die Schülerinnen und Schüler beurteilen die grundsätzlichen Möglichkeiten eines Oligopolisten, sich seinen Konkurrenten gegenüber wirtsc"/>
        <s v="Methoden-, Beurteilungsund Handlungskompetenz Modell des Gütermarktes und Wirtschaftssektoren Die Schülerinnen und Schüler erläutern den grundsätzlichen Unterschied zwischen der Mikroökonomie und der Makroökonomie, Die Schülerinnen und Schüler grenzen ein"/>
        <s v="Märkten Wirtschaftslehre Hauptphase GK In der Realität eröffnet die Unvollkommenheit von Märkten durch z. B. das Fehlen von Markttransparenz und ein verzögertes Reaktionsverhalten der Marktteilnehmerinnen und -teilnehmer weitreichende Möglichkeiten strate"/>
        <s v="B. das Fehlen von Markttransparenz und ein verzögertes Reaktionsverhalten der Marktteilnehmerinnen und -teilnehmer weitreichende Möglichkeiten strategischen Verhaltens. Dadurch können Unternehmen ihre Gewinnsituation und Marktposition maßgeblich verbesser"/>
        <s v="und Reaktionsverbundenheit und die damit einhergehende Unsicherheit anhand einer vorgegebenen Preis-Absatz-Funktion Handlungskompetenz. Preisbildung auf unvollkommenen Märkten Wirtschaftslehre Hauptphase GK Sachkompetenz Orientierungs-, Methoden-, Beurtei"/>
        <s v="- die Notwendigkeit der Arbeitsteilung in der Familie beschreiben, - die historische Entwicklung der Arbeitsteilung in der Familie darstellen, - die Vielfalt der landestypisch geprägten familiären Arbeitsteilung vergleichen, - das Verhalten der Familie al"/>
        <s v="durch Nutzung neuer Medien erfolgreich an Umweltwettbewerben z. B. Aktion Klima, Erlebter Frühling, NAJU Energiesparclub, Regionalwettbewerb teilnehmen. Selbst - und Sozialkompetenz Der Schüler kann - die Ansprüche eines ökologisch bewussten Verhaltens mi"/>
        <s v="Ökobilanzerstellung, das Ökoaudit anschaulich darstellen, - unter Nutzung von verschiedenen Medien Informationen über Umweltberufe gezielt auswerten und präsentieren. Selbst - und Sozialkompetenz Der Schüler kann - gesellschaftlich sowie betrieblich umwel"/>
        <s v="in Frage stellen sich im Sinne eines Perspektivwechsels in die Situation, Interessen und Denkweisen anderer Menschen versetzen, diese Interessen und Denkweisen simulativ für eine begrenzte Zeit vertreten und das eigene Verhalten in der Rolle reflektieren "/>
        <s v="internationale Politik bestimmen Regeln und Recht, wie Entscheidungen in den internationalen Beziehungen getroffen werden Macht und Entscheidung, welche Akteure die internationale Politik beeinflussen Privatheit und Öffentlichkeit und welche Handlungsmoti"/>
        <s v="Lebensform. Hierbei geht es um Fragen des demokratischen sozialen Zusammenlebens der Menschen, beispielsweise die Interaktionen im Klassenzimmer, in der Schule und in der Familie. Bereits in der Schule müssen demokratische Verhaltens- und Konfliktlösungsm"/>
        <s v="wurde wirtschaftliche Not, politische Polarisierung und Radikalisierung Vertrauensverlust in die Demokratie Selbstentmachtung des Parlaments - wichtige Ursachen für das Scheitern der ersten deutschen Demokratie kennen Krisen, Strukturmängel, Mentalitäten,"/>
        <s v="Partei und Staat, Propaganda Konzentrationslager - wichtige Grundelemente der nationalsozialistischen Ideologie kennen und reflektieren Rassenideologie, Antisemitismus, Lebensraumkonzept, Führerprinzip, Weltherrschaftsanspruch, Demokratiefeindschaft - die"/>
        <s v="Chancengleichheit / -gerechtigkeit Frauengesetzgebung Zusammenleben mit Ausländern und Asylrecht Die Schülerinnen und Schüler sollen - einen Einblick gewinnen in Fragen und Probleme des Zusammenlebens mit zugewanderten Minderheiten Fremdheit, Vorurteile, "/>
        <s v="der Politik Zusammenleben mit Ausländern und Asylrecht Lernziele Inhaltsaspekte Die Schülerinnen und Schüler sollen - Probleme bei der Gestaltung des Zusammenlebens von Deutschen mit zugewanderten Minderheiten erörtern Fremdheit, Vorurteile, individuelles"/>
        <s v="Produktivität Industrie: Rohstoffe und eigene Rohstoffverarbeitung, Arbeits- und Kapitalintensität Handel: Exportorientierung Tourismus: Ausmaß und Auswirkungen in wirtschaftlicher, sozialer, kultureller und ökologischer Hinsicht - Bevölkerungsstruktur un"/>
        <s v="sie sich als notwendig erweisen im methodischen Nachdenken über politische Zusammenhänge. Politisches Denken bewegt sich auf der Ebene - der politischen Soziologie im Beschreiben und Analysieren politischer Strukturen, Konstellationen und Verhaltensweisen"/>
        <s v="verschiedenen gesellschaftlichen, politischen, ökonomischen und ökologischen Systemen, - Wandlungen räumlicher Ordnungssysteme durch wirtschaftliche und soziale Prozesse, - Räumliche Planung im Konflikt zwischen Zielen und Methoden von Interessengruppen, "/>
        <s v="Aufgabe des Faches, Schülerinnen und Schüler dabei zu unterstützen, die aktuellen politischen, gesellschaftlichen und wirtschaftlichen Geschehnisse zu verstehen, einzuordnen, sich ein Urteil zu ihnen zu bilden sowie sich dementsprechend zu verhalten. Aktu"/>
        <s v="die Gegenseite damit konfrontieren. H: sich im Sinne eines Perspektivwechsels in die Situation, die Interessen und die Denkweisen anderer Menschen versetzen, diese Interessen und Denkweisen simulativ vertreten und das eigene Verhalten in der Rolle reflekt"/>
        <s v="konkreten Beispiels die kritische Menge als Entscheidungskriterium für eine Investition Handlungskompetenz, beurteilen die Kostenvergleichsrechnung als Hilfsmittel betrieblicher Investitionsentscheidungen Beurteilungskompetenz. Marktformen und Marktprozes"/>
        <s v="die damit einhergehende Unsicherheit anhand einer vorgegebenen Preis-Absatz-Funktion Handlungskompetenz, erklären die Verhaltensweisen und Marktstrategien eines Oligopolisten, beurteilen die grundsätzlichen Möglichkeiten eines Oligopolisten, sich seinen K"/>
        <s v="Preis-Absatz-Funktion Handlungskompetenz, erklären die Verhaltensweisen und Marktstrategien eines Oligopolisten, beurteilen die grundsätzlichen Möglichkeiten eines Oligopolisten, sich seinen Konkurrenten gegenüber wirtschaftsfriedlich oder wirtschaftsfein"/>
        <s v="Handlungskompetenz Einführung: Modell des Gütermarktes Die Schülerinnen und Schüler erläutern den grundsätzlichen Unterschied zwischen der Mikroökonomie und der Makroökonomie, Die Schülerinnen und Schüler grenzen anhand eines Textauszugs einzelwirtschaftl"/>
        <s v="Märkten Wirtschaftslehre Hauptphase LK In der Realität eröffnet die Unvollkommenheit von Märkten durch z. B. das Fehlen von Markttransparenz und ein verzögertes Reaktionsverhalten der Marktteilnehmerinnen und teilnehmer weitreichende Möglichkeiten strateg"/>
        <s v="B. das Fehlen von Markttransparenz und ein verzögertes Reaktionsverhalten der Marktteilnehmerinnen und teilnehmer weitreichende Möglichkeiten strategischen Verhaltens. Dadurch können Unternehmen ihre Gewinnsituation und Marktposition maßgeblich verbessern"/>
        <s v="Wirtschaft Methodenkompetenz, Beurteilungskompetenz, erklären die Preisbildung im unvollkommenen Oligopol mit Hilfe der einfach-geknickten Preis-Absatz-Funktion, erörtern Preisstarrheit und Reaktionsverbundenheit und die damit einhergehende Unsicherheit a"/>
        <s v="unterschiedlichen Rollen in Spielgruppen charakterisieren, - Spielmaterialien im Hinblick auf ihre Entwicklungsförderung beurteilen, - die Bedeutung des Kindergartens als sekundäre Sozialisationsinstanz erfassen. p Der Schüler kann - mittels Beobachtungen"/>
        <s v="durchführen, - Konfliktmodelle, z. B. Eisbergmodell, Dreiecksmodell, und Konfliktlösungsstrategien, z. B. Gordon-Schulkonferenz, anwenden. Selbst- und Sozialkompetenz Der Schüler kann - seine Rolle in der Gruppe Schulklasse erfassen, - auf unangemessenes "/>
        <s v="Menschen, empfohlen. Sachkompetenz Der Schüler kann - die Phasen der Pubertät nennen, - die Pubertät als eine notwendige Phase im Entwicklungsprozess einordnen, - den Einfluss der körperlichen Entwicklung auf das Verhalten beschreiben, - Lösungsstrategien"/>
        <s v="Hilfe verschiedener Befragungsformen Entwicklungen in der Pubertät aufzeigen. Selbst- und Sozialkompetenz Der Schüler kann - mit Hilfe von Selbsterfahrungs- und Interaktionsübungen eigene Erfahrungen in der Pubertät reflektieren, - sein eigenes Verhalten "/>
        <s v="Entwicklungen in der Pubertät aufzeigen. Selbst- und Sozialkompetenz Der Schüler kann - mit Hilfe von Selbsterfahrungs- und Interaktionsübungen eigene Erfahrungen in der Pubertät reflektieren, - sein eigenes Verhalten mit dem Verhalten Gleichaltriger verg"/>
        <s v="gestaltet werden können. In diesem Lernbereich wird der Besuch regionaler Beratungsstellen und Selbsthilfegruppen empfohlen, in denen der Schüler mögliche Unterstützungsangebote kennenlernt. Klassenstufe Sachkompetenz Der Schüler kann - angepasstes und ab"/>
        <s v="Fallbeispielen Entwicklungsaufgaben Jugendlicher beschreiben, - Diagramme und Statistiken mit regionalem Bezug auswerten, - einen Katalog zu regionalen Unterstützungsangeboten erstellen, - Expertenbefragungen durchführen. Selbst- und Sozialkompetenz Der S"/>
        <s v="Fallbeispielen Entwicklungsaufgaben Jugendlicher analysieren, - Diagramme und Statistiken mit regionalem Bezug auswerten, - einen Katalog zu regionalen Unterstützungsangeboten erstellen, - Expertenbefragungen durchführen. Selbst- und Sozialkompetenz Der S"/>
        <s v="Selbsthilfegruppen empfohlen, in denen der Schüler mögliche Unterstützungsangebote kennenlernt. Klassenstufe Sachkompetenz Der Schüler kann - angepasstes und abweichendes Verhalten im gesellschaftlichen Kontext erklären, - Vor- und Nachteile angepassten u"/>
        <s v="Schüler mögliche Unterstützungsangebote kennenlernt. Klassenstufe Sachkompetenz Der Schüler kann - angepasstes und abweichendes Verhalten im gesellschaftlichen Kontext erklären, - Vor- und Nachteile angepassten und abweichenden Verhaltens vergleichen, - E"/>
        <s v="Selbsthilfegruppen empfohlen, in denen der Schüler mögliche Unterstützungsangebote kennenlernt. Klassenstufe Sachkompetenz Der Schüler kann - angepasstes und abweichendes Verhalten im gesellschaftlichen Kontext erläutern, - Vor- und Nachteile angepassten "/>
        <s v="Schüler mögliche Unterstützungsangebote kennenlernt. Klassenstufe Sachkompetenz Der Schüler kann - angepasstes und abweichendes Verhalten im gesellschaftlichen Kontext erläutern, - Vor- und Nachteile angepassten und abweichenden Verhaltens vergleichen, - "/>
        <s v="aber nicht immer befriedigenden Kompromissen. U Sie bewerten Marktwirtschaft und wirtschaftspolitisches Handeln hinsichtlich der Gewährleistung von Freiheit, Gerechtigkeit und ökologischer Verträglichkeit in Wirtschaft und Gesellschaft. U Sie reflektieren"/>
        <s v="Handy, Kleidung etc. M, M. Urteilskompetenz: Sie bewerten Marktwirtschaft und wirtschaftspolitisches Handeln hinsichtlich der Gewährleistung von Freiheit, Gerechtigkeit und ökologischer Verträglichkeit in Wirtschaft und Gesellschaft U. Sie reflektieren ih"/>
        <s v="anderen Lernfeldern Innerhalb des Faches Sozialkunde... Zu den Fächern Erdkunde u. Geschichte... n Demokratie im Erfahrungsbereich der Jugendlichen n Leben in der Mediengesellschaft n G: Auswirkungen von Ideologien auf die Verhaltensweisen von Einzelnen L"/>
        <s v="bundespolitische Fragen unter den Kriterien der Interessenbezogenheit und der möglichen sozialen und politischen Integrations- bzw. Desintegrationswirkung. Inhaltsfeld Individuum und Gesellschaft Inhaltliche Schwerpunkte Sozialisationsinstanzen Individuel"/>
        <s v="Schüler sowie Lehrkräfte entlasten. Dazu werden neben dem https://ges.engagement-global.de/orientierungsrahmen.html Unterricht in Regelklassen eigene Lerngruppen für Schülerinnen und Schüler mit starken Auffälligkeiten in den Bereichen Sprache oder Lernen"/>
        <s v="- Wege zur Verhinderung von Schulden anhand von Beispielen erläutern. Selbst- und Sozialkompetenz Der Schüler kann - für sich Rückschlüsse im Umgang mit Geld ziehen und Regeln für sein eigenes Verhalten ableiten, - den Einfluss von Werbung auf sein Verbra"/>
        <s v="die zum Untersuchen und Experimentieren erforderlichen Geräte und Materialien sachgerecht verwenden, - sachgerecht bewerten, d. h. die Anwendung naturwissenschaftlicher Erkenntnisse, Verfahren und Methoden in Forschung und Praxis sowie Entscheidungen und "/>
        <s v="über die Multiperspektivität die Fähigkeit zum kriteriengestützten Urteilen. Dies lässt sie zu mündigen, handlungsfähigen Bürgerinnen und Bürgern werden: Sie können begründet eine eigene Meinung vertreten, andere Sichtweisen nachvollziehen, sich konfliktf"/>
        <s v="die Auseinandersetzung mit politischen, wirtschaftlichen und gesellschaftlichen Sachverhalten, Problemen und Interdependenzen ermöglicht. Die zentrale Aufgabe des politisch-ökonomischen Lernens ist es, den Schülerinnen und Schülern Raum für Eigenständigke"/>
        <s v="und Erlaubnisse, öffentlicher und privater Raum, Hausrecht. Konflikte Konfliktlösungen Wie werden Beziehungen zwischen Einzelnen, Gruppen und Völkern tolerant und gerecht gestaltet analysieren an Beispielen Ursachen, Konsequenzen und Strafen für abweichen"/>
        <s v="Konflikte Konfliktlösungen Wie werden Beziehungen zwischen Einzelnen, Gruppen und Völkern tolerant und gerecht gestaltet analysieren an Beispielen Ursachen, Konsequenzen und Strafen für abweichendes Verhalten. vergleichen Konsequenzen und Strafen für abwe"/>
        <s v="naturgeografischen Gegebenheiten und menschlichen Aktivitäten. Das Ziel des geographischen Lernens ist der mündige Bürger, der die Komplexität der Entwicklung auf der Grundlage von fundiertem Sachwissen erkennt und eine Anpassung bisheriger Verhaltensweis"/>
        <s v="Lebens Grundwerte Partizipation Wie entstehen in Gesellschaften Regeln, die das Zusammenleben gestalten und wie wird die Einhaltung derer gewährleistet entwickeln Merkmale zur Überprüfung von Helden, Vorbildern und Idolen. stellen die Verhaltensweisen der"/>
        <s v="die Wirklichkeit und welche Möglichkeiten bieten sich, Andere zu beeinflussen werten Befragungen zum Konsumverhalten aus. - Endlich erwachsen: Wachsende Rechte - wachsende Verantwortung Die Schülerinnen und Schüler erkennen, dass individuelle Verhaltenswe"/>
        <s v="und Kunst der Goldenen er fachübergreifende Kooperation Bildende Kunst Demokratie und Diktatur im Jahrhundert Gesellschaftswissenschaften Vorschläge und Hinweise Berufsorientierende Aspekte im Zusammenhang mit den Projektideen: Regeln der Kommunikation un"/>
        <s v="Partizipation sowohl unterstützen als auch gefährden. Medienkompetenz bedeutet in diesem Zusammenhang, den Wahrheitsgehalt von Informationen kritisch zu hinterfragen und Intentionen zu erkennen. Schülerinnen und Schüler müssen darüber hinaus ihr eigenes V"/>
        <s v="Marsch -, Der große Sprung, Kulturrevolution, Sozialistische Marktwirtschaft beschreiben im Überblick die neuere historische Entwicklung SK, BK, beschreiben das politische System SK, charakterisieren Chinas hybrides Wirtschaftssystem SK, BK, entwickeln an"/>
        <s v="Der Schüler kann - Diskussionsregeln einhalten, - andere Meinungen respektieren, - Ursachen und Folgen gesamtwirtschaftlicher Probleme, u. a. von Arbeitslosigkeit beurteilen, - sich bei der Teilnahme an einer Gerichtsverhandlung normgerecht verhalten. Reg"/>
        <s v="erfordern, sich im Sinne von Perspektivenwechseln in die Situation, Interessen und Denkweisen anderer gesellschaftlicher, wirtschaftlicher und politischer Gruppen zu versetzen und sich in unterschiedlichen sozialen Situationen angemessen und wirkungsvoll "/>
        <s v="auf den Sozialstaat überträgt, indem er es für sozial gerecht hält, für diejenigen Politik zu machen, die Leistungen zum Erhalt der Gesellschaft und damit des Sozialstaates erbringen, sich also sozialinvestiv verhalten, nicht für diejenigen, die ein sozia"/>
        <s v="für sozial gerecht hält, für diejenigen Politik zu machen, die Leistungen zum Erhalt der Gesellschaft und damit des Sozialstaates erbringen, sich also sozialinvestiv verhalten, nicht für diejenigen, die ein sozialkonsumtives Verhalten an den Tag legen Zei"/>
        <s v="- Handlungsorientiertheit, staatlich - nichtstaatlich. Anschließend müssen die Prüflinge der Frage nachgehen, inwieweit die internationalen Organisationen - allen voran die UNO mit ihren Nebenorganisationen - in der Lage sind, das Verhalten der weltweit a"/>
        <s v="mit dem Inhaltsbereich Internationalisierung und Globalisierung und den damit verbundenen Problemstellungen. Die Prüflinge sind mit verschiedenen Erscheinungsformen des Wandels vertraut: Wandel in der sozialen Rolle der Frau, Veränderungen im generativen "/>
        <s v="der Wählerschaft führt zu einem Anstieg von Wechselwählern oder zur Stimmenthaltung. Anforderungsbereiche I und III Prüfungsteil : Prüfungsgespräch Leitfrage: Beurteilen Sie die Konsequenzen des durch den sozialen Wandels bedingten veränderten Verhaltens "/>
        <s v="auf keinen einfachen Nenner mehr zu bringen sind. Außerdem operiert das herrschende Regime mit einem ganz neuen Tugendkatalog, der alle früheren ethischen Codes außer Kraft setzt. Prämiert werden Eigenschaften und Verhaltensweisen, die früher eher als ver"/>
        <s v="E. die digitale Revolution zu einer neuen Klassenstruktur Z. ff und zur Auflösung der Schichtstruktur Z. - führt und die Lebens- und Arbeitsbedingungen vieler Menschen in Bezug auf Einkommensstruktur und Verhaltensweisen negativ beeinflusst. Sodann ist da"/>
        <s v="um deren Auswirkungen für das Zusammenleben in der Gesellschaft zu beurteilen. untersuchen ausgewählte, zu sozialer Ungleichheit führende Faktoren und bewerten z. B. in Form eines Audiobeitrags deren Beeinflussbarkeit durch individuelles Verhalten und sta"/>
        <s v="Wendel Projektideen Besuch einer Gerichtsverhandlung historischer Vergleich: Rassismus früher und heute Schule ohne Rassismus - Schule mit Courage Berufsorientierende Aspekte im Zusammenhang mit den Projektideen: Regeln der Kommunikation und angemessenes "/>
        <s v="Hinsicht können moderne Massenmedien demokratische Partizipation sowohl unterstützen als auch gefährden. Medienkompetenz bedeutet in diesem Zusammenhang, den Wahrheitsgehalt von Informationen zu hinterfragen. Schülerinnen und Schüler müssen darüber hinaus"/>
        <s v="UNTERRICHT / DEMOKRATIETAG / PROJEKTARBEIT Recherche im örtlichen Reisebüro nach Reiseangeboten für nachhaltiges Reisen Planung einer Klassenfahrt Ausstellung zu touristischen Reisezielen in Rheinland-Pfalz Umfrage in der Schule zu Reisezielen und -verhal"/>
        <s v="den kolonialisierten Gebieten. Sie entwickeln Möglichkeiten, mit welchen Mitteln man heute noch sichtbare Folgen der Kolonialzeit abmildern kann, z.B. fairer Handel, Entwicklungszusammenarbeit. Urteilskompetenz: Sie reflektieren das den Eroberungen zugrun"/>
        <s v="aktiv werden. Der Schwerpunkt dazu ist die Schaffung eines historischen Bewusstseins, dem die Erkenntnis zugrunde liegt, dass das Zusammenleben von Menschen und deren Lebenssituationen aktiv und dynamisch veränderbar sind und Verhaltensweisen von der jewe"/>
        <s v="Handlungskompetenz: Sie diskutieren die Wechselwirkungen zwischen Wirtschaft, Ideologie und staatlichem Handeln. Sie entlarven gegenwärtige rechtsextremistische Propaganda und begegnen ihr argumentativ. Urteilskompetenz: Sie gelangen zu einem kritischen U"/>
        <s v="ergeben. identifizieren ein aktuelles Handlungsfeld der Globalisierung und erkennen die Notwendigkeit internationaler Kooperation zur Lösung globaler Probleme. erkennen Möglichkeiten eigener Einflussnahme auf ein aktuelles Handlungsfeld der Globalisierung"/>
        <s v="einem Beispiel rechtliche und soziale Besonderheiten gesellschaftlicher Rollenbilder im zeitlichen Wandel analysieren. werten unterschiedliche Lebensläufe und -entwürfe nach verschiedenen Kriterien aus und erkennen sowie bewerten Faktoren für die Veränder"/>
        <s v="dieser Basis differenziert Stellung zur grundsätzlichen Umsetzung dieses Grundrechts in unserer Gesellschaft. erkennen anhand von Beispielen das Spannungsfeld zwischen Recht und Gerechtigkeit in einer demokratischen Gesellschaft. verstehen tolerante und p"/>
        <s v="Hinblick auf Rollenbild, soziale Einbindung und Lebensläufe, z. B. Schulausbildung, Berufsausbildung, Eheschließung Gleichbehandlungsgebot des Grundgesetzes: rechtliche Konsequenzen und aktuelle politische Handlungsfelder, z. B. im Bereich der Generatione"/>
        <s v="Fachlehrpläne Gymnasium: Politik und Gesellschaft SWG PuG Lernbereich : Die Jugendphase bewusst erleben und gestalten ca. Std. Kompetenzerwartungen Die Schülerinnen und Schüler ... ermitteln Einstellungen, Verhalten und Zukunftserwartungen Jugendlicher mi"/>
        <s v="das Verhältnis Jugendlicher zu den Medien z. B. durch Befragungen in der Klasse und im Freundeskreis oder durch Auswertung einfacher Statistiken und reflektieren ihren Medienkonsum. Inhalte zu den Kompetenzen: Einstellungen, Verhalten und Zukunftserwartun"/>
        <s v="Mindmap, um ihre eigene Sozialisation zu reflektieren und die hohe Bedeutung dieser Akteure wertzuschätzen. ermitteln grundlegende Normen, Strukturen und Sanktionsmöglichkeiten primärer sozialer Gruppen, diskutieren das Gruppenverhalten und reflektieren d"/>
        <s v="Bedeutung dieser Akteure wertzuschätzen. ermitteln grundlegende Normen, Strukturen und Sanktionsmöglichkeiten primärer sozialer Gruppen, diskutieren das Gruppenverhalten und reflektieren das eigene Verhalten in der Gruppe. entwickeln Kriterien für gruppen"/>
        <s v="Wirkung auf den Einzelnen zu begreifen und das Spannungsfeld zwischen Selbst- und Fremdbestimmung in verschiedenen Lebensbereichen wahrzunehmen. versetzen sich z. B. im Rahmen eines Rollenspiels in unterschiedliche Rollen, um fremdes Verhalten zu verstehe"/>
        <s v="Experimenten der Verhaltensforschung Mechanismen sowie Folgen der Vorurteilsbildung und schärfen so ihre Wahrnehmungsfähigkeit gegenüber Favorisierungs- oder Diskriminierungstendenzen in Gruppen. wenden geeignete Wege zum Abbau von Vorurteilen an, um ihr "/>
        <s v="gesundheitsbezogenen Basiswissens ihren Blick für eine gesunde Lebensweise zu schärfen und Gefährdungen für die Gesundheit auszumachen. entwerfen z. B. in Kontakt zu außerschulischen Beratungseinrichtungen, Krankenkassen, landwirtschaftlichen Verbänden Kr"/>
        <s v="physischer, psychischer und sozialer Gesundheit, um auf Grundlage eines gesundheitsbezogenen Basiswissens Gefährdungen für die Gesundheit auszumachen. entwerfen z. B. in Kontakt zu außerschulischen Beratungseinrichtungen, Krankenkassen, landwirtschaftlich"/>
        <s v="Verhaltensmuster gewaltfreier Konfliktregelung abrufen zu können. begreifen auf der Basis ihrer Erfahrungen innerhalb verschiedener Sozialisationsinstanzen Fairness, Teamfähigkeit und Toleranz als Grundlage unseres Zusammenlebens. diskutieren und überprüf"/>
        <s v="Klassenstufe - wirtschaftliches Handeln im Spannungsfeld von Ökonomie und Ökologie vergleichen und beschreiben, - Leistungen der Menschen in verschiedenen Regionen der Erde mit unterschiedlichen kulturellen Prägungen wertschätzen und sich tolerant verhalt"/>
        <s v="beschreiben, - Leistungen der Menschen in verschiedenen Regionen der Erde mit unterschiedlichen kulturellen Prägungen wertschätzen und sich tolerant verhalten. Religionslehre Der Schüler kann am Ende der Klassenstufe - Respekt gegenüber Verhaltensweisen A"/>
        <s v="von Marktmacht unter dem Gesichtspunkt von Konzentration. Der niveaugerechte Anspruch des Kurses besteht in der theoriegestützten Marktanalyse und der Untersuchung, inwieweit es dem Staat möglich ist, durch Eingriffe in das Verhalten der Marktteilnehmer d"/>
        <s v="ökonomischen Sachverhalten ökonomisches Fragen und Denken zu praktizieren, diese zu analysieren und zum Gegenstand kritischer Reflexion zu machen. Die Schülerinnen und Schüler ... sind sich der Tatsache bewusst, dass ökonomisches Verhalten der wirtschaftl"/>
        <s v="der Preisbildung in der sozialen Marktwirtschaft Der Schwerpunkt dieses Halbjahres liegt in der Thematisierung der marktrelevanten Preisbildungsprozesse auf der Grundlage einer marktwirtschaftlichen Ordnung. Thema dieses Halbjahres ist die Analyse des Ver"/>
        <s v="politischen Meinungsbildung und Entscheidungsfindung unter Wahrung demokratischer Grundprinzipien mit der notwendigen Konflikt- und Kompromissbereitschaft selbstständig beteiligen, eigene Positionen zu politischen und wirtschaftlichen Lösungsmöglichkeiten"/>
        <s v="Identität und lernen Möglichkeiten zur reflektierten und verantwortlichen Teilhabe am gesellschaftlichen Leben und in der Demokratie kennen. Sie gewinnen räumliche und historische Orientierung und entwickeln die Bereitschaft für ein verantwortungsvolles V"/>
        <s v="Straßennamen bestimmen mithilfe von Informationsquellen z. B. Karten, Diagramme die Nutzung und Gestaltung eines Raums beschreiben Wechselwirkungen zwischen Mensch und Naturraum erfassen Die Schülerinnen und Schüler können C ihr eigenes Verhalten im Natur"/>
        <s v="und Interkulturelle Bildung finden hier Berücksichtigung. Themen Inhalte Unterrichtsanregungen Wasser und Eis gestalten - Küstenformen, z. B. geprägt von Eis, Gezeiten, Meeren und Ozeanen - Küstenschutz und Naturschutzgebiete Maßnahmen und Verhalten - Flü"/>
        <s v="handlungsbedingenden Anreize und Restriktionen in den jeweiligen sozialen Situationen zurückführen. Die ökonomische Perspektive fokussiert die Handlungsbedingungen einer sozialen Situation und unterstellt zu Analysezwecken, dass sich die Individuen ration"/>
        <s v="vollziehen sich stets im Kontext staatlicher Rahmenbedingungen. Die Koordination und Steuerung ökonomischer Aktivitäten bedarf eines Institutionen- und Regelsystems in Form einer Wirtschaftsordnung. Die Ausgestaltung dieser Ordnung hat Auswirkungen auf da"/>
        <s v="Prinzip vom Nahen zum Fernen: Ausgehend von der Politik im Nahbereich wird zunehmend zum politischen Prozess und zu Systemen auf nationaler und supranationaler Ebene übergegangen; von der Situation und dem Verhalten des jugendlichen Konsumenten ausgehend "/>
        <s v="verstandene Handlungskompetenz ist Ziel eines kompetenzorientierten Unterrichts im Fach Politik-Wirtschaft. Die Schülerinnen und Schüler sind wahrnehmbar handlungskompetent, wenn sie begründet eine eigene Meinung vertreten, andere Meinungen nachvollziehen"/>
        <s v="und ökonomische Zusammenhänge, divergierende Interessenslagen und Lösungsmöglichkeiten insbesondere vor dem Hintergrund der Einflussmöglichkeiten von Akteuren heraus. Über das ökonomische Fachkonzept Anreize/Restriktionen konkretisieren sie Auswirkungen k"/>
        <s v="ökonomischer Grundeinsichten zu orientieren, sich ein reflektiertes Urteil über ökonomische Sachverhalte, Zusammenhänge, Probleme und deren Lösungen zu bilden, sich selbstbestimmt und verantwortlich in ökonomisch geprägten Lebenssituation zu entscheiden u"/>
        <s v="/ Kompetenzschwerpunkt: Den privaten Haushalt unter wirtschaftlichen Aspekten analysieren und mitgestalten Verstehen einen privaten Haushalt unter wirtschaftlichen Aspekten analysieren Grundeinsichten am Beispiel von wirtschaftlichen Entscheidungen Jugend"/>
        <s v="enthalten können, mit digitalen Medien und Werkzeugen darstellen Grundlegende Wissensbestände Unternehmen und Betriebe Grundfunktionen, Produktionsfaktoren, Rechtsformen exemplarisch Einzelunternehmen, GmbH oder AG betriebliche Messgrößen: Gewinn, Verlust"/>
        <s v="die Ergebnisse der Analyse einfließen. Hierzu eignen sich rezipientenorientierte Darstellungen Informationen, in denen auf das Gelernte zurückgegriffen wird. Grundsätzlich ist dabei zu differenzieren zwischen Lösungsansätzen, die sich unmittelbar auf hies"/>
        <s v="Nahrungsmitteln spekuliert wird M. Analysekompetenz: Die Lernenden können ... - politische und wirtschaftliche Sachverhalte im Hinblick auf die Leitfrage unterscheiden, einordnen und problematisieren, - in politischen Aussagen Beschreibungen von Sach verh"/>
        <s v="Dies erzeugt ein Gefühl der Lohngerechtigkeit. Da die Arbeitnehmer ein hohes persönliches Risiko tragen, dass ihr Lohn niedriger als erhofft ausfällt, werden sie sich in vielen Fällen aber auch egoistischer verhalten als in einem Zeitlohnmodell. Alle arbe"/>
        <s v="Aufgabe des Fachs, Schülerinnen und Schüler dabei zu unterstützen, die aktuellen politischen, gesellschaftlichen und wirtschaftlichen Geschehnisse zu verstehen, einzuordnen, sich ein Urteil zu ihnen zu bilden und sich dementsprechend zu verhalten. Aktuell"/>
        <s v="H: Positionen und Begründungen Andersdenkender aufgreifen und sachlich argumentativ kommentieren. H: sich in die Situation, Interessen und Denkweisen anderer Menschen versetzen, diese Interessen und Denkweisen simulativ vertreten und das eigene Verhalten "/>
        <s v="des Unterrichts im Lernbereich, Schülerinnen und Schüler dabei zu unterstützen, aktuelle politische, gesellschaftliche und wirtschaftliche Geschehnisse zu verstehen, einzuordnen, sich ein Urteil zu ihnen zu bilden und sich dementsprechend zu verhalten. Zu"/>
        <s v="und Begründungen von Andersdenkenden aufgreifen und kommentieren. H: sich im Sinne eines Perspektivwechsels in die Situation, Interessen und Denkweisen anderer Menschen versetzen, diese Interessen und Denkweisen simulativ vertreten, das eigene Verhalten i"/>
        <s v="verständlich entwickeln und die Gegenseite damit konfrontieren. H: sich im Sinne eines Perspektivwechsels in die Situation, Interessen und Denkweisen anderer Menschen versetzen, diese Interessen und Denkweisen simulativ vertreten, das eigene Verhalten in "/>
        <s v="Hilfestellung entwickeln und die Gegenseite damit konfrontieren. H: sich im Sinne eines Perspektivwechsels in die Situation, Interessen und Denkweisen anderer Menschen versetzen, diese Interessen und Denkweisen simulativ vertreten sowie das Verhalten in d"/>
        <s v="entwickeln und die Gegenseite damit konfrontieren. H: sich im Sinne eines Perspektivwechsels in die Situation, Interessen und Denkweisen anderer Menschen versetzen, diese Interessen und Denkweisen simulativ überzeugend vertreten, das eigene Verhalten in d"/>
        <s v="Wahl Juniorwahl Erstellen einer Zeitschrift zum Thema Populismus Soziologie ca. / Unterrichtsstunden Verbindliche Inhalte Hinweise und Anregungen Sozialisation und soziales Handeln Sozialisationsinstanzen im Wandel Normen und Werte, konformes und nichtkon"/>
        <s v="mitzuwirken. Handlungskompetenz setzt Entscheidungsfähigkeit voraus und schließt die Bereitschaft zur Reflexion, zum Kompromiss und zur Toleranz ein. Die Schülerinnen und Schüler ... ESA MSA Übergang in die Oberstufe praktizieren demokratisches Verhalten "/>
        <s v="und an der Lösung von Problemen mitzuwirken. Handlungskompetenz setzt Entscheidungsfähigkeit voraus und schließt die Bereitschaft zur Reflexion, zum Kompromiss und zur Toleranz ein. Die Schülerinnen und Schüler ... praktizieren demokratisches Verhalten im"/>
        <s v="Kompetenzerwartungen Die Schülerinnen und Schüler ... beurteilen ihre eigenen Entscheidungen kritisch mit Blick auf die Rationalität. Dabei erkennen sie, dass Menschen oft nur beschränkt rational entscheiden und sich in ihrem Verhalten systematisch beeinf"/>
        <s v="beschränkt rational entscheiden und sich in ihrem Verhalten systematisch beeinflussen lassen. analysieren unternehmerische und politische Maßnahmen aus verhaltensökonomischer Perspektive. Dabei diskutieren sie, inwieweit es ethisch vertretbar ist, durch v"/>
        <s v="ihrem Verhalten systematisch beeinflussen lassen. analysieren unternehmerische und politische Maßnahmen aus verhaltensökonomischer Perspektive. Dabei diskutieren sie, inwieweit es ethisch vertretbar ist, durch verhaltensökonomische Maßnahmen Verhaltenswei"/>
        <s v="aus den Perspektiven Konsument, Arbeitnehmer, Unternehmer oder Staatsbürger Aufgaben kriterienorientiert analysieren, beurteilen und lösen können. Das im Fach Wirtschaft und Recht erworbene Strukturwissen ermöglicht es den Schülerinnen und Schülern, ökono"/>
        <s v="und beurteilen kritisch die Chancen der Globalisierung. Sie nehmen begründet Stellung zu aktuellen Fragen der Weltwirtschaft. erläutern die Einflussfaktoren auf Angebot und Nachfrage. Aufbauend darauf schließen sie auf das typische Verhalten der Marktteil"/>
        <s v="Mittel und unbegrenzte Bedürfnisse in Einklang zu bringen. Dieses Prinzip übertragen sie auf ihr eigenes Konsumverhalten. erläutern die Einflussfaktoren auf Angebot und Nachfrage. Aufbauend darauf schließen sie auf das typische Verhalten der Marktteilnehm"/>
        <s v="den Verlust des Eigentums an einer Sache. Vertragsrecht Schuldrecht ca. Std. charakterisieren sowohl die Bedeutung der Sozialpflichtigkeit des Eigentums als auch die besondere Schutzbedürftigkeit des geistigen Eigentums und leiten daraus Verhaltensweisen "/>
        <s v="handlungsbedingende Anreize und Restriktionen in den jeweiligen sozialen Situationen begründen. Die ökonomische Perspektive fokussiert die Handlungsbedingungen einer sozialen Situation und unterstellt zu Analysezwecken, dass sich die Individuen rational u"/>
        <s v="vertreten. H: Positionen und Begründungen Andersdenkender aufgreifen und in Grundzügen sachlich-argumentativ kommentieren. H: sich in die Situation, die Interessen und die Denkweisen anderer Menschen versetzen und altersgerecht zunehmend das eigene Verhal"/>
        <s v="Begründungen Andersdenkender aufgreifen und in Grundzügen sachlich argumentativ kommentieren. H: sich in die Situation, Interessen und Denkweisen anderer Menschen versetzen, diese Interessen und Denkweisen simulativ vertreten und altersgerecht das eigene "/>
        <s v="vertreten. H: Positionen und Begründungen Andersdenkender aufgreifen und sachlich-argumentativ kommentieren. H: sich in die Situation, Interessen und Denkweisen anderer Menschen versetzen, diese Interessen und Denkweisen simulativ vertreten und das eigene"/>
      </sharedItems>
    </cacheField>
    <cacheField name="state" numFmtId="0">
      <sharedItems containsBlank="1">
        <s v="NRW"/>
        <s v="Bayern"/>
        <s v="Niedersachsen"/>
        <s v="Saarland"/>
        <m/>
        <s v="Hessen"/>
        <s v="Sachsen"/>
        <s v="BaWü"/>
        <s v="MeckPomm"/>
        <s v="Hamburg"/>
        <s v="Bremen"/>
        <s v="Sachsen-Anhalt"/>
        <s v="Rheinland-Pfalz"/>
        <s v="Thüringen"/>
        <s v="Berlin"/>
        <s v="Schleswig-Holstein"/>
      </sharedItems>
    </cacheField>
    <cacheField name="school type" numFmtId="0">
      <sharedItems containsBlank="1">
        <m/>
        <s v="Gym"/>
        <s v="Oberschule.pdf"/>
        <s v="GemS"/>
        <s v="Stadtteilschule"/>
        <s v="Oberschule"/>
        <s v="Gesamtschule"/>
        <s v="Realschule"/>
        <s v="Hauptschule"/>
        <s v="Realschule.pdf"/>
        <s v="Regelschule"/>
        <s v="Hauptschule.pdf"/>
        <s v="Gemeinschaftsschule"/>
        <s v="Regionale Schule"/>
        <s v="Sekundarschule"/>
      </sharedItems>
    </cacheField>
    <cacheField name="grade">
      <sharedItems containsDate="1" containsBlank="1" containsMixedTypes="1">
        <s v="Sek1"/>
        <n v="6.0"/>
        <m/>
        <s v="5,6"/>
        <s v="Sek2"/>
        <d v="2026-05-06T00:00:00Z"/>
        <d v="2026-05-11T00:00:00Z"/>
        <n v="10.0"/>
        <n v="11.0"/>
        <n v="13.0"/>
        <n v="12.0"/>
        <s v="7,8"/>
        <d v="2026-07-10T00:00:00Z"/>
        <d v="2026-05-09T00:00:00Z"/>
        <s v="Studienstufe"/>
        <n v="9.0"/>
        <n v="8.0"/>
        <s v="Sek 1"/>
        <d v="2026-05-10T00:00:00Z"/>
        <s v="Sek 2"/>
        <s v="9,10"/>
        <s v="12,13"/>
        <s v="Sekundarstufe"/>
      </sharedItems>
    </cacheField>
    <cacheField name="year" numFmtId="0">
      <sharedItems containsString="0" containsBlank="1" containsNumber="1" containsInteger="1">
        <n v="2024.0"/>
        <m/>
        <n v="2018.0"/>
        <n v="2006.0"/>
        <n v="2019.0"/>
        <n v="2016.0"/>
        <n v="2017.0"/>
        <n v="2022.0"/>
        <n v="2021.0"/>
        <n v="2023.0"/>
        <n v="2012.0"/>
        <n v="2002.0"/>
        <n v="2011.0"/>
        <n v="1983.0"/>
        <n v="2015.0"/>
        <n v="2020.0"/>
        <n v="2005.0"/>
        <n v="2014.0"/>
        <n v="2010.0"/>
        <n v="2009.0"/>
        <n v="1998.0"/>
        <n v="2013.0"/>
        <n v="2008.0"/>
      </sharedItems>
    </cacheField>
    <cacheField name="subject" numFmtId="0">
      <sharedItems>
        <s v="Ethik, Philo"/>
        <s v="Geschichte"/>
        <s v="Bio"/>
        <s v="Psychologie"/>
        <s v="Sozialkunde"/>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983" sheet="Bert topics_s1_Verhalten"/>
  </cacheSource>
  <cacheFields>
    <cacheField name="document_id" numFmtId="0">
      <sharedItems containsSemiMixedTypes="0" containsString="0" containsNumber="1" containsInteger="1">
        <n v="676.0"/>
        <n v="671.0"/>
        <n v="392.0"/>
        <n v="672.0"/>
        <n v="272.0"/>
        <n v="659.0"/>
        <n v="271.0"/>
        <n v="855.0"/>
        <n v="355.0"/>
        <n v="642.0"/>
        <n v="514.0"/>
        <n v="365.0"/>
        <n v="652.0"/>
        <n v="501.0"/>
        <n v="651.0"/>
        <n v="88.0"/>
        <n v="640.0"/>
        <n v="353.0"/>
        <n v="847.0"/>
        <n v="502.0"/>
        <n v="322.0"/>
        <n v="5.0"/>
        <n v="475.0"/>
        <n v="494.0"/>
        <n v="164.0"/>
        <n v="848.0"/>
        <n v="359.0"/>
        <n v="337.0"/>
        <n v="644.0"/>
        <n v="361.0"/>
        <n v="648.0"/>
        <n v="623.0"/>
        <n v="921.0"/>
        <n v="6.0"/>
        <n v="127.0"/>
        <n v="62.0"/>
        <n v="1107.0"/>
        <n v="221.0"/>
        <n v="352.0"/>
        <n v="466.0"/>
        <n v="639.0"/>
        <n v="646.0"/>
        <n v="451.0"/>
        <n v="690.0"/>
        <n v="389.0"/>
        <n v="445.0"/>
        <n v="688.0"/>
        <n v="338.0"/>
        <n v="323.0"/>
        <n v="87.0"/>
        <n v="481.0"/>
        <n v="476.0"/>
        <n v="477.0"/>
        <n v="650.0"/>
        <n v="943.0"/>
        <n v="1098.0"/>
        <n v="512.0"/>
        <n v="447.0"/>
        <n v="523.0"/>
        <n v="89.0"/>
        <n v="44.0"/>
        <n v="465.0"/>
        <n v="944.0"/>
        <n v="662.0"/>
        <n v="473.0"/>
        <n v="387.0"/>
        <n v="691.0"/>
        <n v="343.0"/>
        <n v="649.0"/>
        <n v="622.0"/>
        <n v="539.0"/>
        <n v="531.0"/>
        <n v="351.0"/>
        <n v="296.0"/>
        <n v="653.0"/>
        <n v="449.0"/>
        <n v="460.0"/>
        <n v="495.0"/>
        <n v="513.0"/>
        <n v="527.0"/>
        <n v="511.0"/>
        <n v="606.0"/>
        <n v="1128.0"/>
        <n v="295.0"/>
        <n v="856.0"/>
        <n v="320.0"/>
        <n v="169.0"/>
        <n v="183.0"/>
        <n v="598.0"/>
        <n v="453.0"/>
        <n v="587.0"/>
        <n v="455.0"/>
        <n v="590.0"/>
        <n v="500.0"/>
        <n v="2.0"/>
        <n v="308.0"/>
        <n v="621.0"/>
        <n v="368.0"/>
        <n v="655.0"/>
        <n v="422.0"/>
        <n v="472.0"/>
        <n v="358.0"/>
        <n v="1154.0"/>
        <n v="974.0"/>
        <n v="561.0"/>
        <n v="1104.0"/>
        <n v="1103.0"/>
        <n v="292.0"/>
        <n v="454.0"/>
        <n v="588.0"/>
        <n v="589.0"/>
        <n v="209.0"/>
        <n v="253.0"/>
        <n v="900.0"/>
        <n v="551.0"/>
        <n v="366.0"/>
        <n v="248.0"/>
        <n v="307.0"/>
        <n v="645.0"/>
        <n v="78.0"/>
        <n v="384.0"/>
        <n v="1153.0"/>
        <n v="415.0"/>
        <n v="540.0"/>
        <n v="264.0"/>
        <n v="518.0"/>
        <n v="665.0"/>
        <n v="52.0"/>
        <n v="474.0"/>
        <n v="334.0"/>
        <n v="440.0"/>
        <n v="581.0"/>
        <n v="541.0"/>
        <n v="530.0"/>
        <n v="257.0"/>
        <n v="249.0"/>
        <n v="503.0"/>
        <n v="542.0"/>
        <n v="424.0"/>
        <n v="1101.0"/>
        <n v="763.0"/>
        <n v="616.0"/>
        <n v="321.0"/>
        <n v="506.0"/>
        <n v="631.0"/>
        <n v="327.0"/>
        <n v="336.0"/>
        <n v="100.0"/>
        <n v="565.0"/>
        <n v="595.0"/>
        <n v="504.0"/>
        <n v="528.0"/>
        <n v="54.0"/>
        <n v="1152.0"/>
        <n v="112.0"/>
        <n v="319.0"/>
        <n v="33.0"/>
        <n v="1150.0"/>
        <n v="433.0"/>
        <n v="458.0"/>
        <n v="79.0"/>
        <n v="341.0"/>
        <n v="555.0"/>
        <n v="461.0"/>
        <n v="456.0"/>
        <n v="372.0"/>
        <n v="309.0"/>
        <n v="275.0"/>
        <n v="104.0"/>
        <n v="328.0"/>
        <n v="182.0"/>
        <n v="85.0"/>
        <n v="256.0"/>
        <n v="192.0"/>
        <n v="122.0"/>
        <n v="577.0"/>
        <n v="344.0"/>
        <n v="608.0"/>
        <n v="457.0"/>
        <n v="529.0"/>
        <n v="436.0"/>
        <n v="29.0"/>
        <n v="386.0"/>
        <n v="444.0"/>
        <n v="1044.0"/>
        <n v="625.0"/>
        <n v="254.0"/>
        <n v="243.0"/>
        <n v="492.0"/>
        <n v="438.0"/>
        <n v="40.0"/>
        <n v="395.0"/>
        <n v="45.0"/>
        <n v="580.0"/>
        <n v="1139.0"/>
        <n v="416.0"/>
        <n v="425.0"/>
        <n v="1075.0"/>
        <n v="549.0"/>
        <n v="290.0"/>
        <n v="1140.0"/>
        <n v="391.0"/>
        <n v="348.0"/>
        <n v="1018.0"/>
        <n v="596.0"/>
        <n v="291.0"/>
        <n v="315.0"/>
        <n v="410.0"/>
        <n v="526.0"/>
        <n v="409.0"/>
        <n v="86.0"/>
        <n v="53.0"/>
        <n v="215.0"/>
        <n v="3.0"/>
        <n v="1132.0"/>
        <n v="184.0"/>
        <n v="927.0"/>
        <n v="136.0"/>
        <n v="317.0"/>
        <n v="262.0"/>
        <n v="411.0"/>
        <n v="109.0"/>
        <n v="339.0"/>
        <n v="686.0"/>
        <n v="263.0"/>
        <n v="619.0"/>
        <n v="230.0"/>
        <n v="779.0"/>
        <n v="597.0"/>
        <n v="406.0"/>
        <n v="105.0"/>
        <n v="1141.0"/>
        <n v="32.0"/>
        <n v="41.0"/>
        <n v="99.0"/>
        <n v="270.0"/>
        <n v="1088.0"/>
        <n v="489.0"/>
        <n v="255.0"/>
        <n v="487.0"/>
        <n v="484.0"/>
        <n v="762.0"/>
        <n v="200.0"/>
        <n v="459.0"/>
        <n v="932.0"/>
        <n v="124.0"/>
        <n v="126.0"/>
        <n v="25.0"/>
        <n v="626.0"/>
        <n v="393.0"/>
        <n v="302.0"/>
        <n v="247.0"/>
        <n v="37.0"/>
        <n v="764.0"/>
        <n v="766.0"/>
        <n v="450.0"/>
        <n v="18.0"/>
        <n v="114.0"/>
        <n v="509.0"/>
        <n v="508.0"/>
        <n v="96.0"/>
        <n v="12.0"/>
        <n v="57.0"/>
        <n v="135.0"/>
        <n v="50.0"/>
        <n v="93.0"/>
        <n v="335.0"/>
        <n v="557.0"/>
        <n v="682.0"/>
        <n v="752.0"/>
        <n v="261.0"/>
        <n v="350.0"/>
        <n v="637.0"/>
        <n v="28.0"/>
        <n v="783.0"/>
        <n v="13.0"/>
        <n v="931.0"/>
        <n v="572.0"/>
        <n v="510.0"/>
        <n v="1100.0"/>
        <n v="19.0"/>
        <n v="585.0"/>
        <n v="30.0"/>
        <n v="11.0"/>
        <n v="27.0"/>
        <n v="38.0"/>
        <n v="140.0"/>
        <n v="318.0"/>
        <n v="747.0"/>
        <n v="442.0"/>
        <n v="237.0"/>
        <n v="973.0"/>
        <n v="1113.0"/>
        <n v="753.0"/>
        <n v="181.0"/>
        <n v="443.0"/>
        <n v="785.0"/>
        <n v="246.0"/>
        <n v="26.0"/>
        <n v="31.0"/>
        <n v="592.0"/>
        <n v="1001.0"/>
        <n v="985.0"/>
        <n v="125.0"/>
        <n v="573.0"/>
        <n v="67.0"/>
        <n v="35.0"/>
        <n v="628.0"/>
        <n v="1112.0"/>
        <n v="110.0"/>
        <n v="236.0"/>
        <n v="574.0"/>
        <n v="578.0"/>
        <n v="42.0"/>
        <n v="769.0"/>
        <n v="846.0"/>
        <n v="758.0"/>
        <n v="240.0"/>
        <n v="441.0"/>
        <n v="332.0"/>
        <n v="576.0"/>
        <n v="196.0"/>
        <n v="746.0"/>
        <n v="483.0"/>
        <n v="881.0"/>
        <n v="15.0"/>
        <n v="882.0"/>
        <n v="14.0"/>
        <n v="197.0"/>
        <n v="446.0"/>
        <n v="728.0"/>
        <n v="647.0"/>
        <n v="113.0"/>
        <n v="8.0"/>
        <n v="414.0"/>
        <n v="23.0"/>
        <n v="668.0"/>
        <n v="123.0"/>
        <n v="895.0"/>
        <n v="316.0"/>
        <n v="284.0"/>
        <n v="16.0"/>
        <n v="304.0"/>
        <n v="791.0"/>
        <n v="656.0"/>
        <n v="780.0"/>
        <n v="792.0"/>
        <n v="872.0"/>
        <n v="869.0"/>
        <n v="1014.0"/>
        <n v="968.0"/>
        <n v="962.0"/>
        <n v="757.0"/>
        <n v="564.0"/>
        <n v="303.0"/>
        <n v="825.0"/>
        <n v="538.0"/>
        <n v="677.0"/>
        <n v="269.0"/>
        <n v="283.0"/>
        <n v="22.0"/>
        <n v="706.0"/>
        <n v="1090.0"/>
        <n v="632.0"/>
        <n v="842.0"/>
        <n v="721.0"/>
        <n v="920.0"/>
        <n v="289.0"/>
        <n v="385.0"/>
        <n v="1008.0"/>
        <n v="305.0"/>
        <n v="788.0"/>
        <n v="559.0"/>
        <n v="147.0"/>
        <n v="809.0"/>
        <n v="324.0"/>
        <n v="299.0"/>
        <n v="967.0"/>
        <n v="1013.0"/>
        <n v="189.0"/>
        <n v="670.0"/>
        <n v="1146.0"/>
        <n v="239.0"/>
        <n v="634.0"/>
        <n v="911.0"/>
        <n v="722.0"/>
        <n v="310.0"/>
        <n v="69.0"/>
        <n v="1034.0"/>
        <n v="1032.0"/>
        <n v="880.0"/>
        <n v="287.0"/>
        <n v="325.0"/>
        <n v="567.0"/>
        <n v="845.0"/>
        <n v="871.0"/>
        <n v="738.0"/>
        <n v="81.0"/>
        <n v="894.0"/>
        <n v="333.0"/>
        <n v="187.0"/>
        <n v="326.0"/>
        <n v="496.0"/>
        <n v="282.0"/>
        <n v="468.0"/>
        <n v="892.0"/>
        <n v="630.0"/>
        <n v="345.0"/>
        <n v="624.0"/>
        <n v="727.0"/>
        <n v="705.0"/>
        <n v="285.0"/>
        <n v="857.0"/>
        <n v="426.0"/>
        <n v="380.0"/>
        <n v="934.0"/>
        <n v="84.0"/>
        <n v="369.0"/>
        <n v="188.0"/>
        <n v="1089.0"/>
        <n v="919.0"/>
        <n v="1043.0"/>
        <n v="907.0"/>
        <n v="620.0"/>
        <n v="627.0"/>
        <n v="421.0"/>
        <n v="546.0"/>
        <n v="235.0"/>
        <n v="940.0"/>
        <n v="558.0"/>
        <n v="976.0"/>
        <n v="568.0"/>
        <n v="1003.0"/>
        <n v="388.0"/>
        <n v="354.0"/>
        <n v="1025.0"/>
        <n v="347.0"/>
        <n v="893.0"/>
        <n v="1077.0"/>
        <n v="277.0"/>
        <n v="286.0"/>
        <n v="556.0"/>
        <n v="612.0"/>
        <n v="64.0"/>
        <n v="448.0"/>
        <n v="401.0"/>
        <n v="1041.0"/>
        <n v="740.0"/>
        <n v="298.0"/>
        <n v="787.0"/>
        <n v="245.0"/>
        <n v="808.0"/>
        <n v="731.0"/>
        <n v="1006.0"/>
        <n v="1005.0"/>
        <n v="134.0"/>
        <n v="949.0"/>
        <n v="4.0"/>
        <n v="265.0"/>
        <n v="238.0"/>
        <n v="165.0"/>
        <n v="560.0"/>
        <n v="507.0"/>
        <n v="755.0"/>
        <n v="185.0"/>
        <n v="17.0"/>
        <n v="178.0"/>
        <n v="331.0"/>
        <n v="1135.0"/>
        <n v="1094.0"/>
        <n v="462.0"/>
        <n v="819.0"/>
        <n v="1.0"/>
        <n v="765.0"/>
        <n v="633.0"/>
        <n v="176.0"/>
        <n v="664.0"/>
        <n v="234.0"/>
        <n v="340.0"/>
        <n v="300.0"/>
        <n v="1066.0"/>
        <n v="128.0"/>
        <n v="708.0"/>
        <n v="432.0"/>
        <n v="760.0"/>
        <n v="922.0"/>
        <n v="913.0"/>
        <n v="605.0"/>
        <n v="700.0"/>
        <n v="867.0"/>
        <n v="404.0"/>
        <n v="695.0"/>
        <n v="119.0"/>
        <n v="1020.0"/>
        <n v="43.0"/>
        <n v="924.0"/>
        <n v="144.0"/>
        <n v="607.0"/>
        <n v="883.0"/>
        <n v="629.0"/>
        <n v="1084.0"/>
        <n v="149.0"/>
        <n v="594.0"/>
        <n v="1053.0"/>
        <n v="1061.0"/>
        <n v="66.0"/>
        <n v="1118.0"/>
        <n v="167.0"/>
        <n v="65.0"/>
        <n v="784.0"/>
        <n v="1033.0"/>
        <n v="1031.0"/>
        <n v="824.0"/>
        <n v="593.0"/>
        <n v="923.0"/>
        <n v="566.0"/>
        <n v="906.0"/>
        <n v="759.0"/>
        <n v="661.0"/>
        <n v="998.0"/>
        <n v="1023.0"/>
        <n v="685.0"/>
        <n v="314.0"/>
        <n v="707.0"/>
        <n v="583.0"/>
        <n v="582.0"/>
        <n v="383.0"/>
        <n v="278.0"/>
        <n v="1134.0"/>
        <n v="515.0"/>
        <n v="258.0"/>
        <n v="516.0"/>
        <n v="102.0"/>
        <n v="402.0"/>
        <n v="1143.0"/>
        <n v="916.0"/>
        <n v="914.0"/>
        <n v="1111.0"/>
        <n v="635.0"/>
        <n v="396.0"/>
        <n v="83.0"/>
        <n v="724.0"/>
        <n v="806.0"/>
        <n v="1030.0"/>
        <n v="1117.0"/>
        <n v="1070.0"/>
        <n v="521.0"/>
        <n v="267.0"/>
        <n v="117.0"/>
        <n v="569.0"/>
        <n v="863.0"/>
        <n v="1133.0"/>
        <n v="873.0"/>
        <n v="896.0"/>
        <n v="771.0"/>
        <n v="870.0"/>
        <n v="701.0"/>
        <n v="1007.0"/>
        <n v="681.0"/>
        <n v="1021.0"/>
        <n v="660.0"/>
        <n v="1076.0"/>
        <n v="748.0"/>
        <n v="658.0"/>
        <n v="712.0"/>
        <n v="1000.0"/>
        <n v="82.0"/>
        <n v="158.0"/>
        <n v="750.0"/>
        <n v="250.0"/>
        <n v="993.0"/>
        <n v="678.0"/>
        <n v="522.0"/>
        <n v="689.0"/>
        <n v="342.0"/>
        <n v="994.0"/>
        <n v="716.0"/>
        <n v="413.0"/>
        <n v="228.0"/>
        <n v="996.0"/>
        <n v="733.0"/>
        <n v="917.0"/>
        <n v="1037.0"/>
        <n v="330.0"/>
        <n v="129.0"/>
        <n v="394.0"/>
        <n v="1114.0"/>
        <n v="799.0"/>
        <n v="47.0"/>
        <n v="926.0"/>
        <n v="71.0"/>
        <n v="241.0"/>
        <n v="1050.0"/>
        <n v="657.0"/>
        <n v="373.0"/>
        <n v="103.0"/>
        <n v="420.0"/>
        <n v="431.0"/>
        <n v="828.0"/>
        <n v="95.0"/>
        <n v="554.0"/>
        <n v="1074.0"/>
        <n v="908.0"/>
        <n v="562.0"/>
        <n v="1055.0"/>
        <n v="56.0"/>
        <n v="925.0"/>
        <n v="375.0"/>
        <n v="684.0"/>
        <n v="490.0"/>
        <n v="790.0"/>
        <n v="1010.0"/>
        <n v="854.0"/>
        <n v="1011.0"/>
        <n v="756.0"/>
        <n v="995.0"/>
        <n v="382.0"/>
        <n v="965.0"/>
        <n v="591.0"/>
        <n v="186.0"/>
        <n v="1072.0"/>
        <n v="599.0"/>
        <n v="313.0"/>
        <n v="407.0"/>
        <n v="964.0"/>
        <n v="288.0"/>
        <n v="242.0"/>
        <n v="887.0"/>
        <n v="600.0"/>
        <n v="805.0"/>
        <n v="525.0"/>
        <n v="46.0"/>
        <n v="754.0"/>
        <n v="1040.0"/>
        <n v="377.0"/>
        <n v="1046.0"/>
        <n v="979.0"/>
        <n v="1028.0"/>
        <n v="94.0"/>
        <n v="1026.0"/>
        <n v="168.0"/>
        <n v="663.0"/>
        <n v="68.0"/>
        <n v="796.0"/>
        <n v="826.0"/>
        <n v="400.0"/>
        <n v="1073.0"/>
        <n v="1048.0"/>
        <n v="713.0"/>
        <n v="1035.0"/>
        <n v="961.0"/>
        <n v="1069.0"/>
        <n v="1049.0"/>
        <n v="673.0"/>
        <n v="548.0"/>
        <n v="610.0"/>
        <n v="115.0"/>
        <n v="711.0"/>
        <n v="107.0"/>
        <n v="553.0"/>
        <n v="614.0"/>
        <n v="725.0"/>
        <n v="912.0"/>
        <n v="137.0"/>
        <n v="1056.0"/>
        <n v="930.0"/>
        <n v="615.0"/>
        <n v="1052.0"/>
        <n v="412.0"/>
        <n v="680.0"/>
        <n v="1042.0"/>
        <n v="312.0"/>
        <n v="520.0"/>
        <n v="781.0"/>
        <n v="1092.0"/>
        <n v="990.0"/>
        <n v="986.0"/>
        <n v="1029.0"/>
        <n v="497.0"/>
        <n v="1038.0"/>
        <n v="853.0"/>
        <n v="802.0"/>
        <n v="726.0"/>
        <n v="1064.0"/>
        <n v="517.0"/>
        <n v="795.0"/>
        <n v="91.0"/>
        <n v="1019.0"/>
        <n v="160.0"/>
        <n v="1047.0"/>
        <n v="173.0"/>
        <n v="811.0"/>
        <n v="203.0"/>
        <n v="437.0"/>
        <n v="1081.0"/>
        <n v="618.0"/>
        <n v="1119.0"/>
        <n v="130.0"/>
        <n v="108.0"/>
        <n v="260.0"/>
        <n v="903.0"/>
        <n v="205.0"/>
        <n v="950.0"/>
        <n v="532.0"/>
        <n v="430.0"/>
        <n v="827.0"/>
        <n v="807.0"/>
        <n v="419.0"/>
        <n v="55.0"/>
        <n v="814.0"/>
        <n v="172.0"/>
        <n v="617.0"/>
        <n v="1036.0"/>
        <n v="982.0"/>
        <n v="374.0"/>
        <n v="833.0"/>
        <n v="782.0"/>
        <n v="832.0"/>
        <n v="571.0"/>
        <n v="311.0"/>
        <n v="761.0"/>
        <n v="1078.0"/>
        <n v="259.0"/>
        <n v="174.0"/>
        <n v="204.0"/>
        <n v="886.0"/>
        <n v="229.0"/>
        <n v="281.0"/>
        <n v="890.0"/>
        <n v="486.0"/>
        <n v="536.0"/>
        <n v="696.0"/>
        <n v="694.0"/>
        <n v="729.0"/>
        <n v="915.0"/>
        <n v="157.0"/>
        <n v="306.0"/>
        <n v="704.0"/>
        <n v="584.0"/>
        <n v="266.0"/>
        <n v="843.0"/>
        <n v="611.0"/>
        <n v="699.0"/>
        <n v="1059.0"/>
        <n v="154.0"/>
        <n v="1015.0"/>
        <n v="161.0"/>
        <n v="346.0"/>
        <n v="751.0"/>
        <n v="831.0"/>
        <n v="1144.0"/>
        <n v="138.0"/>
        <n v="251.0"/>
        <n v="879.0"/>
        <n v="505.0"/>
        <n v="918.0"/>
        <n v="1091.0"/>
        <n v="667.0"/>
        <n v="1148.0"/>
        <n v="1086.0"/>
        <n v="418.0"/>
        <n v="901.0"/>
        <n v="1083.0"/>
        <n v="1045.0"/>
        <n v="276.0"/>
        <n v="1125.0"/>
        <n v="862.0"/>
        <n v="226.0"/>
        <n v="978.0"/>
        <n v="966.0"/>
        <n v="1115.0"/>
        <n v="888.0"/>
        <n v="21.0"/>
        <n v="519.0"/>
        <n v="891.0"/>
        <n v="1054.0"/>
        <n v="717.0"/>
        <n v="774.0"/>
        <n v="1136.0"/>
        <n v="579.0"/>
        <n v="801.0"/>
        <n v="1012.0"/>
        <n v="714.0"/>
        <n v="1124.0"/>
        <n v="958.0"/>
        <n v="1116.0"/>
        <n v="604.0"/>
        <n v="742.0"/>
        <n v="794.0"/>
        <n v="1121.0"/>
        <n v="840.0"/>
        <n v="739.0"/>
        <n v="902.0"/>
        <n v="798.0"/>
        <n v="715.0"/>
        <n v="959.0"/>
        <n v="749.0"/>
        <n v="142.0"/>
        <n v="1082.0"/>
        <n v="1145.0"/>
        <n v="493.0"/>
        <n v="692.0"/>
        <n v="952.0"/>
        <n v="983.0"/>
        <n v="1142.0"/>
        <n v="984.0"/>
        <n v="1024.0"/>
        <n v="999.0"/>
        <n v="175.0"/>
        <n v="693.0"/>
        <n v="146.0"/>
        <n v="1063.0"/>
        <n v="822.0"/>
        <n v="563.0"/>
        <n v="709.0"/>
        <n v="889.0"/>
        <n v="812.0"/>
        <n v="491.0"/>
        <n v="703.0"/>
        <n v="417.0"/>
        <n v="397.0"/>
        <n v="398.0"/>
        <n v="575.0"/>
        <n v="524.0"/>
        <n v="1057.0"/>
        <n v="720.0"/>
        <n v="817.0"/>
        <n v="1120.0"/>
        <n v="92.0"/>
        <n v="939.0"/>
        <n v="741.0"/>
        <n v="834.0"/>
        <n v="301.0"/>
        <n v="951.0"/>
        <n v="70.0"/>
        <n v="1085.0"/>
        <n v="816.0"/>
        <n v="609.0"/>
        <n v="156.0"/>
        <n v="679.0"/>
        <n v="1068.0"/>
        <n v="586.0"/>
        <n v="977.0"/>
        <n v="837.0"/>
        <n v="963.0"/>
        <n v="910.0"/>
        <n v="874.0"/>
        <n v="957.0"/>
        <n v="948.0"/>
        <n v="730.0"/>
        <n v="992.0"/>
        <n v="545.0"/>
        <n v="1071.0"/>
        <n v="399.0"/>
        <n v="141.0"/>
        <n v="768.0"/>
        <n v="735.0"/>
        <n v="980.0"/>
        <n v="937.0"/>
        <n v="222.0"/>
        <n v="997.0"/>
        <n v="851.0"/>
        <n v="836.0"/>
        <n v="852.0"/>
        <n v="849.0"/>
        <n v="1060.0"/>
        <n v="885.0"/>
        <n v="116.0"/>
        <n v="829.0"/>
        <n v="905.0"/>
        <n v="499.0"/>
        <n v="170.0"/>
        <n v="683.0"/>
        <n v="697.0"/>
        <n v="821.0"/>
        <n v="10.0"/>
        <n v="702.0"/>
        <n v="734.0"/>
        <n v="1129.0"/>
        <n v="719.0"/>
        <n v="171.0"/>
        <n v="904.0"/>
        <n v="51.0"/>
        <n v="1080.0"/>
        <n v="898.0"/>
        <n v="1123.0"/>
        <n v="533.0"/>
        <n v="884.0"/>
        <n v="936.0"/>
        <n v="844.0"/>
        <n v="488.0"/>
        <n v="485.0"/>
        <n v="1009.0"/>
        <n v="841.0"/>
        <n v="268.0"/>
        <n v="666.0"/>
        <n v="1079.0"/>
        <n v="452.0"/>
        <n v="938.0"/>
        <n v="878.0"/>
        <n v="698.0"/>
        <n v="823.0"/>
        <n v="820.0"/>
        <n v="118.0"/>
        <n v="498.0"/>
        <n v="101.0"/>
        <n v="723.0"/>
        <n v="793.0"/>
        <n v="804.0"/>
        <n v="381.0"/>
        <n v="90.0"/>
        <n v="987.0"/>
        <n v="745.0"/>
        <n v="803.0"/>
        <n v="603.0"/>
        <n v="153.0"/>
        <n v="839.0"/>
        <n v="897.0"/>
        <n v="111.0"/>
        <n v="778.0"/>
        <n v="810.0"/>
        <n v="190.0"/>
        <n v="815.0"/>
        <n v="1022.0"/>
        <n v="613.0"/>
        <n v="155.0"/>
        <n v="786.0"/>
        <n v="0.0"/>
        <n v="601.0"/>
        <n v="859.0"/>
        <n v="131.0"/>
        <n v="775.0"/>
        <n v="875.0"/>
        <n v="732.0"/>
        <n v="177.0"/>
        <n v="838.0"/>
        <n v="772.0"/>
        <n v="858.0"/>
        <n v="776.0"/>
        <n v="777.0"/>
        <n v="710.0"/>
        <n v="139.0"/>
        <n v="669.0"/>
        <n v="718.0"/>
        <n v="830.0"/>
        <n v="736.0"/>
        <n v="1122.0"/>
        <n v="1137.0"/>
        <n v="960.0"/>
        <n v="835.0"/>
        <n v="797.0"/>
        <n v="991.0"/>
        <n v="767.0"/>
        <n v="403.0"/>
        <n v="159.0"/>
        <n v="273.0"/>
        <n v="225.0"/>
        <n v="981.0"/>
        <n v="1065.0"/>
        <n v="770.0"/>
        <n v="1095.0"/>
        <n v="214.0"/>
        <n v="1058.0"/>
        <n v="789.0"/>
        <n v="909.0"/>
        <n v="376.0"/>
        <n v="1138.0"/>
        <n v="20.0"/>
        <n v="773.0"/>
        <n v="570.0"/>
        <n v="1062.0"/>
        <n v="818.0"/>
        <n v="1002.0"/>
        <n v="899.0"/>
        <n v="1027.0"/>
        <n v="602.0"/>
        <n v="227.0"/>
        <n v="1051.0"/>
        <n v="813.0"/>
        <n v="1093.0"/>
        <n v="800.0"/>
        <n v="850.0"/>
      </sharedItems>
    </cacheField>
    <cacheField name="most_prevalent_topic_id" numFmtId="0">
      <sharedItems containsSemiMixedTypes="0" containsString="0" containsNumber="1" containsInteger="1">
        <n v="1.0"/>
        <n v="3.0"/>
        <n v="2.0"/>
        <n v="6.0"/>
        <n v="7.0"/>
        <n v="4.0"/>
        <n v="5.0"/>
        <n v="9.0"/>
        <n v="10.0"/>
      </sharedItems>
    </cacheField>
    <cacheField name="most_prevalent_topic_probability" numFmtId="0">
      <sharedItems containsSemiMixedTypes="0" containsString="0" containsNumber="1">
        <n v="0.983603801446399"/>
        <n v="0.982540821171564"/>
        <n v="0.982157386098028"/>
        <n v="0.982149169138463"/>
        <n v="0.981305242585726"/>
        <n v="0.980909459431628"/>
        <n v="0.980783905307476"/>
        <n v="0.980393935427068"/>
        <n v="0.979217815606676"/>
        <n v="0.978830200181253"/>
        <n v="0.978825566271891"/>
        <n v="0.97882032051814"/>
        <n v="0.978803703763492"/>
        <n v="0.978627767207868"/>
        <n v="0.978570191273324"/>
        <n v="0.978249247982835"/>
        <n v="0.978244453535866"/>
        <n v="0.978222841506649"/>
        <n v="0.978069236571074"/>
        <n v="0.978000174055756"/>
        <n v="0.977999183475125"/>
        <n v="0.977690041918587"/>
        <n v="0.977647380749639"/>
        <n v="0.977630082654444"/>
        <n v="0.977599422791078"/>
        <n v="0.977473216642524"/>
        <n v="0.977420769641204"/>
        <n v="0.977420594247316"/>
        <n v="0.977416888625967"/>
        <n v="0.977398553506109"/>
        <n v="0.977386808509866"/>
        <n v="0.977175672435306"/>
        <n v="0.97706809994997"/>
        <n v="0.977064694535341"/>
        <n v="0.977062519608044"/>
        <n v="0.977008189594241"/>
        <n v="0.976985977674213"/>
        <n v="0.976977615990682"/>
        <n v="0.976973860526907"/>
        <n v="0.976962709091328"/>
        <n v="0.976950034781855"/>
        <n v="0.97694753662061"/>
        <n v="0.976927919578464"/>
        <n v="0.976891789301348"/>
        <n v="0.976850061882255"/>
        <n v="0.97683110619738"/>
        <n v="0.976818517533799"/>
        <n v="0.976816245018213"/>
        <n v="0.976815712708647"/>
        <n v="0.976807177347514"/>
        <n v="0.976806339820198"/>
        <n v="0.976804749098395"/>
        <n v="0.976797136754286"/>
        <n v="0.976793654539805"/>
        <n v="0.976775660465995"/>
        <n v="0.97676225917916"/>
        <n v="0.976707970773587"/>
        <n v="0.976332044633377"/>
        <n v="0.976324781537854"/>
        <n v="0.976318391242741"/>
        <n v="0.976287302271754"/>
        <n v="0.976252591615534"/>
        <n v="0.976240620064951"/>
        <n v="0.976173605247854"/>
        <n v="0.97616368698815"/>
        <n v="0.976161377293254"/>
        <n v="0.976154661174206"/>
        <n v="0.97600229050423"/>
        <n v="0.975682367609427"/>
        <n v="0.975548447417628"/>
        <n v="0.975540595136828"/>
        <n v="0.975495352361807"/>
        <n v="0.975480185078258"/>
        <n v="0.975474941057991"/>
        <n v="0.975472501917672"/>
        <n v="0.975472295264137"/>
        <n v="0.975418039766264"/>
        <n v="0.974963770662209"/>
        <n v="0.97487052156681"/>
        <n v="0.974849238567914"/>
        <n v="0.97481811882873"/>
        <n v="0.974790138255804"/>
        <n v="0.974774136199167"/>
        <n v="0.974770264723199"/>
        <n v="0.974767105901365"/>
        <n v="0.974763759849375"/>
        <n v="0.974761867380024"/>
        <n v="0.974749520906099"/>
        <n v="0.974738832403191"/>
        <n v="0.974707962949031"/>
        <n v="0.974630839592388"/>
        <n v="0.974585332954098"/>
        <n v="0.974580426428815"/>
        <n v="0.974564235308807"/>
        <n v="0.974553099186222"/>
        <n v="0.97415351179422"/>
        <n v="0.974120410768759"/>
        <n v="0.974117456743944"/>
        <n v="0.97411712493775"/>
        <n v="0.974109137815355"/>
        <n v="0.974105559586579"/>
        <n v="0.974001565467219"/>
        <n v="0.973997914352044"/>
        <n v="0.973997233305504"/>
        <n v="0.973995460595848"/>
        <n v="0.97398031687932"/>
        <n v="0.973977606504021"/>
        <n v="0.973962299853796"/>
        <n v="0.97395154288449"/>
        <n v="0.97384875836151"/>
        <n v="0.973750726724251"/>
        <n v="0.973643817298274"/>
        <n v="0.973523918377113"/>
        <n v="0.973293007241541"/>
        <n v="0.973193532428125"/>
        <n v="0.97318437461428"/>
        <n v="0.973180352220284"/>
        <n v="0.973095148355513"/>
        <n v="0.973082134195326"/>
        <n v="0.972882167287186"/>
        <n v="0.972726239478506"/>
        <n v="0.972369025495673"/>
        <n v="0.972320089047529"/>
        <n v="0.972318653433471"/>
        <n v="0.972317593176081"/>
        <n v="0.972315406656475"/>
        <n v="0.972307222485033"/>
        <n v="0.972301678898952"/>
        <n v="0.972301494119611"/>
        <n v="0.972300548087236"/>
        <n v="0.972299755812113"/>
        <n v="0.972281793398015"/>
        <n v="0.972259237438207"/>
        <n v="0.972177367694344"/>
        <n v="0.97214026528594"/>
        <n v="0.972083174910207"/>
        <n v="0.971953404329639"/>
        <n v="0.971921801307942"/>
        <n v="0.971867292347738"/>
        <n v="0.971590567401842"/>
        <n v="0.971471808466668"/>
        <n v="0.971400179447594"/>
        <n v="0.971393625351442"/>
        <n v="0.971385620540994"/>
        <n v="0.971384761423034"/>
        <n v="0.971380721225748"/>
        <n v="0.971343646234076"/>
        <n v="0.971334499475183"/>
        <n v="0.971302015734826"/>
        <n v="0.971221505280966"/>
        <n v="0.971191887755057"/>
        <n v="0.971066796570072"/>
        <n v="0.970942411250027"/>
        <n v="0.970677330989111"/>
        <n v="0.970414713093636"/>
        <n v="0.970410699879338"/>
        <n v="0.970387064239918"/>
        <n v="0.970386467141456"/>
        <n v="0.970380936781704"/>
        <n v="0.970367150970394"/>
        <n v="0.970156808321612"/>
        <n v="0.970116211441766"/>
        <n v="0.970085460348023"/>
        <n v="0.970046779020443"/>
        <n v="0.970016987216966"/>
        <n v="0.969898512547765"/>
        <n v="0.969887570623077"/>
        <n v="0.969854865052975"/>
        <n v="0.969846601206054"/>
        <n v="0.969355723636637"/>
        <n v="0.969345920863088"/>
        <n v="0.96932634520488"/>
        <n v="0.969287993235386"/>
        <n v="0.969148551737164"/>
        <n v="0.969061404857643"/>
        <n v="0.969048243954208"/>
        <n v="0.969032897126998"/>
        <n v="0.969019302838732"/>
        <n v="0.96900659490095"/>
        <n v="0.968902101323447"/>
        <n v="0.968883395780843"/>
        <n v="0.968789269492653"/>
        <n v="0.968221257583739"/>
        <n v="0.968214389560191"/>
        <n v="0.96820958268745"/>
        <n v="0.968205632248762"/>
        <n v="0.968200339718378"/>
        <n v="0.968190478854008"/>
        <n v="0.968160056806212"/>
        <n v="0.968107318185587"/>
        <n v="0.96781467668088"/>
        <n v="0.967777056562343"/>
        <n v="0.967770944003526"/>
        <n v="0.967764496967554"/>
        <n v="0.96767541895978"/>
        <n v="0.967598223446493"/>
        <n v="0.967592405226109"/>
        <n v="0.967591183951453"/>
        <n v="0.967477078745928"/>
        <n v="0.967446560960206"/>
        <n v="0.967396951490043"/>
        <n v="0.9673529073384"/>
        <n v="0.966967039248195"/>
        <n v="0.966953652272032"/>
        <n v="0.96688949640932"/>
        <n v="0.966659623131175"/>
        <n v="0.966412627828437"/>
        <n v="0.96621516876473"/>
        <n v="0.966207853339327"/>
        <n v="0.966160211370397"/>
        <n v="0.966146537778893"/>
        <n v="0.966017881208095"/>
        <n v="0.966006107884528"/>
        <n v="0.965936832147788"/>
        <n v="0.965671333201962"/>
        <n v="0.965661418493545"/>
        <n v="0.965660627635924"/>
        <n v="0.965653394096084"/>
        <n v="0.965647524072968"/>
        <n v="0.965602790563499"/>
        <n v="0.965595727019003"/>
        <n v="0.965570644762063"/>
        <n v="0.96556605783825"/>
        <n v="0.965560508228567"/>
        <n v="0.965091733865188"/>
        <n v="0.965069063163157"/>
        <n v="0.964988192202696"/>
        <n v="0.964848556734625"/>
        <n v="0.964814064417153"/>
        <n v="0.964808882803951"/>
        <n v="0.964589534889985"/>
        <n v="0.964233378821397"/>
        <n v="0.96422847508324"/>
        <n v="0.964140646850273"/>
        <n v="0.96399802177323"/>
        <n v="0.963995987376217"/>
        <n v="0.963518015379971"/>
        <n v="0.963493297230196"/>
        <n v="0.963142812832421"/>
        <n v="0.963007428161197"/>
        <n v="0.962940924191659"/>
        <n v="0.962696737402065"/>
        <n v="0.96269125770386"/>
        <n v="0.962683563596289"/>
        <n v="0.962679927178645"/>
        <n v="0.962664759143355"/>
        <n v="0.962649685988538"/>
        <n v="0.962645700442946"/>
        <n v="0.962641153731657"/>
        <n v="0.962614395679013"/>
        <n v="0.962495508734927"/>
        <n v="0.962495327666122"/>
        <n v="0.962495079343292"/>
        <n v="0.962339363396332"/>
        <n v="0.961847303363901"/>
        <n v="0.961473046606789"/>
        <n v="0.961468527272088"/>
        <n v="0.96146588643885"/>
        <n v="0.961458030219172"/>
        <n v="0.961313639855362"/>
        <n v="0.961195874355597"/>
        <n v="0.961005662979115"/>
        <n v="0.960985320028211"/>
        <n v="0.960977176718404"/>
        <n v="0.96095898385777"/>
        <n v="0.9609476154754"/>
        <n v="0.959480911523329"/>
        <n v="0.959133663556386"/>
        <n v="0.959121263916138"/>
        <n v="0.959084263341585"/>
        <n v="0.959081176841831"/>
        <n v="0.959038352877073"/>
        <n v="0.958976019881658"/>
        <n v="0.958941482760323"/>
        <n v="0.958797480773098"/>
        <n v="0.957584917834964"/>
        <n v="0.957487527461162"/>
        <n v="0.957483220747751"/>
        <n v="0.95742217065687"/>
        <n v="0.957403161319776"/>
        <n v="0.957380132108733"/>
        <n v="0.957293094720171"/>
        <n v="0.957284466891594"/>
        <n v="0.957261304228772"/>
        <n v="0.957137776744818"/>
        <n v="0.957136405472064"/>
        <n v="0.957136071729368"/>
        <n v="0.957095530632313"/>
        <n v="0.957036612060043"/>
        <n v="0.957027721268643"/>
        <n v="0.95702524543911"/>
        <n v="0.955334634921774"/>
        <n v="0.954991497797251"/>
        <n v="0.954942859675356"/>
        <n v="0.954839800102993"/>
        <n v="0.954756502699766"/>
        <n v="0.954330059979433"/>
        <n v="0.95362592299859"/>
        <n v="0.952685308713512"/>
        <n v="0.952674683295248"/>
        <n v="0.952621119124794"/>
        <n v="0.952615422477456"/>
        <n v="0.952445298070304"/>
        <n v="0.952318704358872"/>
        <n v="0.952156363326938"/>
        <n v="0.949981022625599"/>
        <n v="0.949962188538876"/>
        <n v="0.949513143878231"/>
        <n v="0.949505224081426"/>
        <n v="0.949455284151818"/>
        <n v="0.948858533137506"/>
        <n v="0.94844221840049"/>
        <n v="0.946318068247606"/>
        <n v="0.945334366602652"/>
        <n v="0.942762177921281"/>
        <n v="0.942323495248392"/>
        <n v="0.940435659336604"/>
        <n v="0.939606017190198"/>
        <n v="0.938924293111096"/>
        <n v="0.937510972944744"/>
        <n v="0.935707501598388"/>
        <n v="0.934886728986402"/>
        <n v="0.934446747555529"/>
        <n v="0.933856124373161"/>
        <n v="0.933850789871236"/>
        <n v="0.933454718706204"/>
        <n v="0.932541187191284"/>
        <n v="0.931030952879865"/>
        <n v="0.930757257771156"/>
        <n v="0.929124182806024"/>
        <n v="0.928961122196328"/>
        <n v="0.92778990779787"/>
        <n v="0.927310389287378"/>
        <n v="0.927067601506623"/>
        <n v="0.926976403915256"/>
        <n v="0.926656020465009"/>
        <n v="0.924339698912977"/>
        <n v="0.922970815079195"/>
        <n v="0.922659465276831"/>
        <n v="0.922187534817804"/>
        <n v="0.922135278056257"/>
        <n v="0.921946921123361"/>
        <n v="0.920203587493185"/>
        <n v="0.920131555000482"/>
        <n v="0.91920039062588"/>
        <n v="0.919177418076225"/>
        <n v="0.919092195095129"/>
        <n v="0.919007975746708"/>
        <n v="0.918783595165576"/>
        <n v="0.918697897422418"/>
        <n v="0.918355101214553"/>
        <n v="0.918063884593478"/>
        <n v="0.918033920000138"/>
        <n v="0.918003887525728"/>
        <n v="0.917301283834636"/>
        <n v="0.916158030952161"/>
        <n v="0.916117850984583"/>
        <n v="0.915834588701228"/>
        <n v="0.915780311029896"/>
        <n v="0.915680680696376"/>
        <n v="0.915291757403046"/>
        <n v="0.914906624036593"/>
        <n v="0.914437985806444"/>
        <n v="0.914397196723569"/>
        <n v="0.914027275608342"/>
        <n v="0.913887268305105"/>
        <n v="0.913281968145354"/>
        <n v="0.912159348634018"/>
        <n v="0.911880879568765"/>
        <n v="0.911736215542085"/>
        <n v="0.910867695183058"/>
        <n v="0.91038882714742"/>
        <n v="0.909944364184648"/>
        <n v="0.909683046190977"/>
        <n v="0.909681799579806"/>
        <n v="0.909492323837871"/>
        <n v="0.908466590570685"/>
        <n v="0.907152298191464"/>
        <n v="0.906971749193289"/>
        <n v="0.906689706177172"/>
        <n v="0.906223759358364"/>
        <n v="0.904966887412634"/>
        <n v="0.904815002686909"/>
        <n v="0.904644955627876"/>
        <n v="0.90452276706399"/>
        <n v="0.904188064061475"/>
        <n v="0.903682075071881"/>
        <n v="0.903379002621527"/>
        <n v="0.90333837233209"/>
        <n v="0.903180452865656"/>
        <n v="0.902497691293931"/>
        <n v="0.902072123834402"/>
        <n v="0.901041574084032"/>
        <n v="0.898916851711638"/>
        <n v="0.89716983454965"/>
        <n v="0.896821226109754"/>
        <n v="0.8951247616189"/>
        <n v="0.894972263588454"/>
        <n v="0.894946457638208"/>
        <n v="0.894061731763485"/>
        <n v="0.893596078468787"/>
        <n v="0.893572812015085"/>
        <n v="0.892679032443958"/>
        <n v="0.892587483732788"/>
        <n v="0.892558568390294"/>
        <n v="0.892163408829547"/>
        <n v="0.891898548084223"/>
        <n v="0.891823378286714"/>
        <n v="0.890184368248738"/>
        <n v="0.889878297776457"/>
        <n v="0.889730266905069"/>
        <n v="0.887589131709919"/>
        <n v="0.887514267275366"/>
        <n v="0.886720183767416"/>
        <n v="0.8866985076737"/>
        <n v="0.885554308165357"/>
        <n v="0.885032125374654"/>
        <n v="0.884966326609473"/>
        <n v="0.883574136530905"/>
        <n v="0.883453162634442"/>
        <n v="0.883110424099376"/>
        <n v="0.882760667311063"/>
        <n v="0.881695728901493"/>
        <n v="0.881534673623508"/>
        <n v="0.881522071276321"/>
        <n v="0.880977402110251"/>
        <n v="0.879831492602633"/>
        <n v="0.879678899764529"/>
        <n v="0.878730116284418"/>
        <n v="0.878690439701424"/>
        <n v="0.878441649467277"/>
        <n v="0.877777480306466"/>
        <n v="0.877641070817231"/>
        <n v="0.875341106320337"/>
        <n v="0.87520988425513"/>
        <n v="0.873887880394844"/>
        <n v="0.873172334103162"/>
        <n v="0.872664340829156"/>
        <n v="0.872658335896448"/>
        <n v="0.87252719329405"/>
        <n v="0.872348378867434"/>
        <n v="0.871743851350705"/>
        <n v="0.870974567412596"/>
        <n v="0.870211777296782"/>
        <n v="0.868260774661791"/>
        <n v="0.867752939923023"/>
        <n v="0.867090514944157"/>
        <n v="0.866260659104579"/>
        <n v="0.864455522215468"/>
        <n v="0.863881776210884"/>
        <n v="0.86220728947777"/>
        <n v="0.861424112728309"/>
        <n v="0.861066817122701"/>
        <n v="0.860789873595174"/>
        <n v="0.86032010808819"/>
        <n v="0.860296817623049"/>
        <n v="0.860238552596608"/>
        <n v="0.859778556208345"/>
        <n v="0.859775399341994"/>
        <n v="0.859270993166666"/>
        <n v="0.85850273040344"/>
        <n v="0.857768508133697"/>
        <n v="0.857170843739692"/>
        <n v="0.856690964459743"/>
        <n v="0.854891702235331"/>
        <n v="0.854425531402247"/>
        <n v="0.853760250726415"/>
        <n v="0.851556660364981"/>
        <n v="0.851550198746037"/>
        <n v="0.851302500710661"/>
        <n v="0.846755375369711"/>
        <n v="0.84565827788079"/>
        <n v="0.844988279397049"/>
        <n v="0.844903722312526"/>
        <n v="0.844423716223725"/>
        <n v="0.843517439945113"/>
        <n v="0.843346796290541"/>
        <n v="0.842050857459309"/>
        <n v="0.84185848920248"/>
        <n v="0.841816119760944"/>
        <n v="0.841133523200533"/>
        <n v="0.841120269350459"/>
        <n v="0.840639791383031"/>
        <n v="0.840402473116305"/>
        <n v="0.83957270463242"/>
        <n v="0.838085695251011"/>
        <n v="0.837852554239541"/>
        <n v="0.836435732493017"/>
        <n v="0.836174267873016"/>
        <n v="0.836113976262915"/>
        <n v="0.834762342685818"/>
        <n v="0.834035197752059"/>
        <n v="0.833435131552789"/>
        <n v="0.832236570531849"/>
        <n v="0.83086026469811"/>
        <n v="0.830857564240331"/>
        <n v="0.829688474023606"/>
        <n v="0.82954024804806"/>
        <n v="0.828778341525051"/>
        <n v="0.828767712828932"/>
        <n v="0.82738789128257"/>
        <n v="0.827104655059707"/>
        <n v="0.826467935284625"/>
        <n v="0.826385236195113"/>
        <n v="0.825758675384203"/>
        <n v="0.824768882053623"/>
        <n v="0.823815733028351"/>
        <n v="0.823415445481588"/>
        <n v="0.823298101651473"/>
        <n v="0.823190259879782"/>
        <n v="0.822681844381323"/>
        <n v="0.8211873304106"/>
        <n v="0.821134883078178"/>
        <n v="0.821081865532134"/>
        <n v="0.820957268776445"/>
        <n v="0.820730091901628"/>
        <n v="0.820048775537039"/>
        <n v="0.819462706547441"/>
        <n v="0.819004962323788"/>
        <n v="0.81821542930403"/>
        <n v="0.81776058735429"/>
        <n v="0.816055405692022"/>
        <n v="0.81567948662233"/>
        <n v="0.81551472024721"/>
        <n v="0.815353663788954"/>
        <n v="0.813930383326513"/>
        <n v="0.813051176536071"/>
        <n v="0.813048452085084"/>
        <n v="0.812660165019657"/>
        <n v="0.812195530473445"/>
        <n v="0.810943032023869"/>
        <n v="0.810841817847274"/>
        <n v="0.810356434655456"/>
        <n v="0.810203525567446"/>
        <n v="0.809863071793665"/>
        <n v="0.80930564590413"/>
        <n v="0.809229862182473"/>
        <n v="0.808979515821815"/>
        <n v="0.806402551936877"/>
        <n v="0.806071328478982"/>
        <n v="0.806017435230047"/>
        <n v="0.804754590414264"/>
        <n v="0.804617390129007"/>
        <n v="0.804402452675202"/>
        <n v="0.803682781440938"/>
        <n v="0.803562807357623"/>
        <n v="0.802462407450903"/>
        <n v="0.799831056377633"/>
        <n v="0.799195299380264"/>
        <n v="0.799128764190388"/>
        <n v="0.798633528997799"/>
        <n v="0.798248055421668"/>
        <n v="0.798247890366434"/>
        <n v="0.797256508283441"/>
        <n v="0.797060596207078"/>
        <n v="0.796923210063407"/>
        <n v="0.796831752545922"/>
        <n v="0.796677046353967"/>
        <n v="0.795926019986698"/>
        <n v="0.795717134454315"/>
        <n v="0.795598188292665"/>
        <n v="0.795589147580471"/>
        <n v="0.794926550884359"/>
        <n v="0.794502681645373"/>
        <n v="0.793400323809164"/>
        <n v="0.793138266040349"/>
        <n v="0.793037705304492"/>
        <n v="0.792804801677925"/>
        <n v="0.792626579637206"/>
        <n v="0.792307724381994"/>
        <n v="0.792219768768459"/>
        <n v="0.791649125217567"/>
        <n v="0.791507795590856"/>
        <n v="0.790931113629953"/>
        <n v="0.790755428729351"/>
        <n v="0.790204577878033"/>
        <n v="0.790074625113936"/>
        <n v="0.789592447134627"/>
        <n v="0.789552475827866"/>
        <n v="0.789234940539461"/>
        <n v="0.788941757591875"/>
        <n v="0.788723740271658"/>
        <n v="0.787141037628114"/>
        <n v="0.786688683647721"/>
        <n v="0.786390420626212"/>
        <n v="0.785740073975923"/>
        <n v="0.78549877223657"/>
        <n v="0.784935354911662"/>
        <n v="0.784705488909538"/>
        <n v="0.78469280038732"/>
        <n v="0.78418403972114"/>
        <n v="0.784181998964949"/>
        <n v="0.783957308227887"/>
        <n v="0.781331340395528"/>
        <n v="0.780743793735918"/>
        <n v="0.778928324312104"/>
        <n v="0.778534780841327"/>
        <n v="0.775558583909705"/>
        <n v="0.775386198988478"/>
        <n v="0.775318501270955"/>
        <n v="0.774975754618167"/>
        <n v="0.774613886184634"/>
        <n v="0.774409107140924"/>
        <n v="0.77294699280548"/>
        <n v="0.772879749458097"/>
        <n v="0.772756796024349"/>
        <n v="0.772249323563076"/>
        <n v="0.771618524523415"/>
        <n v="0.77021101981305"/>
        <n v="0.769561595330814"/>
        <n v="0.768989912735086"/>
        <n v="0.767865131508963"/>
        <n v="0.767071423099059"/>
        <n v="0.76703991742409"/>
        <n v="0.766287258460738"/>
        <n v="0.766250086630099"/>
        <n v="0.765631205727707"/>
        <n v="0.765367014144009"/>
        <n v="0.764113378471701"/>
        <n v="0.763963629066764"/>
        <n v="0.76318774636401"/>
        <n v="0.762946317274308"/>
        <n v="0.762841337154318"/>
        <n v="0.762728508810071"/>
        <n v="0.762393098496459"/>
        <n v="0.761497194923088"/>
        <n v="0.759831280950362"/>
        <n v="0.759635291180232"/>
        <n v="0.758383643066413"/>
        <n v="0.756277632321031"/>
        <n v="0.755559627138191"/>
        <n v="0.75461316857267"/>
        <n v="0.75340025394426"/>
        <n v="0.753011033282665"/>
        <n v="0.751981757883092"/>
        <n v="0.751666669166988"/>
        <n v="0.751244869430996"/>
        <n v="0.75089952130572"/>
        <n v="0.750452404946889"/>
        <n v="0.750190997206361"/>
        <n v="0.750182156148545"/>
        <n v="0.749886281451867"/>
        <n v="0.748516738774289"/>
        <n v="0.748067962006696"/>
        <n v="0.747795750733569"/>
        <n v="0.747559043618941"/>
        <n v="0.74745544773163"/>
        <n v="0.747236993102102"/>
        <n v="0.746342199445018"/>
        <n v="0.74612524855348"/>
        <n v="0.745331407158961"/>
        <n v="0.744967407037405"/>
        <n v="0.744776963213684"/>
        <n v="0.744771299308389"/>
        <n v="0.744574399860034"/>
        <n v="0.744556227679735"/>
        <n v="0.744159243858691"/>
        <n v="0.744118986741293"/>
        <n v="0.743033572048937"/>
        <n v="0.742300419556229"/>
        <n v="0.739431411220949"/>
        <n v="0.739045500086894"/>
        <n v="0.738761015503886"/>
        <n v="0.736775165154172"/>
        <n v="0.736020876830103"/>
        <n v="0.735659261420558"/>
        <n v="0.73468954006426"/>
        <n v="0.733557215693775"/>
        <n v="0.73341064780617"/>
        <n v="0.733169044075169"/>
        <n v="0.732549643380085"/>
        <n v="0.73142573841387"/>
        <n v="0.731359439154475"/>
        <n v="0.73012396666325"/>
        <n v="0.729974956053092"/>
        <n v="0.728772301827972"/>
        <n v="0.728369942643909"/>
        <n v="0.727810905572995"/>
        <n v="0.727521405057833"/>
        <n v="0.726588347619171"/>
        <n v="0.72479734827358"/>
        <n v="0.722612846643765"/>
        <n v="0.721995159302973"/>
        <n v="0.721403469348769"/>
        <n v="0.7212053999696"/>
        <n v="0.721183988015364"/>
        <n v="0.721182991028278"/>
        <n v="0.720903932332011"/>
        <n v="0.720207905755637"/>
        <n v="0.72011430051876"/>
        <n v="0.719877023788422"/>
        <n v="0.719414034431643"/>
        <n v="0.717852503025972"/>
        <n v="0.716526831812586"/>
        <n v="0.71642060296472"/>
        <n v="0.716166025661015"/>
        <n v="0.715381065464527"/>
        <n v="0.714190335686752"/>
        <n v="0.713512189324667"/>
        <n v="0.713274231492966"/>
        <n v="0.712482511330628"/>
        <n v="0.712200953527089"/>
        <n v="0.711809430331655"/>
        <n v="0.711246888804264"/>
        <n v="0.711016559359152"/>
        <n v="0.710810534642814"/>
        <n v="0.710633416481502"/>
        <n v="0.710616539805197"/>
        <n v="0.7098615394142"/>
        <n v="0.709843752366077"/>
        <n v="0.709782793649589"/>
        <n v="0.707696410993614"/>
        <n v="0.706145515118819"/>
        <n v="0.704720090767036"/>
        <n v="0.703866836134257"/>
        <n v="0.703389261636296"/>
        <n v="0.703161629958521"/>
        <n v="0.700163092769976"/>
        <n v="0.700022290365473"/>
        <n v="0.699818031786711"/>
        <n v="0.69943079236704"/>
        <n v="0.699113957518788"/>
        <n v="0.697794184942102"/>
        <n v="0.697392070143696"/>
        <n v="0.696250347266141"/>
        <n v="0.695916208956736"/>
        <n v="0.695341293148005"/>
        <n v="0.69415780478929"/>
        <n v="0.694019032352809"/>
        <n v="0.692507090856689"/>
        <n v="0.68997110686796"/>
        <n v="0.688729410142947"/>
        <n v="0.688526013667808"/>
        <n v="0.686332628448875"/>
        <n v="0.686256272467811"/>
        <n v="0.685569684449697"/>
        <n v="0.685188551781449"/>
        <n v="0.684584498823538"/>
        <n v="0.684253104094979"/>
        <n v="0.682930523770037"/>
        <n v="0.682636189976775"/>
        <n v="0.682330802340332"/>
        <n v="0.68209154315186"/>
        <n v="0.679921699997018"/>
        <n v="0.679120213368641"/>
        <n v="0.678288690570979"/>
        <n v="0.678138517278522"/>
        <n v="0.677680168987614"/>
        <n v="0.677503734425337"/>
        <n v="0.676409817344132"/>
        <n v="0.675341515217563"/>
        <n v="0.673321098091575"/>
        <n v="0.671936029945382"/>
        <n v="0.671698339778646"/>
        <n v="0.670835728577916"/>
        <n v="0.668422127838793"/>
        <n v="0.668094168227572"/>
        <n v="0.666758006080584"/>
        <n v="0.666507568089716"/>
        <n v="0.666349446270118"/>
        <n v="0.664710892613039"/>
        <n v="0.66411680923746"/>
        <n v="0.663816008991602"/>
        <n v="0.66337142956227"/>
        <n v="0.663023037312962"/>
        <n v="0.662953136091624"/>
        <n v="0.662315649708709"/>
        <n v="0.661422938811675"/>
        <n v="0.659535763059284"/>
        <n v="0.658965714755336"/>
        <n v="0.6543314493175"/>
        <n v="0.653803717315538"/>
        <n v="0.652935341931991"/>
        <n v="0.652208729499589"/>
        <n v="0.650019290031298"/>
        <n v="0.649554530502465"/>
        <n v="0.64939389330111"/>
        <n v="0.649370927244283"/>
        <n v="0.645870197884371"/>
        <n v="0.64520892516612"/>
        <n v="0.644052776442566"/>
        <n v="0.643361158072992"/>
        <n v="0.643182130894142"/>
        <n v="0.641974119537913"/>
        <n v="0.641452483731051"/>
        <n v="0.640978557059208"/>
        <n v="0.640751076233663"/>
        <n v="0.639118501658186"/>
        <n v="0.638422671023293"/>
        <n v="0.63822529564304"/>
        <n v="0.637381968025492"/>
        <n v="0.636343507167288"/>
        <n v="0.634745569529811"/>
        <n v="0.633793550508723"/>
        <n v="0.631912105833892"/>
        <n v="0.631835726335137"/>
        <n v="0.62997915225203"/>
        <n v="0.62991104386627"/>
        <n v="0.628839191566579"/>
        <n v="0.628358508386928"/>
        <n v="0.62835104812804"/>
        <n v="0.628310298666688"/>
        <n v="0.627782914382369"/>
        <n v="0.626937222061525"/>
        <n v="0.626656028335963"/>
        <n v="0.625553318066487"/>
        <n v="0.625368706188006"/>
        <n v="0.624968411048737"/>
        <n v="0.624954458308689"/>
        <n v="0.620832832697154"/>
        <n v="0.619727696297159"/>
        <n v="0.61938713754693"/>
        <n v="0.617897335975503"/>
        <n v="0.616410068116177"/>
        <n v="0.615427791596443"/>
        <n v="0.615116653916003"/>
        <n v="0.613861059137553"/>
        <n v="0.6130748492829"/>
        <n v="0.611793072526769"/>
        <n v="0.611664985928608"/>
        <n v="0.611142930657658"/>
        <n v="0.610832111357134"/>
        <n v="0.610813825841119"/>
        <n v="0.610797806768536"/>
        <n v="0.610127914913921"/>
        <n v="0.609448201385953"/>
        <n v="0.608421800487699"/>
        <n v="0.607994776238623"/>
        <n v="0.607404645701861"/>
        <n v="0.607109002544983"/>
        <n v="0.606800619454238"/>
        <n v="0.606172015617559"/>
        <n v="0.604737336051246"/>
        <n v="0.604127555519659"/>
        <n v="0.603702725116737"/>
        <n v="0.60298966817738"/>
        <n v="0.602672605548021"/>
        <n v="0.599458956573576"/>
        <n v="0.599065168493196"/>
        <n v="0.596818348727961"/>
        <n v="0.593952158276683"/>
        <n v="0.593939726334844"/>
        <n v="0.593472836506918"/>
        <n v="0.593295937870248"/>
        <n v="0.592858695012563"/>
        <n v="0.592446136937667"/>
        <n v="0.590201290471287"/>
        <n v="0.589694343802443"/>
        <n v="0.589317449259146"/>
        <n v="0.589130183388963"/>
        <n v="0.587507450203497"/>
        <n v="0.586814009309306"/>
        <n v="0.586305312146162"/>
        <n v="0.585363766685788"/>
        <n v="0.584727744830965"/>
        <n v="0.584626978693081"/>
        <n v="0.583547369290971"/>
        <n v="0.583405585388404"/>
        <n v="0.583304540148304"/>
        <n v="0.583106745777851"/>
        <n v="0.582009526340862"/>
        <n v="0.581787880594824"/>
        <n v="0.580881256115602"/>
        <n v="0.580812735016675"/>
        <n v="0.579683217567214"/>
        <n v="0.578717088852307"/>
        <n v="0.578269430849821"/>
        <n v="0.577800561901122"/>
        <n v="0.575153115451546"/>
        <n v="0.573299981534291"/>
        <n v="0.571764509777984"/>
        <n v="0.570797204765017"/>
        <n v="0.570579450576578"/>
        <n v="0.570053752337313"/>
        <n v="0.566069917558607"/>
        <n v="0.565991618315698"/>
        <n v="0.563523718546913"/>
        <n v="0.563432648379661"/>
        <n v="0.563076628466982"/>
        <n v="0.56271916273604"/>
        <n v="0.562160507793455"/>
        <n v="0.561246647578964"/>
        <n v="0.559805542146877"/>
        <n v="0.559381010327486"/>
        <n v="0.553091249874401"/>
        <n v="0.54765872948989"/>
        <n v="0.547534932314763"/>
        <n v="0.544562180079278"/>
        <n v="0.542827376783032"/>
        <n v="0.542382203786037"/>
        <n v="0.541930728283255"/>
        <n v="0.541587296750242"/>
        <n v="0.541485628472903"/>
        <n v="0.540610352910772"/>
        <n v="0.54048068676883"/>
        <n v="0.538565394365043"/>
        <n v="0.537598911960384"/>
        <n v="0.535400113865661"/>
        <n v="0.53524920814406"/>
        <n v="0.534862621732372"/>
        <n v="0.533558893035755"/>
        <n v="0.533448475118054"/>
        <n v="0.532906412443356"/>
        <n v="0.532515001807027"/>
        <n v="0.531787533408185"/>
        <n v="0.531409145907769"/>
        <n v="0.52681311147604"/>
        <n v="0.52560386267028"/>
        <n v="0.523107196786113"/>
        <n v="0.522420009008759"/>
        <n v="0.520884440710207"/>
        <n v="0.52087620576492"/>
        <n v="0.518251935487606"/>
        <n v="0.518166267550623"/>
        <n v="0.518140206837565"/>
        <n v="0.516551499266426"/>
        <n v="0.514348159896137"/>
        <n v="0.513959990212981"/>
        <n v="0.509814495640667"/>
        <n v="0.509189766757879"/>
        <n v="0.506832998137244"/>
        <n v="0.504317375970653"/>
        <n v="0.498982253172182"/>
        <n v="0.498753371891058"/>
        <n v="0.497522350540162"/>
        <n v="0.494963460518769"/>
        <n v="0.494823434471886"/>
        <n v="0.491066659253832"/>
        <n v="0.490996140448097"/>
        <n v="0.489828667948427"/>
        <n v="0.488838068306524"/>
        <n v="0.484034577494834"/>
        <n v="0.483765088203327"/>
        <n v="0.478941709525196"/>
        <n v="0.478562855856381"/>
        <n v="0.478326379636769"/>
        <n v="0.477245999611766"/>
        <n v="0.472670491390359"/>
        <n v="0.471355941229147"/>
        <n v="0.466864690998763"/>
        <n v="0.466436826133834"/>
        <n v="0.466221532289627"/>
        <n v="0.462547879666328"/>
        <n v="0.46055131310319"/>
        <n v="0.459238847859471"/>
        <n v="0.458059093641012"/>
        <n v="0.447576153238774"/>
        <n v="0.445722619164501"/>
        <n v="0.445195177050768"/>
        <n v="0.438460526197893"/>
        <n v="0.436612462002506"/>
        <n v="0.433630484395022"/>
        <n v="0.428017110111746"/>
        <n v="0.422997497426592"/>
        <n v="0.420766262671319"/>
        <n v="0.419589076560235"/>
        <n v="0.419000989161138"/>
        <n v="0.410423820863669"/>
        <n v="0.404337787693194"/>
        <n v="0.378918485142453"/>
        <n v="0.375622903253294"/>
      </sharedItems>
    </cacheField>
    <cacheField name="text_excerpt" numFmtId="0">
      <sharedItems>
        <s v="als Ursache von Biodiversität Belege für die Evolution: molekularbiologische Homologien grundlegende Prinzipien der Evolution: Rekombination, Mutation, Selektion, Verwandtschaft, Variation, Fitness, Isolation, Drift, Artbildung, Biodiversität, Koevolution"/>
        <s v="Drift, Artbildung, Biodiversität, Koevolution, populationsgenetischer Artbegriff Synthetische Evolutionstheorie, Abgrenzung von nicht-naturwissenschaftlichen Vorstellungen Stammbäume: ursprüngliche und abgeleitete Merkmale proximate exogen und endogen und"/>
        <s v="Merkmale N Belege für die Evolution: molekularbiologische -Homologien N Grundlegende Prinzipien der Evolution: Rekombination, Mutation, Selektion, Verwandtschaft, Variation, Fitness, Isolation, Drift, Artbildung, Biodiversität, Koevolution, populationsgen"/>
        <s v="Artbegriff Synthetische Evolutionstheorie, Abgrenzung von nicht-naturwissenschaftlichen Vorstellungen Stammbäume: ursprüngliche und abgeleitete Merkmale proximate exogen und endogen und ultimate adaptiver Wert für die Fitnessmaximierung Ursachen von Verha"/>
        <s v="Genetik menschlicher Erkrankungen: Familienstammbäume, Gentest und Beratung, Gentherapie Krebs: Krebszellen, Onkogene und Anti-Onkogene, personalisierte Medizin Entstehung und Entwicklung des Lebens Synthetische Evolutionstheorie: Mutation, Rekombination,"/>
        <s v="von nicht-naturwissenschaftlichen Vorstellungen abgrenzen - Grundlegende Prinzipien der Evolution: - Mutation, Rekombination, Selektion, Isolation, Drift - Variation, Fitness, Biodiversität - Verwandtschaft, allopatrische Artbildung, populationsgenetische"/>
        <s v="zwischen genetischem Material, Genprodukten und Merkmal: Genmutationen Genetik menschlicher Erkrankungen: Familienstammbäume, Gentest und Beratung, Gentherapie Entstehung und Entwicklung des Lebens Synthetische Evolutionstheorie: Mutation, Rekombination, "/>
        <s v="führen und moderieren Grundlegende Wissensbestände - zwei ausgewählte psychische Phänomene Aggression, prosoziales Verhalten, Einstellungen aus der Sicht von drei Paradigmen - Merkmale von Aggression, aggressivem Verhalten und Aggressivität, Formen aggres"/>
        <s v="und homosexuelle Partnerschaften Einflüsse auf sexuelles Verhalten, Rollenverhalten Verantwortung für das eigene Sexualverhalten Seelisch-körperliche Selbstbestimmung Kommunikation Erläuterung biologischer Grundlagen zur Empfängnis und Empfängnisverhütung"/>
        <s v="Vererbung - Leitthema , Pflichtbaustein: Umweltfaktoren, Ressourcen und Populationen Verhalten als Ergebnis von Evolution - Verhaltensökologie Grund- und Leistungsfach Leistungsfach Grundlagen und Ursachen von Verhalten adaptiver Wert von Verhalten - Verh"/>
        <s v="Ursache und Wirkung von Funktionseinschränkungen der Sinnesorgane Entwicklung von Fragestellungen, Hypothesen und Untersuchungen zu sinnesphysiologischen Phänomenen Kommunikation Interpretation von Beobachtungen, Abbildungen und Daten sinnesphysiologische"/>
        <s v="- Leitthema , Pflichtbaustein: Vielfalt und Vererbung - Leitthema , Pflichtbaustein: Umweltfaktoren, Ressourcen und Populationen Verhalten als Ergebnis von Evolution - Verhaltensökologie Grund- und Leistungsfach Leistungsfach Grundlagen und Ursachen von V"/>
        <s v="in einfacher Form Hormone als Botenstoffe im Organismus Erkenntnisgewinnung Arbeit mit Modellen zur Funktionsweise der Sinnesorgane Beobachtung, Beschreibung und Vergleich von Phänomenen und Vorgängen bei der Informationsverarbeitung und bei ausgewählten "/>
        <s v="und Normen zugrunde liegen z. B. Ehrlichkeit, Höflichkeit, Achtsamkeit, Geselligkeit vergleichen Regeln und Rituale in verschiedenen Kontexten. Schulregeln in verschiedenen kulturellen und historischen Kontexten Verhaltensregeln in verschiedenen Sportarte"/>
        <s v="Einrichtungen mmunikation chreibung persönlicher Standpunkn angemessener Weise Erweiterung fachlicher Grundlagen: - Hormone - biologische Grundlagen der Empfängnis und Empfängnisverhütung - Reproduktionsmedizin - Schwangerschaftsabbruch Heterosexuelle und"/>
        <s v="Formen aggressiven Verhaltens einschließlich Mobbing sowie Theorien und Modelle der Entstehung von Aggression z. B. Triebtheorien, Frustrations-Aggressions-Theorie, Theorie aggressiver Hinweisreize von Berkowitz, Lerntheorien, Präventions- und Interventio"/>
        <s v="Vielfalt und Vererbung - Leitthema , Pflichtbaustein: Umweltfaktoren, Ressourcen und Populationen Verhalten als Ergebnis von Evolution - Verhaltensökologie Grund- und Leistungsfach Leistungsfach Grundlagen und Ursachen von Verhalten adaptiver Wert von Ver"/>
        <s v="Gesundheitsamt, Beratungsstellen Kennen von sexuell übertragbare Krankheiten Hepatitis, AIDS Bundeszentrale für gesundheitliche Aufklärung, Aidshilfe Differenzierung: Syphilis, Tripper GE, Kl. , LB Bildung für nachhaltige Entwicklung Kennen der Phasen der"/>
        <s v="Normen zugrunde liegen, heraus. z. B. Ehrlichkeit, Höflichkeit, Achtsamkeit, Geselligkeit vergleichen Regeln und Rituale in verschiedenen Kontexten. Schulregeln in verschiedenen kulturellen und historischen Kontexten Verhaltensregeln in verschiedenen Spor"/>
        <s v="Abschluss der Jahrgangsstufe ezüge zu Kompetenzbereichen Inhaltliche Schwerpunkte Bezüge zu Kompetenzbereichen Informationsfluss im Organismus und zwischen Organismen kenntnisgewinnung bachtung, Beschreibung und Verch von Reiz-Reaktionschanismen bei Tier "/>
        <s v="Drift, Artbildung, Biodiversität, Koevolution, populationsgenetischer Artbegriff erläutern die Wirkung von Evolutionsfaktoren auf die Entstehung und Veränderung von Arten erläutern Koevolution als Ergebnis der Selektion durch Konkurrenz IB Adaptiver Wert "/>
        <s v="Voraussetzung zur Entwicklung eines positiven Selbstkonzepts. Auf dieser Grundlage entwickeln sich ein positives Selbstwertgefühl und Selbstvertrauen. Zur personalen Kompetenz gehören ebenfalls Aspekte der Selbstregulierung wie die Fähigkeit, sich situati"/>
        <s v="Verhaltens einschließlich Mobbing sowie Theorien und Modelle der Entstehung von Aggression z. B. Triebtheorien, Frustrations-Aggressions-Theorie, Theorie aggressiver Hinweisreize von Berkowitz, Lerntheorien, Präventions- und Interventionsmaßnahmen - Unter"/>
        <s v="geeigneter Form gen ökologischer Beziehungen zeigen Vernetzungen verschiedener Ökosysteme. In diewerden die Gründe für deren Gefährdung durch Eingriffe des Menschen ersichtlich. Veranschaulichung von Daten mit angemessenen Gestaltungsmitteln Bewertung Beu"/>
        <s v="Tierheim Bildung für nachhaltige Entwicklung Betrachten und Beobachten von Tieren Erscheinungsbild, Verhalten Haltung und Nutzung von Tieren durch den Menschen artgerechte Tierhaltung, Tierschutzgesetz Ergebnispräsentation Steckbriefe, Fotos, Portfolio, P"/>
        <s v="und Interessen geleiteten Aussagen andererseits, beurteilen die Bedeutung von naturwissenschaftlichen Kenntnissen für Anwendungsbereiche und Berufsfelder, zeigen an lebensweltbezogenen Fragestellungen die Chancen und Grenzen naturwissenschaftlicher Sichtw"/>
        <s v="der Jahrgangsstufe / ezüge zu Kompetenzbereichen Inhaltliche Schwerpunkte Bezüge zu Kompetenzbereichen Informationsfluss im Organismus und zwischen Organismen kenntnisgewinnung bachtung, Beschreibung und Verch von Reiz-Reaktionschanismen bei Tier und Mens"/>
        <s v="Abschluss der Jahrgangsstufe ezüge zu Kompetenzbereichen Inhaltliche Schwerpunkte Bezüge zu Kompetenzbereichen Informationsfluss im Organismus und zwischen Organismen kenntnisgewinnung bachtung, Beschreibung und Verch von Reiz-Reaktions-Mechanisn bei Tier"/>
        <s v="Beobachten, Ethogramm, Tierschutz Nutzung digitaler Medien zur Verhaltensbeobachtung Medienbildung Kennen von Verhaltensursachen endogene und exogene proximate und ultimate adaptiver Wert von Verhalten Kosten-Nutzen-Analyse, Fitnessmaximierung Anwenden de"/>
        <s v="Aussagen/Texte hinsichtlich ihres wissenschaftlichen Gehaltes untersuchen und begründet von der Alltagspsychologie unterscheiden paradigmatische Erklärungsmodelle bezüglich vorgegebener Kriterien z. B. Menschenbild, Wissenschaftlichkeit vergleichen H Beis"/>
        <s v="in unterschiedlichen sozialen Rollen. Gehorsam, Empathie, Pflicht, Loyalität, Respekt, Höflichkeit, Zuneigung, Liebe, Ausgrenzung, Akzeptanz, Toleranz, Verantwortung in den verschiedenen sozialen Kontexten soziale Rolle als Summe der von einer Person erwa"/>
        <s v="der Antike Philosophie der Natur Geschichte der Philosophie Biologie Philosophie Themen Hinweise/Aspekte/Beispiele Themen ...kologie und Umweltschutz Umweltschutz Mensch und Biosphre Natur und Kultur Ethik Anthropologie Philosophie der Natur Informationsv"/>
        <s v="Fächerkürzel dargestellt im Beispiel T für Technik: aus ihren Kenntnissen der Mechanik Regeln für sicheres Verhalten im Straßenverkehr ableiten z. B. Sicherheitsgurte aus ihren Kenntnissen der Mechanik Regeln für sicheres Verhalten im Straßenverkehr ablei"/>
        <s v="Verhalten im Straßenverkehr ableiten z. B. Sicherheitsgurte aus ihren Kenntnissen der Mechanik Regeln für sicheres Verhalten im Straßenverkehr ableiten z. B. Sicherheitsgurte aus ihren Kenntnissen der Mechanik Regeln für sicheres Verhalten im Straßenverke"/>
        <s v="Hypothesen und Untersuchungen zu sinnesphysiologischen Phänomenen Kommunikation Interpretation von Beobachtungen, Abbildungen und Daten sinnesphysiologischer Versuche Diskussion von tierischen und menschlichen Verhaltensweisen Bewertung Bewertung von äuße"/>
        <s v="geeigneter Form en ökologischer Beziehungen zeigen Vernetzungen verschiedener Ökosysteme. In diewerden die Gründe für deren Gefährdung durch Eingriffe des Menschen ersichtlich. Veranschaulichung von Daten mit angemessenen Gestaltungsmitteln Bewertung Beur"/>
        <s v="Betriebsstoffe Blut äußere Atmung Produzenten, Konsumenten, Destruenten Kohlenstoffkreislauf Energiefluss Fotosynthese Zellatmung anthropogener Einfluss auf lokaler und globaler Ebene Nachhaltigkeitsdreieck Reflexion der persönlichen Lebensweise Informati"/>
        <s v="auf komplexe Sachverhalte an. B Bewertungskompetenz Die Schülerinnen und Schüler erfassen biologische Fragestellungen in verschiedenen Kontexten. Sie erkennen Probleme und Interessenkonflikte, entwickeln Lösungsansätze, diskutieren Konsequenzen und beurte"/>
        <s v="- biologische Sachverhalte prüfen und beurteilen Die Schülerinnen und Schüler erfassen biologische Fragestellungen in verschiedenen Kontexten. Sie erkennen Probleme und Interessenkonflikte, entwickeln Lösungsansätze, diskutieren Konsequenzen und beurteile"/>
        <s v="Schülerinnen und Schüler erfassen biologische Fragestellungen in verschiedenen Kontexten. Sie erkennen Probleme und Interessenkonflikte, entwickeln Lösungsansätze, diskutieren Konsequenzen und beurteilen diese. Sie begründen Verhaltensweisen einer gesunde"/>
        <s v="Beobachten von Tieren Erscheinungsbild, Verhalten Haltung und Nutzung von Tieren durch den Menschen artgerechte Tierhaltung, Tierschutzgesetz Ergebnispräsentation Steckbriefe, Fotos, Portfolio, Poster Wahlbereich : Verhaltensweisen Einblicke gewinnen in a"/>
        <s v="Aidshilfe Differenzierung: Syphilis, Tripper GE, Kl. , LB Bildung für nachhaltige Entwicklung Kennen der Phasen der Individualentwicklung Verhalten als Ergebnis von Angeborenem und Erworbenem Nachahmung tierische und menschliche Verhaltensweisen Zusammenh"/>
        <s v="Liebe und Sexualität auseinander. vermeintlich typisch männliche bzw. typisch weibliche Eigenschaften und Vorstellungen, unterschiedliche Kommunikationsformen, Rollenverhalten der Geschlechter, Vorurteile gegenüber Homosexualität Sexualität und Rollenklis"/>
        <s v="und zwischen Organismen kenntnisgewinnung bachtung, Beschreibung und Verch von Reiz-Reaktionschanismen bei Tier und Mensch alyse von Verhaltensweisen bei us- oder Nutztieren mmunikation essatengerechte und sachgerechte chreibung und Erläuterung von halten"/>
        <s v="Reiz-Reaktionschanismen bei Tier und Mensch alyse von Verhaltensweisen bei us- oder Nutztieren mmunikation essatengerechte und sachgerechte chreibung und Erläuterung von haltensweisen Verhaltensweisen von Tieren: intra- und interspezifisch des Menschen: s"/>
        <s v="Reiz-Reaktions-Mechanisn bei Tier und Mensch alyse von Verhaltensweisen bei us- oder Nutztieren mmunikation essatengerechte und sachgerechte chreibung und Erläuterung von haltensweisen Verhaltensweisen von Tieren: intra- und interspezifisch des Menschen: "/>
        <s v="Meinungsbildung und Entscheidungsfindung unter Wahrung demokratischer Grundprinzipien mit der notwendigen Konflikt- und Kompromissbereitschaft weitgehend selbstständig beteiligen, eigene Positionen zu politischen und wirtschaftlichen Lösungsmöglichkeiten "/>
        <s v="politischen Meinungsbildung und Entscheidungsfindung unter Wahrung demokratischer Grundprinzipien mit der notwendigen Konflikt- und Kompromissbereitschaft selbstständig beteiligen, eigene Positionen zu politischen und wirtschaftlichen Lösungsmöglichkeiten"/>
        <s v="Menschen Entstehung von Biodiversität Evolutionstheorien Evolutionsmechanismen Evolutionäre Entwicklungsbiologie Evo-Devo Kommunikation und Sprache - LT Verhalten - LT Abstammung und Verwandtschaft Evolution des Menschen Darstellung stammesgeschichtlicher"/>
        <s v="gegenwärtige und zukünftige Lebenssituationen, erörtern Handlungsoptionen einer umwelt- und naturverträglichen Teilhabe im Sinne der Nachhaltigkeit, unterscheiden naturwissenschaftliche und ethische Aussagen, reflektieren ihr eigenes Verhalten gegenüber d"/>
        <s v="Konsequenzen für die reproduktive Fitness. erklären Verhaltensweisen aus ultimater und proximater Sicht und vermeiden finale Aussagen. erläutern exogene und endogene Ursachen für das Sozialverhalten von Primaten. beobachten und dokumentieren geschlechtssp"/>
        <s v="Bildung für nachhaltige Entwicklung Beurteilen fremdenfeindlicher Verhaltensweisen wirtschaftliche Hintergründe, mediale Einflüsse Einbeziehen von Darstellungen in digitalen und traditionellen Medien, Besprechen von Fallbeispielen Rollenspiel Sozialkompet"/>
        <s v="fachsprachlichen Texten und von Bildern in strukturierter sprachlicher Darstellung. Biologische Sachverhalte werden in verschiedenen Kontexten erkannt und bewertet. Schwerpunkte sind dabei nicht nur die eigene Gesundheit, sondern auch das verantwortungsbe"/>
        <s v="größere Gemeinschaften, Gesellschaften wahr. Sie versetzen sich in die Lage anderer Empathie, Perspektivenübernahme, erfassen und reflektieren den Stellenwert ihres eigenen Handelns. Rücksichtnahme und Solidarität: Die Lernenden respektieren die Meinungen"/>
        <s v="Bewertungskompetenz Basiskonzepte Struktur und Funktion Stoff- und Energieumwandlung Information und Kommunikation Steuerung und Regelung Individuelle und evolutive Entwicklung Themenfelder und Inhalte Wahlpflichtthemen für die Einführungsphase in der Jah"/>
        <s v="verschiedener Ökosysteme. In diewerden die Gründe für deren Gefährdung durch Eingriffe des Menschen ersichtlich. Kommunikation Darstellung von Zusammenhängen in geeigneter Form Veranschaulichung von Daten mit angemessenen Gestaltungsmitteln Bewertung Beur"/>
        <s v="begründen sie ihren eigenen Standpunkt. Sie beurteilen Informationen aus verschiedenen Quellen hinsichtlich ihrer Glaubwürdigkeit und Objektivität. Die Schülerinnen und Schüler unterscheiden zwischen naturwissenschaftlichen und ethischen Aussagen, beurtei"/>
        <s v="gesundheitliche Aufklärung, Aidshilfe Differenzierung: Syphilis, Tripper GE, Kl. , LB Bildung für nachhaltige Entwicklung Kennen der Phasen der Individualentwicklung Verhalten als Ergebnis von Angeborenem und Erworbenem Nachahmung tierische und menschlich"/>
        <s v="und zwischen Organismen kenntnisgewinnung bachtung, Beschreibung und Verch von Reiz-Reaktions-Mechanisn bei Tier und Mensch alyse von Verhaltensweisen bei us- oder Nutztieren mmunikation essatengerechte und sachgerechte chreibung und Erläuterung von halte"/>
        <s v="Methoden und Bedeutung der Verhaltensbiologie EF Information, Regulation vorurteilsfreies Beobachten, Ethogramm, Tierschutz Nutzung digitaler Medien zur Verhaltensbeobachtung Medienbildung Kennen von Verhaltensursachen endogene und exogene proximate und u"/>
        <s v="Verhaltensweisen zum Überleben des Individuums bei Kooperation, Aggression und Fortpflanzung zu analysieren und deren Bedeutung für die Weitergabe der genetischen Information zu erklären. Inhalte zu den Kompetenzen: adaptiver Wert von Verhalten; direkte u"/>
        <s v="und Fortpflanzung zu analysieren und deren Bedeutung für die Weitergabe der genetischen Information zu erklären. analysieren das Sozialverhalten der Primaten im Hinblick auf exogene und endogene Ursachen, um ausgewählte menschliche Verhaltensweisen zu erk"/>
        <s v="Organismen Erweiterung der Artenkenntnis Vernetzung verschiedener Ökosysteme Begründungszusammenhänge der Gefährdung von Ökosystemen durch Eingriffe des Menschen Veranschaulichung und Präsentation von im Sachzusammenhang adäquaten Daten mit angemessenen G"/>
        <s v="Sachverhalte mediengestützt und zielgruppenorientiert. B Bewertungskompetenz Die Schülerinnen und Schüler erfassen biologische Fragestellungen in verschiedenen Kontexten. Sie erkennen Probleme und Interessenkonflikte, entwickeln Lösungsansätze, diskutiere"/>
        <s v="Arten beruht auf der Isolation von Teilpopulationen. beschreiben und erklären die Entstehung von Arten mit der synthetischen Evolutionstheorie. Artbegriff Isolationsmechanismen allopatrische und sympatrische Artbildung Genfluss adaptive Radiation OS - VA "/>
        <s v="Artbegriff erläutern die Wirkung von Evolutionsfaktoren auf die Entstehung und Veränderung von Arten erläutern Koevolution als Ergebnis der Selektion durch Konkurrenz IB Adaptiver Wert von Verhalten: reproduktive Fitness, Kosten-Nutzen-Analyse werten Verh"/>
        <s v="- LT Verhalten - LT Abstammung und Verwandtschaft Evolution des Menschen Darstellung stammesgeschichtlicher Verwandtschaft Belege für die Evolution Verhalten als Ergebnis von Evolution Verhaltensökologie Kulturelle Evolution Grundlagen und Ursache von Ver"/>
        <s v="der Primaten im Hinblick auf exogene und endogene Ursachen, um ausgewählte menschliche Verhaltensweisen zu erklären. Dabei treten sie einseitig biologistischen Erklärungsansätzen kritisch gegenüber. Inhalte zu den Kompetenzen: adaptiver Wert von Verhalten"/>
        <s v="Entwicklung des Lebens Thematischer Zusammenhang: Evolution des Menschen Leistungsfach Abb. : Strukturierungsvorschlag LT , Evolution des Menschen Entstehung von Biodiversität Evolutionstheorien Evolutionsmechanismen Evolutionäre Entwicklungsbiologie Evo-"/>
        <s v="Funktion, mit Angepasstheit mit Variabilität und Vielfalt der Organismen Lernen, Wahrnehmung und Verhalten Immunität und Immunisierung System mit Steuerung und Regelung mit Stoffwechsel und Energieumwandlung mit Wechselwirkungen Lernen, Wahrnehmung und Ve"/>
        <s v="H: Positionen und Begründungen Andersdenkender aufgreifen und sachlich argumentativ kommentieren. H: sich in die Situation, Interessen und Denkweisen anderer Menschen versetzen, diese Interessen und Denkweisen simulativ vertreten und das eigene Verhalten "/>
        <s v="Verweise direkt unterhalb der jeweiligen Teilkompetenz dargestellt. Bei Verweisen auf andere Fächer ist zusätzlich das Fächerkürzel dargestellt im Beispiel T für Technik: aus ihren Kenntnissen der Mechanik Regeln für sicheres Verhalten im Straßenverkehr a"/>
        <s v="der Entstehung von Aggression z. B. Triebtheorien, Frustrations-Aggressions-Theorie, Theorie aggressiver Hinweisreize von Berkowitz, Lerntheorien, Präventions- und Interventionsmaßnahmen - Unterschiede von hilfreichem Verhalten, prosozialem Verhalten und "/>
        <s v="Experimentieren Vergleich Ergebnis mit Vermutungen Wahlbereich : Heim- und Nutztiere Kennen von Heim- und Nutztieren Exkursion: Bauernhof, Zoo, Tierpark, Tierheim Bildung für nachhaltige Entwicklung Betrachten und Beobachten von Tieren Erscheinungsbild, V"/>
        <s v="Inhalt Vorwort Zum Umgang mit dem Lehrplan Themenfelder Einführungsphase der gymnasialen Oberstufe Kompetenzerwartungen Anhang Vorwort In unserer Gesellschaft liegen Moral und Glück bzw. Sinn faktisch als gelebte Orientierung an bestehenden Verhaltens-Nor"/>
        <s v="Inhalt Vorwort Zum Umgang mit dem Lehrplan Themenfelder Hauptphase der gymnasialen Oberstufe Kompetenzerwartungen Anhang Vorwort In unserer Gesellschaft liegen Moral und Glück bzw. Sinn faktisch als gelebte Orientierung an bestehenden Verhaltens-Normen un"/>
        <s v="Arten mit der synthetischen Evolutionstheorie. Artbegriff Isolationsmechanismen allopatrische und sympatrische Artbildung Genfluss adaptive Radiation OS - VA Verhaltensweisen können mit Hilfe von proximaten und ultimaten Ursachen erklärt werden. erklären "/>
        <s v="mit Hilfe von proximaten und ultimaten Ursachen erklärt werden. erklären das Verhalten von Tieren, indem sie zwischen proximaten und ultimaten Ursachen von Verhalten unterscheiden. proximate und ultimate Ursachen Kosten-Nutzen-Analyse von Verhalten OS - V"/>
        <s v="von proximaten und ultimaten Ursachen erklärt werden. erklären das Verhalten von Tieren, indem sie zwischen proximaten und ultimaten Ursachen von Verhalten unterscheiden. proximate und ultimate Ursachen von Verhalten Kosten-Nutzen-Analyse von Verhalten OS"/>
        <s v="Selektion Hinweise, Anregungen und mögliche thematische Anknüpfungen - z. B. Antibiotikaresistenzen Mögliche Vertiefungen und Vernetzungen - Leitthema , Pflichtbaustein: Vielfalt und Vererbung - Leitthema , Pflichtbaustein: Umweltfaktoren, Ressourcen und "/>
        <s v="Inhaltsfeld : Gegenwart und Zukunft Inhaltlicher Schwerpunkt: - Nachhaltiges Leben und Lernen Sachkompetenz Die Schülerinnen und Schüler erläutern die Bedeutung kritischen Denkens sowie der Verantwortungsübernahme für Lernprozesse, überprüfen ihr alltägli"/>
        <s v="ermöglicht eine abschließende Vernetzung der im Laufe der Hauptphase erworbenen Kompetenzen. Nachdem das menschliche Verhalten aus ökologischer und evolutionsbiologischer Perspektive betrachtetet wurde, werden nun die zellulären Prozesse untersucht, welch"/>
        <s v="exemplarische Behandlung: Elektroenzephalografie EEG, Elektromyografie EMG Anwendung der Kenntnisse über Hormon- und Nervensystem auf die Verschränkung hormoneller und neuronaler Steuerung beim Menschen EF Information, Regelkreis Regulation im Hypothalamu"/>
        <s v="von Alltagskontexten mit naturwissenschaftlichen Kenntnissen ftlich belegbaren Fakten und Prozessen einerseits und Interessen geleiteten Aussagen andererseits, nschaftlichen Kenntnissen für Anwendungsbereiche und Berufsfelder, lungen die Chancen und Grenz"/>
        <s v="genetischer Unterschiede Informationsverarbeitung Biologie LK Leitperspektive Das Themenfeld Informationsverarbeitung beinhaltet umfassende Bezüge zu allen Basiskonzepten und ermöglicht eine abschließende Vernetzung der im Laufe der Hauptphase erworbenen "/>
        <s v="Sinnesorganen Auge oder Ohr werfen Fragen zum Gesundheitsschutz auf. swege werden auch durch die Wirkung der Hormone als Botenstoffe deutlich. Beispiele Erkenntnisgewinnung Arbeiten mit physiologischen Modellen Beobachten, Beschreiben und ezifischen Verha"/>
        <s v="vertreten. H: Positionen und Begründungen Andersdenkender aufgreifen und sachlich-argumentativ kommentieren. H: sich in die Situation, Interessen und Denkweisen anderer Menschen versetzen, diese Interessen und Denkweisen simulativ vertreten und das eigene"/>
        <s v="eines inklusiven Schulsystems umgesetzt, die Lernenden sowie Lehrkräfte entlasten. Dazu werden neben dem Unterricht in Regelklassen, eigene Lerngruppen für Lernende mit starken Auffälligkeiten in den Bereichen Sprache oder Lernen oder Verhalten gebildet. "/>
        <s v="Prozess der Erkenntnisgewinnung reflektieren - Methoden zur Erforschung der Stammesgeschichte auf phänotypischer und molekulargenetischer Ebene erläutern sowie Möglichkeiten und Grenzen des Erkenntnisgewinnungsprozesses reflektieren Kriterien wissenschaft"/>
        <s v="dies wird in der Abbildung nicht veranschaulicht: aus ihren Kenntnissen der Mechanik Regeln für sicheres Verhalten im Straßenverkehr ableiten z. B. Sicherheitsgurte aus ihren Kenntnissen der Mechanik Regeln für sicheres Verhalten im Straßenverkehr ableite"/>
        <s v="dargestellt. Nach einem Mausklick auf das jeweilige Symbol werden die Verweise im Browser detaillierter dargestellt dies wird in der Abbildung nicht veranschaulicht: aus ihren Kenntnissen der Mechanik Regeln für sicheres Verhalten im Straßenverkehr ableit"/>
        <s v="Genfluss adaptive Radiation OS - VA Verhaltensweisen können mit Hilfe von proximaten und ultimaten Ursachen erklärt werden. erklären das Verhalten von Tieren, indem sie zwischen proximaten und ultimaten Ursachen von Verhalten unterscheiden. proximate und "/>
        <s v="können mit Hilfe von proximaten und ultimaten Ursachen erklärt werden. erklären das Verhalten von Tieren, indem sie zwischen proximaten und ultimaten Ursachen von Verhalten unterscheiden. proximate und ultimate Ursachen von Verhalten Kosten-Nutzen-Analyse"/>
        <s v="angemessener Weise zu lösen. Soziale Kompetenzen sind erforderlich, um mit anderen Menschen angemessen umgehen und zusammenarbeiten zu können. Dazu zählen die Fähigkeiten, erfolgreich zu kooperieren, sich in Konflikten konstruktiv zu verhalten sowie Toler"/>
        <s v="des Behaviorismus, des Kognitivismus, der humanistischen, der systemischen Psychologie, der Biopsychologie anhand ausgewählter Modelle und Theorien Analyse ausgewählter Phänomene mittels psychologischer Modelle und Theorien, z. B. Analyse des Erwerbs vers"/>
        <s v="und Rekombination, Selektion, Isolation, Gendrift den biologischen Artbegriff erklären und Artbildungsprozesse erläutern allopatrische und sympatrische Artbildung Koevolution als wechselseitigen Anpassungsprozess zweier Arten an einem Beispiel darstellen "/>
        <s v="rteilung lokaler Auswirkungen von griffen des Menschen in den Lesraum von Organismen Erweiterung der Artenkenntnis Vernetzung verschiedener Ökosysteme Begründungszusammenhänge der Gefährdung von Ökosystemen durch Eingriffe des Menschen Bewertung Beurteilu"/>
        <s v="Beziehung zum Körperbau, Atmung o beschreiben die Art der Atmung, Ernährung o beschreiben die Ernährungsweise und setzen sie in Beziehung zu körperlichen Merkmalen z. B. Gebiss, Zahntypen, o beschreiben das Verhalten beim Nahrungserwerb, Sinnesorgane o se"/>
        <s v="diesen Stellung. Informationsverarbeitung Biologie GK Leitperspektive Das Themenfeld Informationsverarbeitung beinhaltet umfassende Bezüge zu allen Basiskonzepten und ermöglicht eine abschließende Vernetzung der im Laufe der Hauptphase erworbenen Kompeten"/>
        <s v="Ohr werfen Fragen zum Gesundheitsschutz auf. swege werden auch durch die Wirkung der Hormone als Botenstoffe deutlich. Beispiele Erkenntnisgewinnung Arbeiten mit physiologischen Modellen Beobachten, Beschreiben und Vergleichen von Phänomenen ezifischen Ve"/>
        <s v="als Problem der Anthropologie interpretieren. Kommunizieren Die Schülerinnen und Schüler können das eigene vorreflexive Wirklichkeitsverständnis problematisieren die Implikationen und Konsequenzen eigener moralischer Wertungen problematisieren sich gegenü"/>
        <s v="Entscheidungen reflektieren, B Folgen von Entscheidungen für die Natur, das Individuum und die Gesellschaft reflektieren B den Prozess der Bewertung in Bezug auf das Ergebnis und das Verfahren reflektieren B Verhaltensweisen zur Erhaltung der eigenen Gesu"/>
        <s v="Begründungen Andersdenkender aufgreifen und in Grundzügen sachlich argumentativ kommentieren. H: sich in die Situation, Interessen und Denkweisen anderer Menschen versetzen, diese Interessen und Denkweisen simulativ vertreten und altersgerecht das eigene "/>
        <s v="vererbt werden kann, c proximate Ursachen, ultimate Ursachen, kausale Ursachen, funktionale Ursachen c erläutern an Beispielen, dass Verhalten proximate und ultimate Ursachen hat und unterscheiden kausale und funktionale Erklärungen für Verhalten, d adapt"/>
        <s v="Weitergabe der genetischen Information zu erklären. Inhalte zu den Kompetenzen: adaptiver Wert von Verhalten; direkte und indirekte reproduktive Fitness verhaltensökologische Forschung: Kosten-Nutzen-Analyse, Optimalitätsmodell, ggf. vergleichende Methode"/>
        <s v="abiotische Faktoren im Überblick, Zusammenwirken, ggf. jahreszeitliche Veränderungen; Biozönose: kennzeichnende Tier- und Pflanzenarten, Angepasstheiten, ökologische Nische, Zeigerorganismen; Insekten als wichtiger Bestandteil einer Lebensgemeinschaft: Gr"/>
        <s v="Meinungsbildung bei. Zahlreiche Themen geben Anlass, Sachverhalte unter biologischen und außerfachlichen Gesichtspunkten zu bewerten. Die Lernenden bewerten die gesellschaftlichen Auswirkungen menschlichen Handelns und werden dadurch in die Lage versetzt,"/>
        <s v="um Fragestellungen zu entwickeln und um proximate und ultimate Ursachen zu unterscheiden - Beobachtungen unter Laborbedingungen im Sinne eines hypothetischdeduktiven Vorgehens - Experimente zu kausalen Erklärungen menschlichen Lernverhaltens Biologie des "/>
        <s v="mit statistischem Material der Ausländerbehörden GS, ETH, Kl. , LB DE, Kl. , LB EN, Kl. /, LB Me and others Sozialkompetenz Mehrperspektivität Werteorientierung Bildung für nachhaltige Entwicklung Beurteilen fremdenfeindlicher Verhaltensweisen wirtschaftl"/>
        <s v="die beteiligten Strukzwischen Organismen wird mit einfachen Beispielen zu intra- und interspezifischen s der Tierwelt beschrieben. Erkenntnisgewinnung Beobachtung, Beschreibung und Vergleich von Reiz-ReaktionsMechanismen Unterscheidung zwischen Ursache un"/>
        <s v="mit der Lupe und zeichnerisches Darstellen Körpertemperatur gleichwarme Tiere Anpassungserscheinungen einfache Flugmodelle Körperbau - Fliegen Körperform, Körperbedeckung, Skelett Schnabelform - Nahrung Atmung Fortpflanzung und Entwicklung innere Befrucht"/>
        <s v="Beispiel darstellen Erkenntnisgewinnung , , Kommunikation , Evolution Genetik Biomoleküle und molekulare Genetik proximate und ultimate Erklärungen unterscheiden unter anderem an Beispielen des Sozialverhaltens von Primaten den adaptiven Wert von Verhalte"/>
        <s v="Die Bildung von Arten erklären Wie kann die Entstehung von Arten erklärt werden Wie kann man das Verhalten von Tieren erklären Evolutionsfaktoren Artbildung Synthetische Evolutionstheorie proximate und ultimate Ursachen von Verhalten Kosten-Nutzen-Analyse"/>
        <s v="populationsgenetischer Artbegriff; Problematik des Artbegriffs Koevolution: mutualistisch, antagonistisch B Lernbereich : Verhaltensökologie - Evolution und Angepasstheit von Verhalten ca. Std. Kompetenzerwartungen Die Schülerinnen und Schüler ... erkläre"/>
        <s v="ca. Std. Kompetenzerwartungen Die Schülerinnen und Schüler ... erklären das Auftreten verschiedener Verhaltensweisen, indem sie deren Einfluss auf die Gesamtfitness des Lebewesens beurteilen. wenden Methoden der verhaltensökologischen Forschung an, um Ver"/>
        <s v="Fachbegriffe die Art, die Beobachtung, die Beschreibung, die Bewegung, das Embryo, die Entwicklung, die Erklärung, das Experiment, die Reizbarkeit, das Skelett, der Stoffwechsel, die Umwelt, die Variable, die Vererbung, das Verhalten, die Vermutung, das W"/>
        <s v="Lebensweise, Inhalte Kompetenzerwartungen Kommunikation o nennen verschiedene Formen der Verständigung zwischen Tieren sowie zwischen Tieren und Menschen und deuten diese, Fortpflanzung o beschreiben die Form der Fortpflanzung, o beschreiben das Verhalten"/>
        <s v="Decodierung von Information Hinweise, Anregungen und mögliche thematische Anknüpfungen - evolutionäre Spieltheorie, z. B. Falke-Taube-Modell Mögliche Vertiefungen und Vernetzungen - Leitthema , Wahlpflichtbaustein: Kommunikation und Sprache - Leitthema , "/>
        <s v="ab K unterscheiden zwischen Alltags- und Fachsprache grundsätzlicher/übergeordneter Standard K erklären Sachverhalte aus ultimater und proximater Sicht, ohne dabei unangemessene finale Begründungen zu nutzen E c erläutern an Beispielen, dass Verhalten pro"/>
        <s v="in Frage stellen sich im Sinne eines Perspektivwechsels in die Situation, Interessen und Denkweisen anderer Menschen versetzen, diese Interessen und Denkweisen simulativ für eine begrenzte Zeit vertreten und das eigene Verhalten in der Rolle reflektieren "/>
        <s v="für den Unterricht mit erhöhtem Anforderungsniveau Werbung Essstörungen Führungsstile Aufgaben für den Unterricht mit grundlegendem Anforderungsniveau Testtheorie Weitere Aufgaben Aufgabenbeispiele für die mündliche Abiturprüfung Soziale Kognition - Einst"/>
        <s v="Lebewesen kriteriengeleitet mittels Bestimmungsschlüssel bestimmen. UF, E das Prinzip der sexuellen Fortpflanzung bei Pflanzen und Tieren vergleichen und Gemeinsamkeiten erläutern. UF Erkenntnisgewinnung Die Schülerinnen und Schüler können... aufgrund von"/>
        <s v="Die Schüler beschreiben den Bau und die Funktionen von Organen und Organsystemen des eigenen Körpers. Unter dem Gesichtspunkt der eigenen Gesundheit bewerten sie verschiedene Verhaltensweisen und Umweltbedingungen. Sie lernen das Verhalten als Ergebnis vo"/>
        <s v="das Bewusstsein. Das Verständnis der neuronalen Plastizität in Abhängigkeit von sensorischer Erfahrung ermöglicht z. B. Rückschlüsse auf das eigene Lernverhalten. Höhere Leistungen neuronaler Netzwerke, wie z. B. Erinnerung, Sprache und Verhalten, lassen "/>
        <s v="Medien informatische Bildung Medienbildung Mikroskopieren SE Heuaufguss, Tümpelwasser Ziele Entwickeln des naturwissenschaftlichen Denkens und Arbeitens zum Erfassen der Vernetztheit biologischer Phänomene Die Schüler erweitern ihr Wissen über Bau, Leistu"/>
        <s v="Körperbau, Lebensweise Überblick über Entwicklungsetappen Entwicklungslinien, Stammbäume, territoriale Ausbreitung überwiegende genetische Gemeinsamkeiten aller Menschen - Artzugehörigkeit Angepasstheit an klimatische Verhältnisse Antirassismus als Gebot "/>
        <s v="in den Evolutionsgedanken Wirbeltiere Mensch zunehmende Unabhängigkeit vom Wasser Fossilien, Übergangsformen Anwenden verhaltensbiologischer Kenntnisse Medienbildung Werteorientierung Bildung für nachhaltige Entwicklung artgerechte Haltung von Tieren Form"/>
        <s v="Verständigung unter den Schülerinnen und Schülern. Das Fach Ethik steht in enger Verbindung mit vielen der schulart- und fächerübergreifenden Erziehungsziele. Im Nachdenken etwa darüber, wie eigene Werthaltungen das Handeln und Verhalten bestimmen, erweis"/>
        <s v="und den Prozess der Erkenntnisgewinnung reflektieren - eine morphologische und eine molekulare Methode zur Erforschung der Stammesgeschichte auf phänotypischer und molekulargenetischer Ebene erläutern Kriterien wissenschaftlicher Wissensproduktion zum ada"/>
        <s v="Arten erklären Wie kann die Entstehung von Arten erklärt werden Wie kann man das Verhalten von Tieren erklären Evolutionsfaktoren Artbildung Synthetische Evolutionstheorie proximate und ultimate Ursachen von Verhalten Kosten-Nutzen-Analyse von Verhaltensw"/>
        <s v="Verfahren und biologische Denk- und Arbeitsweisen Grund- und Leistungsfach Leistungsfach Abstammung und Verwandtschaft vergleichende morphologische Untersuchungen Vergleich von DNA-Sequenzen Konstruktion von Stammbäumen Entstehung von Biodiversität Modell"/>
        <s v="sie einseitig biologistischen Erklärungsansätzen kritisch gegenüber. Inhalte zu den Kompetenzen: adaptiver Wert von Verhalten; direkte und indirekte reproduktive Fitness verhaltensökologische Forschung: Kosten-Nutzen-Analyse, Optimalitätsmodell, ggf. verg"/>
        <s v="und Liebe, Zusammenhang von Körper, Seele und Geist, Spannungsbogen von Gemeinschaft und Individualität, von Festhalten und Loslassen interessendifferenzierende Gruppenarbeit Werteorientierung sexuelle Veranlagung Entwicklung sexueller Identität Anerkennu"/>
        <s v="vertreten. H: Positionen und Begründungen Andersdenkender aufgreifen und in Grundzügen sachlich-argumentativ kommentieren. H: sich in die Situation, die Interessen und die Denkweisen anderer Menschen versetzen und altersgerecht zunehmend das eigene Verhal"/>
        <s v="untersuchen; Mythos Frau untersuchen; Bedarf der Mensch der Tradition Bedeutung der Tradition für den künstlerischen Schaffensprozess an Beispielen prüfen Traditionslast-Traditionsverlust; Zusammenarbeit mit Kunst und Gestaltung, Musik, Deutsch, Religion,"/>
        <s v="Bestimmungsschlüsseln, typische Merkmale Differenzierung: Bestimmen von Kriechtiere Körperbedeckung, Körpertemperatur Lebensraum wechselwarme Tiere, Feuchtlufttier, Trockenlufttier Atmung - Lebensraum Befruchtungsarten - Lebensraum äußere, innere Befrucht"/>
        <s v="Haltungen sich selbst gegenüber. Die Schülerinnen und Schüler sollen Vertrauen in die eigenen Fähigkeiten und die Wirksamkeit des eigenen Handelns entwickeln. Sie sollen lernen, die eigenen Fähigkeiten realistisch einzuschätzen, ihr Verhalten zu reflektie"/>
        <s v="Tiere kriteriengeleitet mittels einfacher Bestimmungsschlüssel bestimmen. UF die Prinzipien der Fortpflanzung bei Pflanzen und Tieren vergleichen und Gemeinsamkeiten erläutern. UF Erkenntnisgewinnung Die Schülerinnen und Schüler können ... aufgrund von Be"/>
        <s v="globaler Einfluss Sek. I - SE Nachhaltigkeit bedeutet, ein Ökosystem zu nutzen, ohne die Existenzgrundlage des Menschen zu zerstören. erklären Nachhaltigkeit als die Bewahrung der natürlichen Regenerationsfähigkeit der Biosphäre. beschreiben Verhaltenswei"/>
        <s v="moralischer Wertungen problematisieren sich gegenüber fremden moralischen Wertungen argumentativ verhalten eigene Ansprüche auf Selbstentfaltung ins Verhältnis setzen zu den Anforderungen der Gemeinschaft sich gegenüber fremden Vorstellungen von gemeinsch"/>
        <s v="Rolle des Menschen in der Natur Die Schüler beschreiben den Bau und die Funktionen von Organen und Organsystemen des eigenen Körpers. Unter dem Gesichtspunkt der eigenen Gesundheit bewerten sie verschiedene Verhaltensweisen und Umweltbedingungen. Sie lern"/>
        <s v="im Sinne einer nachhaltigen Entwicklung aus ökologischer, ökonomischer und sozialer Perspektive bewerten z. B. Veredelung von Nahrungsmitteln, Abfallbeseitigung, nachhaltige Abfallvermeidung - Maßnahmen zur Abfallbeseitigung, Mülltrennung und -vermeidung "/>
        <s v="Populationsebene Produzenten, Konsumenten, Destruenten Kohlenstoffkreislauf und Energiefluss Nachhaltigkeit Produzenten, Konsumenten, Destruenten Kohlenstoffkreislauf, Stickstoffkreislauf Nahrungsnetze Trophiestufen SE - Ebene der Organismen Anwendungen d"/>
        <s v="Ebene der Organismen Phänotyp, Genotyp Modifikation Rekombination Mutation Anpassungsmechanismen des menschlichen Immunsystems Proteinbiosynthese Polyphänie, Polygenie Mutationsarten Rekombination von Allelen durch Gentechnik Selektion Migration reprodukt"/>
        <s v="Entscheidungen; B. reflektieren Folgen von Entscheidungen für die Natur, das Individuum und die Gesellschaft; B. reflektieren den Prozess der Bewertung in Bezug auf das Ergebnis und das Verfahren; B. bewerten Verhaltensweisen zur Erhaltung der eigenen Ges"/>
        <s v="ab K unterscheiden zwischen Alltags- und Fachsprache grundsätzlicher/übergeordneter Standard K erklären Sachverhalte aus ultimater und proximater Sicht, ohne dabei unangemessene finale Begründungen zu nutzen E a erläutern an Beispielen, dass Verhalten pro"/>
        <s v="erfolgt in geeigneten Lernsituationen: Die Lernenden können - individuell und in kooperativen Lernformen arbeiten und in diesem Kontext Lernziele formulieren und ihre Lernergebnisse einschätzen Verhaltensregeln festlegen bzw. einhalten und das Verhalten r"/>
        <s v="Anti-Abhängigkeitswerbung Sein: Ich Mensch sein Ethik / Bedürfnisse und Sucht inhaltsbezogene Kompetenzen methodisch-didaktische Hinweise Arten der Sucht Die Schülerinnen und Schüler erläutern die Grenze zwischen normalem und zwanghaftem bzw. abhängigem V"/>
        <s v="des Humanismus kulturelle Evolution - Sprache, Kulturen Verhalten g g Beurteilen der Folgen menschlicher Eingriffe in Ökosysteme Wechselwirkung zwischen Biosphäre und den anderen Sphären der Erde Stoffkreislauf und Energiefluss Umweltschutz, Verhalten reg"/>
        <s v="Kompetenzen Fachinterne Bezüge I WM Freiheit und Determination III PM Allgemeine Ethik III WM Gerechtigkeit IV PM Brücken in eine friedliche Zukunft bleibt zunächst leer Freiheit Determinanten des Handelns und Verhaltens Handlungsfreiheit und Willensfreih"/>
        <s v="und Diskursführen versammelt Kompetenzen, die zugleich Gegenstand des Unterrichts sind und die im Folgenden in einem Kompetenzraster entfaltet werden. In unserer Gesellschaft liegt Moral faktisch als gelebte Orientierung an bestehenden Verhaltens-Normen, "/>
        <s v="unterschiedliche Lautstärken und Tonhöhen einfachen Schwingungsbildern zu, beschreiben Schallausbreitung mithilfe eines einfachen Teilchenmodells, nennen das Gehirn als Ort, in dem Wahrnehmung entsteht. beschreiben, dass Wahrnehmung im Gehirn entsteht und"/>
        <s v="und bei der Entfaltung der eigenen sexuellen Identität hilfreich sein. Ziel sexualpädagogischen Handelns sollte es sein, den Kindern und Jugendlichen einen positiven Zugang zur menschlichen Sexualität zu vermitteln, ein verantwortliches Verhalten im Sinne"/>
        <s v="fremden moralischen Wertungen argumentativ verhalten eigene Ansprüche auf Selbstentfaltung ins Verhältnis setzen zu den Anforderungen der Gemeinschaft sich gegenüber fremden Vorstellungen von gemeinschaftlichem Leben argumentativ verhalten sich argumentat"/>
        <s v="und nicht erneuerbare Ressourcen Ökosysteme Bevölkerungswachstum nachhaltige Artennutzung natürliche Ressourcen persönlicher Material- und Energieverbrauch Schutz menschlicher Populationen Lebensqualität Nahrungsmittelerzeugung Nahrungsmittelverteilung En"/>
        <s v="der Lebewesen Die Schüler lernen, dass biologische Systeme dynamisch sind. Sie erkennen, dass der Mensch sich als biologisches und gesellschaftliches Wesen entwickelt. Die Schüler stellen an Beispielen die Bedeutung von Verhaltensweisen dar und beschreibe"/>
        <s v="Rahmenthemen Jahrgangsstufe Lernen, Wahrnehmung und Verhalten Entwicklung und Verantwortung Leistungsfähigkeit durch energiereiche Stoffe Immunität und Immunisierung Zusammenhänge im Ökosystem Leben auf der Erde - woher, wohin / Lernen, Wahrnehmung und Ve"/>
        <s v="Phänotyp, Genotyp Modifikation Rekombination Mutation Anpassungsmechanismen des menschlichen Immunsystems Proteinbiosynthese Polyphänie, Polygenie Mutationsarten Rekombination von Allelen durch Gentechnik Selektion Migration reproduktive Fitness proximate"/>
        <s v="Evolutionsprozesse: z. B. Überzüchtung, Veränderung des Genpools, Sozialdarwinismus B Lernbereich : Verhaltensökologie - Evolution und Angepasstheit von Verhalten ca. Std. Kompetenzerwartungen Die Schülerinnen und Schüler ... erklären das Auftreten versch"/>
        <s v="Mensch unterscheiden der Bedeutung des Neugierverhaltens nachgehen mögliche Zusammenarbeit mit dem Fach Biologie Modelle des menschlichen und tierischen Gehirns vergleichen - Was lerne ich, um mit anderen vom auf das Verhalten zielenden Lernleben zu könne"/>
        <s v="und Schüler sowie Lehrkräfte entlasten. Dazu werden neben dem Unterricht in Regelklassen eigene Lerngruppen für Schülerinnen und Schüler mit starken Auffälligkeiten in den Bereichen Sprache oder Lernen oder Auffälligkeiten im Verhalten gebildet. In inklus"/>
        <s v="Schülerinnen und Schüler sowie Lehrkräfte entlasten. Dazu werden neben dem Unterricht in Regelklassen eigene Lerngruppen für Schülerinnen und Schüler mit starken Auffälligkeiten in den Bereichen Sprache, Lernen oder Auffälligkeiten im Verhalten gebildet. "/>
        <s v="Schüler sowie Lehrkräfte entlasten. Dazu werden neben dem https://ges.engagement-global.de/orientierungsrahmen.html Unterricht in Regelklassen eigene Lerngruppen für Schülerinnen und Schüler mit starken Auffälligkeiten in den Bereichen Sprache oder Lernen"/>
        <s v="Beispiele Kennen von Merkmalen und Lebenserscheinungen der Lurche typische Merkmale feuchte, drüsenreiche Haut, wechselwarme Körpertemperatur, Feuchtlufttier Angepasstheit an den Lebensraum Hinführung EF Struktur und Funktion, Angepasstheit Körperbedeckun"/>
        <s v="Tieren oder Samenpflanzen, beschreiben die Fortpflanzung bei Tieren und Samenpflanzen, nutzen Messvorschriften, entwickeln Messvorschriften z. B. Reaktionsgeschwindigkeit, Körpertemperatur, Körpergewicht, Baumhöhe, Volumen eines Kiesels, nennen eigene Han"/>
        <s v="fördern die Identifikation mit der Schule, die Schaffung neuer Lernräume und die Öffnung der Schule in die Region. Toleranz, Transparenz, Verlässlichkeit sind handlungsleitende Prinzipien schulischer Arbeit. Regeln und Normen des Verhaltens in der Schule "/>
        <s v="und benennen und deren Funktionen erläutern. UF das Prinzip der Fortpflanzung bei Pflanzen und Tieren vergleichen und Gemeinsamkeiten erläutern. UF Erkenntnisgewinnung Die Schülerinnen und Schüler können ... aufgrund von Beobachtungen Verhaltensweisen in "/>
        <s v="verschiedenen Zellen eine übergeordnete Funktion ermöglicht wird. Sie verstehen, wie über das Schlüssel-Schloss-Prinzip Kommunikation ermöglicht wird. Sie erkennen die individuelle und gesellschaftliche Bedeutung von Impfungen und die Notwendigkeit, durch"/>
        <s v="religiöse Orte, o ritueller Handlungen und Vorschriften, erklären den Zusammenhang der jeweiligen Religion mit ihren Festen. Interpretation der Erlebnisqualität und des Sinns von Ruhetagen, gemeinsamen rituellen Handlungen, traditionellen Festverläufen, r"/>
        <s v="Austausch von Stoffen durch die Plazenta Empfängnisregulation: verschiedene Methoden mit gesundheitlichen und ethischen Aspekten ungewollte Schwangerschaft, Schwangerschaftsabbruch, unerfüllter Kinderwunsch Schutz vor sexuell übertragbaren Erkrankungen u."/>
        <s v="von Unsicherheiten, Verhalten aus Angst, Gruppenzwang Erscheinungsformen Ausgrenzung, Diskriminierung, Gewalt Erfahrungen aus dem Schulalltag Grenzen der Toleranz Bedeutung der Gleichgültigkeit in der Gesellschaft, Ignoranz im unmittelbaren Umfeld Intoler"/>
        <s v="OS-VA OS-VA OS-VA OS-VA OS-GV OS-GV OS-GV OS-GV Artbildung Wie konnte alles entstehen Die Bildung von Arten erklären Wie kann die Entstehung von Arten erklärt werden Wie kann man das Verhalten von Tieren erklären Evolutionsfaktoren Artbildung Synthetische"/>
        <s v="Kompetenzerwartungen Die Schülerinnen und Schüler ... beurteilen ihre eigenen Entscheidungen kritisch mit Blick auf die Rationalität. Dabei erkennen sie, dass Menschen oft nur beschränkt rational entscheiden und sich in ihrem Verhalten systematisch beeinf"/>
        <s v="Beispielen, dass Verhalten proximate und ultimate Ursachen hat und unterscheiden kausale und funktionale Erklärungen für Verhalten, d adaptiver Wert, reproduktive Fitness d beschreiben an einem Beispiel den adaptiven Wert von Verhalten und die Bedeutung f"/>
        <s v="erläutern an Beispielen, dass Verhalten proximate und ultimate Ursachen hat ... K unterscheiden zwischen funktionalen und kausalen Erklärungen E c E a ... und unterscheiden kausale und funktionale Erklärungen für Verhalten stellen Koevolution als wechsels"/>
        <s v="einem Beispiel rechtliche und soziale Besonderheiten gesellschaftlicher Rollenbilder im zeitlichen Wandel analysieren. werten unterschiedliche Lebensläufe und -entwürfe nach verschiedenen Kriterien aus und erkennen sowie bewerten Faktoren für die Veränder"/>
        <s v="verschiedener Einstellungen gefördert. Prävention und Gesundheitsförderung PG Traditionell kommt dem Fach Biologie eine wichtige Rolle bei den Themen Prävention und Gesundheitsförderung zu. Darunter wird nicht nur die Vermeidung von gesundheitsschädlichem"/>
        <s v="beschränkt rational entscheiden und sich in ihrem Verhalten systematisch beeinflussen lassen. analysieren unternehmerische und politische Maßnahmen aus verhaltensökonomischer Perspektive. Dabei diskutieren sie, inwieweit es ethisch vertretbar ist, durch v"/>
        <s v="Kl. , LB GEO, Kl. , LB VK Gesundheit und Soziales, LB Recherche und Präsentation mit digitalen und traditionellen Medien Nutzung von EF Nutzung von Lernsoftware und Datenbanken Beurteilen menschlicher Verhaltensweisen hinsichtlich der Ausbreitung von Kran"/>
        <s v="die Gegenseite damit konfrontieren. H: sich im Sinne eines Perspektivwechsels in die Situation, die Interessen und die Denkweisen anderer Menschen versetzen, diese Interessen und Denkweisen simulativ vertreten und das eigene Verhalten in der Rolle reflekt"/>
        <s v="globaler Einfluss Sek I - SE Nachhaltigkeit bedeutet, ein Ökosystem zu nutzen, ohne die Existenzgrundlage des Menschen zu zerstören. erklären Nachhaltigkeit als die Bewahrung der natürlichen Regenerationsfähigkeit der Biosphäre. beschreiben Verhaltensweis"/>
        <s v="Lernbereich : Ökosystem Mensch ca. Std. Kompetenzerwartungen Die Schülerinnen und Schüler ... beschreiben Wechselbeziehungen zwischen dem Menschen und anderen Lebewesen, die auf und im menschlichen Körper leben, um Maßnahmen und Verhaltensweisen für eine "/>
        <s v="Wandel Biologie LK Inhalte / Basisbegriffe Verbindliche Kompetenzerwartungen Vorschläge und Hinweise E Arten verändern sich E Das Verhalten von Tieren ist Ergebnis von Evolution. Die Schülerinnen und Schüler a erworbenes Verhalten, angeborenes Verhalten a"/>
        <s v="Menschen: z. B. Rodung, Ackerbau, Viehzucht Grenzen und Gefahren des Eingriffs in natürliche Evolutionsprozesse: z. B. Überzüchtung, Veränderung des Genpools, Sozialdarwinismus B Lernbereich : Verhaltensökologie - Evolution und Angepasstheit von Verhalten"/>
        <s v="Bakterien und Resistenzen von Pflanzenschädlingen gegen Pestizide Evolution - Leben ist in ständigem Wandel Biologie LK Inhalte / Basisbegriffe Verbindliche Kompetenzerwartungen Vorschläge und Hinweise E Arten verändern sich E Das Verhalten von Tieren ist"/>
        <s v="den übergreifenden Bildungs- und Erziehungszielen Das Fach Ethik steht in enger Verbindung mit vielen der fächer- und schulartübergreifenden Erziehungsziele. Werteerziehung Im Nachdenken etwa darüber, wie eigene Werthaltungen das Handeln und Verhalten bes"/>
        <s v="fairen Entwicklung des Weltmarktes, Schuldenentwicklung und -erlass Bezug zum eigenen Konsumverhalten Entwicklungshilfe, friedenssichernde Maßnahmen Internetrecherche Expertengespräch Bildung für nachhaltige Entwicklung Mehrperspektivität Wahlbereich : Ze"/>
        <s v="uns fordern. Globalgeschichtliche Perspektiven fördern ein Tiefenverständnis für die Entwicklung weltweiter ökonomischer und politischer Strukturen. Sie schaffen einen Zugang zur historischen und zukünftigen Dimension der Globalisierung. Sie ermöglichen E"/>
        <s v="- Lebensgestaltung - Grenzerfahrungen Sachkompetenz Die Schülerinnen und Schüler beschreiben Träume, Sinnsuche und Glück in ihrer Bedeutung für das eigene Leben, vergleichen Konzepte der Lebensgestaltung u. a. Eudaimonie, Religiosität, beschreiben Verhalt"/>
        <s v="und Begründungen von Andersdenkenden aufgreifen und kommentieren. H: sich im Sinne eines Perspektivwechsels in die Situation, Interessen und Denkweisen anderer Menschen versetzen, diese Interessen und Denkweisen simulativ vertreten, das eigene Verhalten i"/>
        <s v="Mausklick auf das jeweilige Symbol werden die Verweise im Browser -detaillierter dargestellt dies wird in der Abbildung nicht veranschaulicht: sowohl individuelle als auch gesellschaftliche Dilemmasituationen Gefangenendilemma, Trittbrettfahrersituation e"/>
        <s v="der wissenschaftlichen Psychologie Die Schülerinnen und Schüler erwerben Grundkenntnisse, wie die Psychologie als Wissenschaft systematisch zu Erkenntnissen gelangt, und setzen sich mit der Pluralität verschiedener Erklärungsansätze für menschliches Erleb"/>
        <s v="menschlichen Handelns Unterschied zwischen Tier und Mensch, zwischen Verhalten und Handeln; der Menschein bewußt handelndes Wesen oder ein von Gewohnheit bestimmtes Wesen Kräfte und Mächte, die menschliches Handeln in bloßes Verhalten umwandeln; Problem d"/>
        <s v="Aquarianer Körpergliederung, Körperbedeckung - Fortbewegung Arbeiten mit der Lupe und zeichnerisches Darstellen Betrachten von Schuppen Kiemen - Atmung Fried- und Raubfische - Ernährung Fortpflanzung und Entwicklung geschlechtliche Fortpflanzung äußere Be"/>
        <s v="Wirbeltieren unter verschiedenen Aspekten z. B. Fortbewegung, Körperoberfläche, Temperaturregulation, Atmung, Reproduktion, Überwinterungsstrategien Vergleich mit Strukturen und Funktionen technischer Entwicklungen, Bionik z. B. Körperformen, Flügel Fortp"/>
        <s v="LK Inhalte / Basisbegriffe Verbindliche Kompetenzerwartungen Vorschläge und Hinweise E Arten verändern sich E Das Verhalten von Tieren ist Ergebnis von Evolution. Die Schülerinnen und Schüler a erworbenes Verhalten, angeborenes Verhalten a beschreiben an "/>
        <s v="Sach- und Methodenkompetenz, gewinnen daraus Kriterien für die Beurteilung von Erkenntnisansprüchen Selbst- und Sachkompetenz. Inhalte Hinweise zum Unterricht Wege philosophischen Denkens Was heißt Denken den Methodengedanken in der Wegmetapher Wie verhal"/>
        <s v="von Insekten beschreiben sie Entwicklungsformen von Lebewesen. Entwickeln eines Grundverständnisses für den eigenen Körper und die Rolle des Menschen in der Natur Die Schüler beschreiben an bekannten Sachverhalten Auswirkungen von Verhaltensweisen des Men"/>
        <s v="Kompetenzen, weiterführende Impulse zu möglichen Experimenten und weisen auf konkrete Bezüge zu Basiskonzepten hin. Die Operatoren geben eine Hilfestellung für die unterrichtliche Planung. Operatoren formulieren eindeutige Arbeitsanweisungen und damit bes"/>
        <s v="in die Natur und den sich dadurch verändernden abiotischen Faktoren her. Aus den damit verbundenen Auswirkungen auf die Lebensgemeinschaft entwickeln sie Schutzmaßnahmen oder vollziehen diese nach und reflektieren ihr eigenes Verhalten. Inhalte zu den Kom"/>
        <s v="Erdfrühzeit bis zur Erdneuzeit gewinnen EF Zeit GEO, Kl. , LB Kennen der Stellung des Menschen im System der Organismen EF Vielfalt Vergleich Mensch mit Menschenaffen Anatomie Schädel, Extremitäten, Wirbelsäule Verhalten Lernverhalten, Kommunikation, Aggr"/>
        <s v="ihrer eigenen Erziehung, Bildung oder Kultur zu hinterfragen. beurteilen historische Jugend- und Erziehungskulturen, indem sie z. B. Leitbilder, die einer Epoche oder einer jugendlichen Gegenkultur zugrunde liegen, überprüfen sowie genderspezifische Verha"/>
        <s v="Christian angewandt werden. Diese Darstellung ist die Basis für die weiterführende Auseinandersetzung mit dem Normbegriff, der in seiner historischen, gesellschaftlichen und kulturellen Dimension vorgestellt werden soll. Beim Transfer auf das Verhalten vo"/>
        <s v="wieder abgeben. Produzenten Konsumenten Destruenten OS - SE Die Energiemenge, die ein Organismus Individuum in Lebensprozesse investieren kann, ist beschränkt. beschreiben unterschiedliche Strategien der Energienutzung bei Organismen. Kosten-Nutzen-Analys"/>
        <s v="Evolution homologe Organe analoge Organe Übergangsformen Nachtigall-Sprosser, Fitis-Zilpzalp, Esel-Pferd Chimärenbildung: Löger, Schiege, Maultier z. B. Birkenspanner Industriemelanismus Würdigung der wissenschaftlichen Leistungen MD evolutionäre Bedeutun"/>
        <s v="Die Schülerinnen und Schüler erläutern die Grenze zwischen normalem und zwanghaftem bzw. abhängigem Verhalten, vergleichen stoffgebundene und nicht stoffgebundene Süchte bzw. Abhängigkeiten bzgl. ihrer Folgen für die Abhängigen. Beurteilen des Verhaltens "/>
        <s v="ihrem Verhalten systematisch beeinflussen lassen. analysieren unternehmerische und politische Maßnahmen aus verhaltensökonomischer Perspektive. Dabei diskutieren sie, inwieweit es ethisch vertretbar ist, durch verhaltensökonomische Maßnahmen Verhaltenswei"/>
        <s v="mit dem Fach Biologie Modelle des menschlichen und tierischen Gehirns vergleichen - Was lerne ich, um mit anderen vom auf das Verhalten zielenden Lernleben zu können begriff ausgehend, Einstellungen und Verhaltensweisen auf ihren Sinn hin betrachten Zielv"/>
        <s v="zu lernen und selbstständig anzuwenden. Grundsätze Zeitrichtwerte Klassenstufe Lernbereich : Vom Nachdenken über die Welt Ustd. Lernbereich : Mythen und religiöse Geschichten Ustd. Lernbereich : Der Mensch und sein soziales Verhalten Ustd. Lernbereich : M"/>
        <s v="Globalisierung, der Anwendung medizinisch-technischer Entwicklungen oder des Verbrauchs natürlicher Ressourcen, erfordern reflektiertes und verantwortungsbewusstes Bewerten und Handeln. Zu dessen Anbahnung trägt der Ethikunterricht bei, indem er das eigen"/>
        <s v="Zahlreiche Themen geben Anlass, Sachverhalte unter biologischen und außerfachlichen Gesichtspunkten zu bewerten. Die Schülerinnen und Schüler bewerten die gesellschaftlichen Auswirkungen menschlichen Handelns und werden dadurch in die Lage versetzt, ihr V"/>
        <s v="der Katastrophenvorsorge bei Naturrisiken, beurteilen Lösungsstrategien zur Verlangsamung der globalen Erwärmung und zur Sicherung und Finanzierbarkeit der Energieversorgung, erörtern auf lokaler Ebene Vorsorgemaßnahmen vor Extremwetterereignissen, erörte"/>
        <s v="Leben in extremen Lebensräumen beschreiben. UF die Angepasstheit von Tieren bzw. Pflanzen und ihren Überdauerungsformen an extreme Lebensräume erläutern. UF Erkenntnisgewinnung Die Schülerinnen und Schüler können ... aufgrund von Beobachtungen Verhaltensw"/>
        <s v="Samenpflanzen, nutzen Messvorschriften, entwickeln Messvorschriften z. B. Reaktionsgeschwindigkeit, Körpertemperatur, Körpergewicht, Baumhöhe, Volumen eines Kiesels, nennen eigene Handlungsmöglichkeiten für nachhaltiges und gesundheitsbewusstes Verhalten "/>
        <s v="Oberflächenvergrößerung, Blutkreislauf, menschliches Skelett, Gegenspielerprinzip Basiskonzept Entwicklung Baustoffe, Gefahren des Rauchens Umgang mit Fachwissen Die Schülerinnen und Schüler können ... Skelett und Bewegungssystem in wesentlichen Bestandte"/>
        <s v="in wesentlichen Bestandteilen beschreiben. UF am Beispiel unterschiedlicher Phänomene Wirkungen von Kräften beschreiben und erläutern. UF das physikalische Verständnis von Kräften von einem umgangssprachlichen Verständnis unterscheiden. UF, UF das richtig"/>
        <s v="Förderung eines kritisch-reflektierten Umgangs bzgl. verschiedener Formen antisozialen Verhaltens im Kontext gesellschaftlicher Normen und Werte. D: Förderung eines kritisch-reflektierten Umgangs bzgl. eines Zusammenhangs von digitalen Medien und der Ents"/>
        <s v="Weltgesellschaft von uns fordern. Globalgeschichtliche Perspektiven fördern ein Tiefenverständnis für die Entwicklung weltweiter ökonomischer und politischer Strukturen. Sie schaffen einen Zugang zur historischen Dimension der Globalisierung und ermöglich"/>
        <s v="Form wieder abgeben. Produzenten Konsumenten Destruenten OS - SE Die Energiemenge, die ein Organismus Individuum in Lebensprozesse investieren kann, ist beschränkt. beschreiben unterschiedliche Strategien der Energienutzung bei Organismen. Kosten-Nutzen-A"/>
        <s v="Thun erläutern und sich mit den Möglichkeiten und Grenzen des Modells auseinandersetzen Reflexions- und Urteilskompetenz D Funktion von Äußerungen , , gesprächshemmendes Verhalten und Probleme in Kommunikationssituationen analysieren sowie gesprächsförder"/>
        <s v="Themenschwerpunkt : Was wei der Mensch von sich - Stunden Teilthemen Inhaltsaspekte TT .: Was unterscheidet den Menschen vom Tier Vernunft, Geist, Seele, Leib, Bewusstsein Sprache, Kommunikation, Zeichen, Daten Handeln, Verhalten, Instinkt, Widerfahrnis, "/>
        <s v="europischen Nationen Anthropologie Kulturphilosophie Sozialkunde Philosophie Themen Hinweise/Aspekte/Beispiele Themen Demokratisches Selbstverstndnis Historisch-ideengeschichtliche Beitrge Locke, Hobbes, Rousseau, Montesquieu, Madison Staats- und Rechtsph"/>
        <s v="Die Schülerinnen und Schüler können die Natur als Lebensraum erfassen und unterschiedliche Formen des Umgangs des Menschen mit der Natur darstellen und deren Folgen abschätzen. Sie können Gründe für dieses Verhalten erläutern und dieses bewerten. Sie könn"/>
        <s v="Knochen, Brustbeinkamm, Flügel Atmungsorgan - Fliegen Lunge mit Luftsäcken Schnabelform - Nahrung Formen Fortpflanzung der Vögel EF Fortpflanzung Haushuhn innere Befruchtung Bau des Hühnereies Untersuchen eines Hühnereies SE Kennen ausgewählter Verhaltens"/>
        <s v="Besonderheiten im Grundbauplan, bei der Fortpflanzung und im Stoffwechsel beschreiben. erklären die Bedeutung von Mikroorganismen beim Lebensmittelverderb anhand des Stoffwechsels, der Fortpflanzung und der Ausbreitung von Mikroorganismen und leiten darau"/>
        <s v="Sie liefern vertiefende Erläuterungen zu Kompetenzen und weisen auf konkrete Bezüge zu Basiskonzepten hin. Die Operatoren geben eine Hilfestellung für die unterrichtliche Planung. Operatoren formulieren eindeutige Arbeitsanweisungen und damit beschreibbar"/>
        <s v="für Stoffe. Basiskonzepte der Physik Materie Die Schülerinnen und Schüler F beschreiben grundlegende Merkmale eines Körpers. Wechselwirkung F beschreiben die grundlegenden Phänomene des Magnetismus. Inhalte Kompetenzerwartungen Die Schülerinnen und Schüle"/>
        <s v="der normativen Ethik auseinander. Diese nämlich hat im Gegensatz zur deskriptiven Ethik, die es bei der Beschreibung bestehender Wert- und Rechtsordnungen und deren Genese belässt, die dringliche Aufgabe, moralisch relevante Verhaltensweisen und Einstellu"/>
        <s v="Psychologie, Pädagogische Psychologie, Wirtschaftspsychologie mit ihren konkreten wissenschaftlichen Forschungsprogrammen. Dimension III - Alltags- und Erfahrungsbezug Eine Besonderheit des Psychologieunterrichts besteht darin, dass der Gegenstandsbereich"/>
        <s v="Phänomen persönliche Konsistenz und Commitment Kg Themenbereiche Konkrete Gegenstände und ihre paradigmatische Zuordnung Abk.: Tf - Tiefenpsychologie, Gz - Ganzheitspsychologie, Bh - Behaviorismus, Pb - Psychobiologie, Kg - Kognitivismus Prosoziales Verha"/>
        <s v="und Schüler ... Verbindliche Fachinhalte Jahrgangsstufen / Sek. I - IK Informationsaufnahme ist die Grundlage für Kommunikation. beschreiben die Informationsaufnahme als Grundlage für die Reaktion von Lebewesen auf ihre Umwelt. Verhalten eines Wirbeltiere"/>
        <s v="inneren Vorstellung zukünftiger Zustände auszurichten. Es sind insbesondere zwei antizipative Leistungen, die Voraussetzungen für solches Verhalten sind: die Fähigkeit, mehr oder weniger weit in der Zukunft liegende Effekte des eigenen Verhaltens zu antiz"/>
        <s v="Schüler erkennen, die Eigenart nachdenklichen Wahrnehmens und Handelns - Sachund Selbstkompetenz, erkennen in der Suspendierung von Handlungszwängen eine Bedingung des Denkens - Methoden- und Sachkompetenz, erfahren Denken als Bereicherung der Verhaltens-"/>
        <s v="und Anregungen - z. B. Hirndoping, Prothesen, Cochleaimplantat Psychoneuroimmunologie Wechselwirkung zwischen Nerven-, Immun- und Hormonsystem Placebo-Effekt Hypothalamus-Hypophysen-Nebennieren-Achse Hinweise und Anregungen - z. B. Selbstwirksamkeit, Resi"/>
        <s v="und Risiken der Hirnforschung Hinweise und Anregungen - z. B. Hirndoping, Prothesen, Cochleaimplantat Psychoneuroimmunologie Wechselwirkung zwischen Nerven-, Immun- und Hormonsystem Placebo-Effekt Hypothalamus-Hypophysen-Nebennieren-Achse Hinweise und Anr"/>
        <s v="Kultur und Religion, ein solides Wissen über das Eigene, das die Angst vor dem Fremden zu überwinden hilft. Im nächsten Schritt in den Jahrgangsstufen / geht es darum, kulturell geprägtes Verhalten von Menschen zu verstehen und zu erklären. Angestrebt wir"/>
        <s v="Weg zur willentlichen Verhaltenssteuerung darin, dass einige Lebewesen die Fähigkeit entwickelten, ihr Verhalten an der inneren Vorstellung zukünftiger Zustände auszurichten. Es sind insbesondere zwei antizipative Leistungen, die Voraussetzungen für solch"/>
        <s v="Verantworten Inhalte: Die Unausweichlichkeit, sich entscheiden zu müssen Beispiele aus dem Alltag; besondere Lebenssituationen, zB : Berufswahl, Partnerwahl, Wehrdienst - Wehrdienstverweigerung Faktoren menschlichen Handelns Unterschied zwischen Tier und "/>
        <s v="Regeln notwendig bzw. sinnvoll Vermeidung von Konflikten durch Regeln Regeln im Schulalltag Pflichten und Rechte, Hausordnung, Schulkonferenz, Schülersprecher, Streitschlichter Pro- und Kontra-Diskussion W t i ti eigener Umgang mit Regeln Verhaltensweisen"/>
        <s v="gemäß bestimmter moralischer Anforderungen einer Gesellschaft sichern könnte. Ethikunterricht kann und wird durch die besonders ausgeprägte Beschäftigung mit Werten, Einstellungen und Handlungsoptionen bei Schülerinnen und Schülern zur Prüfung des eigenen"/>
        <s v="Körpertemperatur Lebensraum gleichwarme Tiere Betrachten von Fellproben mit der Lupe Skelett - Lebensraum Gliedmaßenskelett Gebiss - Nahrung Lungen - Landleben Kennen der Fortpflanzung der Säugetiere innere Befruchtung Einblick gewinnen in Verhaltensweise"/>
        <s v="unvollständige Metamorphose bei Insekten - Wechselwirkung von Lebensbedingungen und Fortpflanzungsrate - Bedeutung der Honigbiene und anderer Insekten für den Menschen - Population, Massenvermehrung von Insekten, Schädlingsbekämpfung, Nahrungsbeziehungen "/>
        <s v="Lebendigen TF : Evolutive Zeiträume sind unvorstellbar und werden durch Modelle erfassbar. TF : Entwicklung von Ökosystemen TF : Phasen der menschlichen Entwicklung; Befruchtung als Beginn der Individualentwicklung. TF : Verhalten und Anatomie des Mensche"/>
        <s v="von Einstellungen explizite und implizite Maße von Einstellungen o Messung expliziter Maße mittels Tests und das Problem der sozialen Erwünschtheit o Impliziter Assoziationstest IAT nach Greenwald et al. Einstellungen und Verhalten Korrespondenz zwischen "/>
        <s v="Beispiele z. B. vollkommene Verwandlung bei Amphibien, Entwicklung eines Kükens zu beschreiben. beobachten Beispiele innerartlicher und zwischenartlicher Kommunikation bei Wirbeltieren - auch am Original - und zeigen die Bedeutung von Verhalten z. B. Sozi"/>
        <s v="Verantwortlichkeit ihr gegenüber zu entwickeln und zu zeigen, bedeutet aktiv für sie eintreten zu müssen. Indem wir darauf achten im Umgang mit der Natur Ressourcen zu schonen und aus unserem Verhalten auftretende Schäden zu minimieren treten wir für das "/>
        <s v="Verantwortlichkeit ihr gegenüber zu entwickeln und zu zeigen, bedeutet aktiv für sie eintreten zu müssen. Indem wir darauf achten im Umgang mit der Natur Ressourcen zu schonen und aus unserem Verhalten auftretende Schäden zu minimieren, treten wir für das"/>
        <s v="- Sachkompetenz. werden aufmerksam auf die Verantwortung, die sie tragen - Selbst- und Sozialkompetenz. erkennen Tier und Natur als Träger von Rechten - Sachkompetenz. verstehen, dass Verantwortlichkeit ein Grundwert im Verhalten des Menschen zur Natur is"/>
        <s v="Kg Themenbereiche Konkrete Gegenstände und ihre paradigmatische Zuordnung Abk.: Tf - Tiefenpsychologie, Gz - Ganzheitspsychologie, Bh - Behaviorismus, Pb - Psychobiologie, Kg - Kognitivismus Prosoziales Verhalten und Altruismus Prozessmodell hilfreichen V"/>
        <s v="zwei antizipative Leistungen, die Voraussetzungen für solches Verhalten sind: die Fähigkeit, mehr oder weniger weit in der Zukunft liegende Effekte des eigenen Verhaltens zu antizipieren und zu bewerten und das Verhalten an solchen mental repräsentierten "/>
        <s v="nach P. Watzlawick oder nach F. Schulz von Thun erläutern und sich mit den Möglichkeiten und Grenzen des Modells auseinandersetzen Reflexions- und Urteilskompetenz D Funktion von Äußerungen , , gesprächshemmendes Verhalten und Probleme in Kommunikationssi"/>
        <s v="und stoffungebundene Süchte, unterscheiden legale und illegale Suchtmittel, geben an, dass riskantes Verhalten in Bezug auf Suchtstoffe und suchtpotente Medien sich schädigend auswirken kann, bewerten Komatrinken als Beispiel für riskantes Verhalten in Be"/>
        <s v="z. B. Hirndoping, Prothesen, Cochleaimplantat Psychoneuroimmunologie Wechselwirkung zwischen Nerven-, Immun- und Hormonsystem Placebo-Effekt Hypothalamus-Hypophysen-Nebennieren-Achse Hinweise und Anregungen - z. B. Selbstwirksamkeit, Resilienz Verhalten G"/>
        <s v="ist in der Bundesrepublik Deutschland die Basis gesellrter sozialer Gerechtigkeit. Dabei ist die europäische Integration von besonderer Bedeutung okratischen Gestaltungsprozess als auch für die Entwicklung des Sozialstaates. suchung von demokratiefeindlic"/>
        <s v="Verhaltens zu antizipieren und zu bewerten und das Verhalten an solchen mental repräsentierten Zielzuständen auszurichten sowie die Fähigkeit, zukünftige Veränderungen der eigenen Bedürfnislage zu antizipieren und bei der Ausrichtung des Verhaltens an sol"/>
        <s v="Schüler... ./ Jahrgang Jahrgang Jahrgang . Jahrgang Sek I - IK Informationsaufnahme ist die Grundlage für Kommunikation. beschreiben die Informationsaufnahme als Grundlage für die Reaktion von Lebewesen auf ihre Umwelt. Verhalten eines Wirbeltieres Sek I "/>
        <s v="Lernens wahrnehmen und einschätzen und auf die Vorstellungen vom eigenen Leben in der Zukunft Inhalte Methodische Hinweise voneinander und füreinander des Verhaltens von Säuglingen und Kleinkindern befragen, welchen Anteil angeborenes Verhalten hat - Habe"/>
        <s v="noch verdienen wir Lob oder Tadel für sie. Im Laufe der Evolution bestand der entscheidende Schritt auf dem Weg zur willentlichen Verhaltenssteuerung darin, dass einige Lebewesen die Fähigkeit entwickelten, ihr Verhalten an der inneren Vorstellung zukünft"/>
        <s v="mit Menschen zusammenleben, denen sie vertrauen und die ihnen vertrauen - Selbst- und Sozialkompetenz. erkennen, dass das Leben in solchen Verhältnissen berechtigte Erwartungen an das eigene Verhalten und an das Verhalten der anderen begründet - Selbstund"/>
        <s v="ehrliche Sprache Sollen: Moralisches Handeln Werte und Normen Ethik / Wahrheit und Ehrlichkeit - Lüge inhaltsbezogene Kompetenzen methodisch-didaktische Hinweise erklären die Folgen von Lügen, erklären Alternativen zu Lügen, beschreiben typisches Verhalte"/>
        <s v="bei noch so vielen Mängeln - immer noch jeder anderen Form menschlicher Gemeinschaft vorzuziehen ist Die Anfälligkeit derJugendlichen für Ideologien zeigt, daß der Blick für diesen Sachverhalt getrübt ist Soziales Verhalten, rechten Gebrauch von Freiheit "/>
        <s v="Artenschutz GEO, Kl. , LB Kennen von EF am Beispiel der Fische Lernkompetenz Begriffsverständnis: EF EF als Lernhilfe EF Vielfalt Vorhandensein von Gemeinsamkeiten und Unterschieden in den Merkmalen Bau, Funktion, Verhalten von Lebewesen sowie deren Leben"/>
        <s v="Sinnessysteme z. B. Wahrnehmungsmittel nach Sherrington Wahrnehmungsablauf Bottom-up- und Top-down-Prozesse Kompetenzen gA Kompetenzen eA Fachinterne Bezüge M Paradigmen S. Soziale Kognition S. Soziale Wahrnehmung S. Einstellungen und Einstellungsänderung"/>
        <s v="von den legalen Suchtmitteln Alkohol und Nikotin ausgehenden Gefahren, referieren über die gesetzlichen Regelungen zum Jugendschutz, beschreiben Nicht-stoffgebundene Abhängigkeiten als Suchterkrankungen und nennen Beispiele, erörtern Handlungsoptionen zur"/>
        <s v="Raumplanung n EK: Ursachen und Folgen von Migration, Lebenslagen, Verstädterung LF III. Städtische Lebenswelten n SK: Vielfalt familiärer Lebensformen, Familienpolitik LF I. Familie in Gesellschaft und Staat n EK: generatives Verhalten LF III. Bevölkerung"/>
        <s v="und Interkulturelle Bildung finden hier Berücksichtigung. Themen Inhalte Unterrichtsanregungen Wasser und Eis gestalten - Küstenformen, z. B. geprägt von Eis, Gezeiten, Meeren und Ozeanen - Küstenschutz und Naturschutzgebiete Maßnahmen und Verhalten - Flü"/>
        <s v="Maße von Einstellungen o Messung expliziter Maße mittels Tests und das Problem der sozialen Erwünschtheit o Impliziter Assoziationstest IAT nach Greenwald et al. Einstellungen und Verhalten Korrespondenz zwischen Einstellungen und Verhalten Modelle der Ei"/>
        <s v="für Mensch und Umwelt erkennen und zur Überwindung soziokultureller und interessenbestimmter Barrieren in Kommunikation und Zusammenarbeit beitragen. Dabei kann Lernenden anhand des Modells nachhaltiger Entwicklung eine Orientierung für das eigene Verhalt"/>
        <s v="Austausch von Körperflüssigkeiten Weiße Blutkörperchen, Antikörper, Lymphknoten Immunisierung Sexuell übertragbare Krankheiten: Syphilis, Tripper, Hepatitis, Herpes, Aids Legale Suchmittel: Alkohol, Nikotin; illegale Suchtmittel Drogen: Cannabis, Haschisc"/>
        <s v="Wissen aus den verschiedenen Bereichen des Behaviorismus und der Humanistischen Psychologie, der Kommunikationspsychologie und der Wirtschaftspsychologie vernetzen und anwenden, den Fall also aus der Sichtweise verschiedener Paradigmen untersuchen. Einord"/>
        <s v="Lernwege und die Ergebnisse ihrer Arbeit. Solch ein Ansatz erfordert eine Unterrichtsgestaltung, in der eigene Lernwege bewusst und kritisch-konstruktiv zum Gegenstand der Diskussion werden. Auf diese Weise werden Einstellungen und Verhaltensweisen geförd"/>
        <s v="aufmerksam darauf, dass sie mit Menschen zusammenleben, denen sie vertrauen und die ihnen vertrauen - Selbst- und Sozialkompetenz. erkennen, dass das Leben in solchen Verhältnissen berechtigte Erwartungen an das eigene Verhalten und an das Verhalten der a"/>
        <s v="Wünschen entspresowie Fähigkeiten und Möglichkeiten chend zu gestalten des Lernens wahrnehmen und einschätzen und auf die Vorstellungen vom eigenen Leben in der Zukunft Inhalte Methodische Hinweise voneinander und füreinander des Verhaltens von Säuglingen"/>
        <s v="ermöglicht den Gasaustausch. Verdauung, Blutkreislauf und äußere Atmung ermöglichen die Energiebereitstellung. Sek I-SE, Sek I-SE, Sek I-SE, Sek I-SE Lebewesen werden als offene Systeme in einem Fließgleichgewicht beschrieben. Kosten-Nutzen-Analysen von V"/>
        <s v="- die Notwendigkeit der Arbeitsteilung in der Familie beschreiben, - die historische Entwicklung der Arbeitsteilung in der Familie darstellen, - die Vielfalt der landestypisch geprägten familiären Arbeitsteilung vergleichen, - das Verhalten der Familie al"/>
        <s v="Sozialwissenschaften ihre Lernwege und die Ergebnisse ihrer Arbeit. Solch ein Ansatz erfordert eine Unterrichtsgestaltung, in der eigene Lernwege bewusst und kritisch-konstruktiv zum Gegenstand der Diskussion werden. So können Einstellungen und Verhaltens"/>
        <s v="Lebenswelt und der Wissenschaften zentrale Bedeutung zukommt. Die Sicht des Menschen auf die Natur bestimmt weitgehend die Frage nach dem rechten Umgang mit ihr. Dabei wird auch heute noch sein Verhalten der Natur gegenber dadurch beeinflusst, wie in der "/>
        <s v="Dies ist insbesondere der Fall, wenn illegale Suchtmittel konsumiert werden oder wenn durch den Konsum legaler Suchtmittel geltende rechtliche Regelungen zum Beispiel des Jugendschutzgesetzes oder des Nichtraucherschutzgesetzes verletzt werden. Missbräuch"/>
        <s v="informatische Bildung Wahlbereich : Das Bewusste und das Unbewusste Kennen des Einflusses von Bewusstem und Unbewusstem auf das Handeln Handeln als reflektierte und willentliche Tätigkeit: Reflexion, Wille, Planung, Folgenabschätzung unwillkürliches Verha"/>
        <s v="und eines Wildtieres Sinnesleistungen als Grundlage des Informationsaustausches Sender-Empfänger-Modell Hund, Katze Beziehungen zwischen den Vertretern einer Art Rudel, Kooperation, Rangordnung, Aggression, Revier Angepasstheit von Säugetieren an ihre Leb"/>
        <s v="Straßennamen bestimmen mithilfe von Informationsquellen z. B. Karten, Diagramme die Nutzung und Gestaltung eines Raums beschreiben Wechselwirkungen zwischen Mensch und Naturraum erfassen Die Schülerinnen und Schüler können C ihr eigenes Verhalten im Natur"/>
        <s v="aufmerksam, dass Sterben und Tod Grenzen des menschlichen Daseins sind - Selbst- und Sachkompetenz, erfahren, wie Menschen verschiedener Kulturen sich zu Sterben, Tod und zu einem Sein nach dem Tod verhalten Selbst- und Sozialkompetenz Todesdarstellung in"/>
        <s v="Lebenslagen, Verstädterung LF III. Städtische Lebenswelten n SK: Rolle der Frau, des Mannes, Regenbogenfamilien LF I. Familie in Gesellschaft und Staat n EK: Rolle der Frau in verschiedenen Ländern, generatives Verhalten LF III. Bevölkerungsentwicklung n "/>
        <s v="konsumiert werden oder wenn durch den Konsum legaler Suchtmittel geltende rechtliche Regelungen zum Beispiel des Jugendschutzgesetzes oder des Nichtraucherschutzgesetzes verletzt werden. Missbräuchliches Verhalten liegt auch vor, wenn sich das problematis"/>
        <s v="die Basiskonzepte der EPA werden hier zunächst die Kennzeichen des Lebens eingeführt. Reizbarkeit Lebewesen orientieren sich Sich in der Welt zurechtfinden - jeder macht es anders Umweltreize Sinnesorgane der Tiere Verhalten eines Wirbeltieres Kommunikati"/>
        <s v="Wodan, Freyja und Donar, Adam und Eva, Kain und Abel, Turmbau zu Babel, Sintflut, Christophoruslegende Elisabeth von Thüringen regionale Bezüge Collage, Handpuppenspiel, Rollenspiel Lernbereich : Der Mensch und sein soziales Verhalten Ustd. Kennen verschi"/>
        <s v="Symptome gelten als Ausdruck der Unangepasstheit eines Individuums und werden mit der Störung gleichgesetzt. Beim hier beschriebenen Münzverstärkungsplan geht es um operantes Konditionieren. Die Therapie beruht darauf, dass das erwünschte Verhalten die ge"/>
        <s v="psychologische Erkenntnisse sachlogisch und konstruktiv führen und moderieren Grundlegende Wissensbestände - zwei ausgewählte psychische Phänomene Aggression, prosoziales Verhalten, Einstellungen aus der Sicht von drei Paradigmen - Merkmale von Aggression"/>
        <s v="o Messung expliziter Maße mittels Tests und das Problem der sozialen Erwünschtheit o Impliziter Assoziationstest IAT nach Greenwald et al. Einstellungen und Verhalten Korrespondenz zwischen Einstellungen und Verhalten Modelle der Einstellungs-Verhaltens-B"/>
        <s v="und in der Diktatur und bewerten diese M. Kommunikationskompetenz: Sie untersuchen die Lebensbedingungen in unterschiedlichen Gesellschaftsformen und präsentieren ihre Ergebnisse mediengestützt K/. Urteilskompetenz: Sie unterscheiden bei ihrer Beurteilung"/>
        <s v="nennen die prozentualen Anteile der Luftbestandteile, Verbrennung beschreiben die Verbrennung als eine Stoffumwandlung unter Flammenerscheinung, beschreiben Bedingungen für die Entstehung von Bränden, erläutern Methoden der Brandbekämpfung, beschreiben un"/>
        <s v="Wirbeltiere in ihren Lebensräumen Ustd. Lernbereich : Säugetiere - Wirbeltiere in ihren Lebensräumen Ustd. Lernbereiche mit Wahlcharakter Wahlbereich : Vom Probieren zum Experimentieren Wahlbereich : Heim- und Nutztiere Wahlbereich : Verhaltensweisen Klas"/>
        <s v="Nahrung bzw. das Sonnenlicht Lebewesen wandeln Energie um Kohlenhydrate und Fette als Energieträger Lichtenergie als Energiequelle für die Fotosynthese Ökosysteme sind durch Stoffkreisläufe und Energieflüsse gekennzeichnet Einführungsphase Trophiestufen K"/>
        <s v="Wohnumfeld. Sie lernen, sich im Straßenverkehr z. B. zu Fuß, mit dem Fahrrad, mit motorisierten Fahrzeugen oder als Mitfahrende in privaten und öffentlichen Verkehrsmitteln umsichtig und sicherheits- und gefahrenbewusst zu verhalten. Sie erweitern ihre mo"/>
        <s v="oder S. Gesundheitspsychologie oder S. Arbeits- und Organisations-psychologie Keine ergänzende Auswahl vorgesehen. S Sozialpsychologie S. Soziale Kognition S. Soziale Wahrnehmung S. Selbst und Identität S. Einstellungen und Einstellungsänderung S. Antisoz"/>
        <s v="und die Bedeutung des Nervensystems erläutern. UF, UF die Bedeutung der Haut als Sinnesorgan darstellen und Schutzmaßnehmen gegen Gefahren wie UV-Strahlen erläutern. UF, B das Aussehen von Gegenständen mit dem Verhalten von Licht an ihren Oberflächen Refl"/>
        <s v="diesem Modul exemplarisch Formen des Erkenntnisgewinns der kognitivistisch orientierten Psychologie kennen. Die Vertiefung des Paradigmas des Kognitivismus soll dabei entweder anhand des Themas Psychologie der Gruppe oder des Themas Prosoziales Verhalten "/>
        <s v="ist der entscheidende Punkt, dass die Fähigkeit zur Bedürfnisantizipation in Verbindung mit dem Erwerb von Selbstkontrollstrategien die Voraussetzung für eine weitere Stufe der Autonomie bildet. Sie besteht darin, dass das Verhalten nicht mehr nur zum Tei"/>
        <s v="Vertiefung des Paradigmas des Kognitivismus soll dabei entweder anhand des Themas Psychologie der Gruppe oder des Themas Prosoziales Verhalten erfolgen. Kompetenzen Fachinterne Bezüge S. Motivation S. Soziale Wahrnehmung S. Antisoziales Verhalten bleibt z"/>
        <s v="und bei der Ausrichtung des Verhaltens an solchen antizipierten Bedürfnissen wenn nötig aktuelle Bedürfnisse oder emotionale Impulse zu unterdrücken. Die Annahme, dass aktuelle Bedürfnisse aber einen direkteren Einfluss auf unser Verhalten haben, macht ve"/>
        <s v="der Erinnerungskultur diskutieren Beispiele für Opposition und Widerstand: politisch KPD, SPD, militärisch Kreisauer Kreis, Attentat vom Juli , religiös Bekennende Kirche, gesellschaftlich Swing-Jugend, Weiße Rose Vertiefung, z. B.: Stufen abweichenden Ve"/>
        <s v="Kenntnisse, reflektieren die Bedeutung lebender Systeme für gegenwärtige und zukünftige Lebenssituationen, erörtern Handlungsoptionen einer umwelt- und naturverträglichen Teilhabe im Sinne der Nachhaltigkeit, unterscheiden naturwissenschaftliche und ethis"/>
        <s v="Beruf. Zentrale Aufgabe des Psychologieunterrichts ist die Förderung einer reflektierten psychologischen Kompetenz: Im Unterrichtsfach Psychologie gewinnen die Schülerinnen und Schüler grundlegende Einsichten in individuelle und interindividuelle Prozesse"/>
        <s v="moralische Überzeugungen und Darstellungsverstoßen weisen von Kunst überprüfen; Verschleiert Kunst die Wirklichkeit Wirklichkeit - Traum und Lügen anhand von TV-Serien überprüfen und diskutieren, ob die Darstellung einer heilen Welt das Verhalten korrumpi"/>
        <s v="Unterscheidungsmerkmalen Überlegen, in welchen Situationen ich Spaß habe, mich langweile oder an etwas interessiert bin Fotos der Schülerinnen und Schüler in Alltagssituationen anschauen und beschreiben Beobachten und Reflektieren des eigenen Verhaltens b"/>
        <s v="im Anhang b erklären, dass nach neuen Erkenntnissen der Epigenetik auch erworbenes Verhalten vererbt werden kann, c proximate Ursachen, ultimate Ursachen, kausale Ursachen, funktionale Ursachen c erläutern an Beispielen, dass Verhalten proximate und ultim"/>
        <s v="zu zentralen Unterscheidungen Mensch und Tier Abgrenzung des Menschen vom Tier in natürlicher Gestalt, Beschaffenheit, Erkenntniskraft, Sprache und Denken biologische, evolutionäre Anthropologie und Hirnforschung Prometheusmythos Mensch als Mängelwesen Be"/>
        <s v="Heroin von den Schülerinnen und Schülern selbst thematisiert, kann ihr Vorwissen als motivierender Einstieg genutzt werden, sollte aber nicht vertieft werden. Die Schülerinnen und Schüler sollen vielmehr unterstützt werden, riskantes Verhalten z. B. exzes"/>
        <s v="der Mensch, der nur das Gute erstrebt, zugrunde gehen muss, weil er inmitten von Menschen lebt, die nicht gut sind; daher muss ein Herrscher lernen, sich wie ein Fuchs zu verhalten, das heißt wie ein Meister, der die Kunst von Heuchelei und Verstellung be"/>
        <s v="Paradigmen der Psychologie und deren verschiedene Sichtweisen auf das menschliche Verhalten kennen. Kompetenzen Fachinterne Bezüge M Tiefenpsychologie M Behaviorismus M Kognitivismus SS Verortung der Themen bleibt zunächst leer Erklärungsansätze menschlic"/>
        <s v="Schädigung des Menschen z. B. durch Abgabe von Giftstoffen, Angepasstheiten an den Menschen als Ökosystem z. B. anaerober Stoffwechsel bei Darmbakterien Viren als Krankheitserreger: Bau und lytischer Vermehrungszyklus von Viren Verhaltensweisen zur Vermei"/>
        <s v="herstellen sowie Folgeerscheinungen auf die eigene Lebenswelt übertragen und bewerten - Maßnahmen und Verhaltensweisen zur Erhaltung der eigenen Gesundheit und zur sozialen Verantwortung beurteilen - Einfluss der Umwelt auf eigenes Verhalten beurteilen - "/>
        <s v="zu versichern. Deshalb sucht man von Urteilsfähigen geehrt zu werden, von Menschen, die uns kennen, und zwar aufgrund der Tüchtigkeit griechisch hier: arete Tüchtigkeit, Tugend. Jedenfalls ergibt sich aus diesem Verhalten ganz klar, dass die Tüchtigkeit T"/>
        <s v="Hier können die ultimaten Ursachen betont werden. E Das Verhalten von Tieren ist Ergebnis von Evolution. Die Schülerinnen und Schüler a proximate Ursachen, ultimate Ursachen a erläutern an Beispielen, dass Verhalten proximate und ultimate Ursachen hat, a "/>
        <s v="in seiner historischen, gesellschaftlichen und kulturellen Dimension vorgestellt werden soll. Beim Transfer auf das Verhalten von Christian sollen diese Aspekte inklusive des Zeitgeists berücksichtigt werden. Die multikausale Verursachung des problematisc"/>
        <s v="die Meinungsbildung. Zahlreiche Themen geben Anlass, Sachverhalte unter biologischen und außerfachlichen Gesichtspunkten zu bewerten. Die Lernenden bewerten die gesellschaftlichen Auswirkungen menschlichen Handelns und werden dadurch in die Lage versetzt,"/>
        <s v="inklusive des Zeitgeists berücksichtigt werden. Die multikausale Verursachung des problematischen Verhaltens soll vermittelt werden. Für die Note ausreichend muss die Definition auf den Fall angewandt und erkannt werden, dass abweichendes Verhalten vorlie"/>
        <s v="Die multikausale Verursachung des problematischen Verhaltens soll vermittelt werden. Für die Note ausreichend muss die Definition auf den Fall angewandt und erkannt werden, dass abweichendes Verhalten vorliegt. Die Normen des Verhaltens müssen als verände"/>
        <s v="exemplarische Konzepte und Modelle der einzelnen Strömungen in den jeweiligen Fachdisziplinen der Psychologie. Im Mittelpunkt des Unterrichts stehen vor allem psychische Alltagsphänomene des Erlebens und Verhaltens. Das menschliche Erleben und Verhalten h"/>
        <s v="des politischen Systems MB Medienanalyse; Mediengesellschaft PG Mobbing und Gewalt VB Bedürfnisse und Wünsche; Medien als Einflussfaktoren Angewandte Psychologie Medienpsychologie Die Schülerinnen und Schüler setzen sich mit menschlichem Erleben und Verha"/>
        <s v="verschiedenen gesellschaftlichen, politischen, ökonomischen und ökologischen Systemen, - Wandlungen räumlicher Ordnungssysteme durch wirtschaftliche und soziale Prozesse, - Räumliche Planung im Konflikt zwischen Zielen und Methoden von Interessengruppen, "/>
        <s v="Macht, Raumnutzungsmuster in verschiedenen gesellschaftlichen, politischen, ökonomischen und ökologischen Systemen, Wandlungen räumlicher Ordnungssysteme durch wirtschaftliche und soziale Prozesse, Räumliche Planung im Konflikt zwischen Zielen und Methode"/>
        <s v="Demokratie wurde wirtschaftliche Not, politische Polarisierung und Radikalisierung Vertrauensverlust in die Demokratie Selbstentmachtung des Parlaments wichtige Ursachen für das Scheitern der ersten deutschen Demokratie kennen Krisen, Strukturmängel, Ment"/>
        <s v="Modelle der einzelnen Strömungen in den jeweiligen Fachdisziplinen der Psychologie. Im Mittelpunkt des Unterrichts stehen vor allem psychische Alltagsphänomene, wie z. B. Lernen, Wahrnehmung oder Persönlichkeit. Bereiche menschlichen Erlebens und Verhalte"/>
        <s v="Simulationen analysieren und den Prozess der Erkenntnisgewinnung reflektieren - Methoden zur Erforschung der Stammesgeschichte erläutern sowie Möglichkeiten und Grenzen des Erkenntnisgewinnungsprozesses reflektieren - Kriterien wissenschaftlicher Wissensp"/>
        <s v="auf die Bedeutung für evolutive Prozesse an. b Wiederholend auf Parasitismus, Symbiose und Räuber-Beute Beziehungen eingehen und auf evolutive Prozesse beziehen. Hier können die ultimaten Ursachen betont werden. E Das Verhalten von Tieren ist Ergebnis von"/>
        <s v="Merkmalen der wissenschaftlichen Theorie unterscheiden - Gegenstand der Psychologie durch die Betrachtung von Erleben und Verhalten auf Alltagsphänomene anwenden Analysekompetenz - Gegenstand der Psychologie durch die Betrachtung von Erleben und Verhalten"/>
        <s v="Alleldrift; Fitness Artbildung als Folge von geographischer und ökologischer Isolation; reproduktive Isolation und populationsgenetischer Artbegriff; Problematik des Artbegriffs Koevolution: mutualistisch, antagonistisch B Lernbereich : Verhaltensökologie"/>
        <s v="Quellen über hormonelle Einflüsse auf verschiedene Organe, wenden beim Sprechen über Sexualität Fachsprache statt der Alltagssprache an, wenden biologisches Wissen an, um verantwortliches Handeln abzuleiten z. B. zur Körperpflege, Verhütungsmethoden, Verh"/>
        <s v="Entscheidungen; B reflektieren Folgen von Entscheidungen für die Natur, das Individuum und die Gesellschaft; B reflektieren den Prozess der Bewertung in Bezug auf das Ergebnis und das Verfahren; B bewerten Verhaltensweisen zur Erhaltung der eigenen Gesund"/>
        <s v="B. Werbung versus gesunde Lebensweise - biologische Phänomene erklären und Alltagsvorstellungen dazu in Beziehung setzen z. B. Immunisierung/Immunität, Homosexualität - Statistiken zu verschiedenen Erkrankungen u. Ä. auswerten Bewerten - sexuelles Verhalt"/>
        <s v="es im Zusammenhang mit der seelischen Verfassung des Menschen, seiner Lebensführung, seiner Wahrnehmungsfähigkeit und seinen Tugenden Gibt es in Glückszusammenhängen gleichsam so etwas wie Werkgerechtigkeit also die Verknüpfung unserer Handlungen, Verhalt"/>
        <s v="psychodynamische Theorie Freud sein. Innerhalb dieses Themas werden damit aktuelle Bedingungen normaler Entwicklungsverläufe deutlich. Q Persönlichkeit und Verhalten Dieser Themenbereich beschäftigt sich grundsätzlich mit der theoriegestützten Beurteilung"/>
        <s v="um deren Auswirkungen für das Zusammenleben in der Gesellschaft zu beurteilen. untersuchen ausgewählte, zu sozialer Ungleichheit führende Faktoren und bewerten z. B. in Form eines Audiobeitrags deren Beeinflussbarkeit durch individuelles Verhalten und sta"/>
        <s v="eines naturwissenschaftlich fundierten Weltverständnisses hinsichtlich der Mechanismen und Tendenzen der Evolution Die Schüler erkennen an weiteren humanbiologischen Sachverhalten ihre Verantwortung gegenüber sich selbst und gegenüber der Gesellschaft. Si"/>
        <s v="Therapien Kurs : Ausgewählte sozialpsychologische Phänomene interpretieren Phänomenologische Kompetenz - ein psychisches Phänomen mithilfe von drei Paradigmen charakterisieren - verschiedene psychologische Untersuchungen und Fallbeispiele beschreiben - al"/>
        <s v="Normen, Rollen, Status und Kohäsion, erläutern Entscheidungsprozesse in Gruppen, erläutern informativen und normativen Einfluss als Hauptfaktoren konformen Verhaltens, erläutern Strukturelemente einer Gruppe und Gruppenprozesse am Beispiel des Stanford-Pr"/>
        <s v="von Begriffen und Modellen wiedergeben psychische Phänomene und psychologische Fragestellungen verschiedenen Teildisziplinen der Psychologie zuordnen unterschiedliche paradigmatische Erklärungsmodelle für menschliches Verhalten und Erleben beschreiben G k"/>
        <s v="Verhaltensäußerungen verschiedener Organismen beurteilen - Zusammenhang zwischen Drogen-, Medienkonsum z. B. Computer, Computerspiele und Smartphones und Sucht herstellen sowie Folgeerscheinungen auf die eigene Lebenswelt übertragen und bewerten - Maßnahm"/>
        <s v="Gruppen einteilen - Ernährung, Atmung, Fortpflanzung und Entwicklung erläutern - den Zusammenhang zwischen Körperbau, Angepasstheit an ihren Lebensraum und Schutzmaßnahmen am Beispiel von Wirbeltieren und Samenpflanzen ableiten - Maßnahmen bzw. Verhaltens"/>
        <s v="wurde wirtschaftliche Not, politische Polarisierung und Radikalisierung Vertrauensverlust in die Demokratie Selbstentmachtung des Parlaments - wichtige Ursachen für das Scheitern der ersten deutschen Demokratie kennen Krisen, Strukturmängel, Mentalitäten,"/>
        <s v="Verhalten proximate und ultimate Ursachen hat, a siehe Erläuterungen im Vorwort auf S. sowie im Anhang b adaptiver Wert, reproduktive Fitness b beschreiben an einem Beispiel den adaptiven Wert von Verhalten und die Bedeutung für die reproduktive Fitness, "/>
        <s v="dass das Thema Hyperkinetische Störung nicht im Unterricht behandelt wurde. Behandelt wurde jedoch die Problematik des abweichenden Verhaltens unter Berücksichtigung verschiedener psychologischer Erklärungsansätze. B. Erwartungshorizont Die Problematik de"/>
        <s v="Risikofaktoren und Auswirkung von Süchten und Stress kriteriengeleitet bewerten - Maßnahmen und Verhaltensweisen zur Erhaltung der eigenen Gesundheit beurteilen und soziale Verantwortung exemplarisch ableiten - Einfluss der Umwelt auf eigenes Verhalten be"/>
        <s v="Wandel von Berufsbildern im Zeitalter der digitalen Revolution verpflichtende Kompetenzen für den Schuljahrgang Kompetenzschwerpunkt Verantwortung: Individuelle Verantwortung in sozialen Zusammenhängen individuelle Verantwortung in sozialen Zusammenhängen"/>
        <s v="in präzisierter Form als Thema einer schriftlichen Ausarbeitung geeignet scheinen. Teilaspekte dieser Themen können als Prüfungsthemen für die mündliche Form der fünften Prüfungskomponente fungieren: Langzeitbeobachtungen und -messungen des Erlebens und V"/>
        <s v="dar und beschreiben deren Auswirkungen auf den menschlichen Körper. Entwickeln eines Grundverständnisses für den eigenen Körper und die Rolle des Menschen in der Natur Die Schüler erkennen, dass sie ihr Verhalten steuern können und die Verantwortung für i"/>
        <s v="weil sie sich als notwendig erweisen im methodischen Nachdenken über politische Zusammenhänge. Politisches Denken bewegt sich auf der Ebene der politischen Soziologie im Beschreiben und Analysieren politischer Strukturen, Konstellationen und Verhaltenswei"/>
        <s v="sie sich als notwendig erweisen im methodischen Nachdenken über politische Zusammenhänge. Politisches Denken bewegt sich auf der Ebene - der politischen Soziologie im Beschreiben und Analysieren politischer Strukturen, Konstellationen und Verhaltensweisen"/>
        <s v="Zivilisationsparadoxon: Einerseits gäben sich die Römer kultiviert, andererseits hätten eben diese Römer im Amphitheater Freude und Vergnügen bei grausamsten Schauspielen mit tödlichem Ausgang. In einer theologischen Argumentation stellt Tertullian das Ve"/>
        <s v="es gegebenenfalls. Thema: Merkmale und Lebensbedingungen von Tieren und Pflanzen Inhalte aus der Biologie - Merkmale des Lebens - Arten und ihre spezifischen Merkmale, einfache Bestimmungshilfen - Körperbau, Fortpflanzung, Entwicklung, Verhalten Technik: "/>
        <s v="handlungsbedingende Anreize und Restriktionen in den jeweiligen sozialen Situationen begründen. Die ökonomische Perspektive fokussiert die Handlungsbedingungen einer sozialen Situation und unterstellt zu Analysezwecken, dass sich die Individuen rational u"/>
        <s v="Opfer n Umgang mit Fremdem Die Lernenden erwerben Fachkompetenz: Sie stellen durch die Auseinandersetzung mit Lebenssituationen in der Zeit der Weimarer Republik und im Nationalsozialismus Gegenwartsbezüge her. Methodenkompetenz: Sie analysieren Verhalten"/>
        <s v="Verantwortungsbereitschaft Wahlbereich : Nervensysteme Anwenden der Kenntnisse über Kommunikation von Zellen auf Nervensysteme diffuses und zentrales Nervensystem, peripheres und vegetatives Nervensystem g Gestalten von Beobachtungen und Untersuchungen ti"/>
        <s v="und dasselbe psychische Phänomen zum Ausdruck bringen Die Schülerinnen und Schüler können E F ihre eigene Einschätzung zur Qualität von Alltagswissen begründen konkrete Situationen beschreiben, in denen sie ihr eigenes Verhalten und Erleben an psychologis"/>
        <s v="Strukturelemente einer Gruppe und Gruppenprozesse am Beispiel des Stanford-Prison-Experiments, unterscheiden prosoziales Verhalten und Altruismus, erläutern situative Determinanten und kognitive Aspekte anhand von Falldarstellungen und empirischen Untersu"/>
        <s v="politischer und sozialer Perspektive Begriffe, die gemäß der BiStas einzuführen sind Biologie GK Funktionale vs. kausale Erklärungen Funktionale Erklärungen beziehen sich auf die Funktion, welche eine bestimmte Struktur oder ein Verhalten erklären; häufig"/>
        <s v="Anzeichen für Fälschungen; Instrumente gezielter Beeinflussung in sozialen Netzwerken; Bedeutung der Werbe-Finanzierung medienethische Verantwortung von Produzenten, Konsumenten und weiteren Beteiligten, insbesondere Presse- und Berufskodizes von Journali"/>
        <s v="Fallbeispielen Entwicklungsaufgaben Jugendlicher analysieren, - Diagramme und Statistiken mit regionalem Bezug auswerten, - einen Katalog zu regionalen Unterstützungsangeboten erstellen, - Expertenbefragungen durchführen. Selbst- und Sozialkompetenz Der S"/>
        <s v="Fallbeispielen Entwicklungsaufgaben Jugendlicher beschreiben, - Diagramme und Statistiken mit regionalem Bezug auswerten, - einen Katalog zu regionalen Unterstützungsangeboten erstellen, - Expertenbefragungen durchführen. Selbst- und Sozialkompetenz Der S"/>
        <s v="Die Paradigmen der Psychologie Fachübergreifend Inhalte Fachbezogen Umsetzungshilfen Leitperspektiven Sprachbildung Die Schülerinnen und Schüler lernen in diesem Modul mindestens fünf Paradigmen der Psychologie und deren verschiedene Sichtweisen auf das m"/>
        <s v="der digitalen Welt Eine derartige Auseinandersetzung bewirkt, dass sich bei Schülerinnen und Schülern nicht nur Interessen entwickeln, die berufliche Vorstellungen unterstützen und Freizeitaktivitäten prägen, sondern es können auch Einstellungen und Verha"/>
        <s v="Körper. Entwickeln eines Grundverständnisses für den eigenen Körper und die Rolle des Menschen in der Natur Die Schüler erkennen, dass sie ihr Verhalten steuern können und die Verantwortung für ihr Verhalten tragen. Sie beurteilen verschiedene Verhaltensw"/>
        <s v="Sinneszelle - Struktur und Funktion der Fotorezeptoren, Rezeptorpotenzial - Hormone: Hormonwirkung Steroidhormone und Peptidhormone, Verschränkung hormoneller und neuronaler Steuerung - Stress: Adrenalin als Stresshormon, Eustress, Disstress - proximate E"/>
        <s v="problembezogen und adressatengerecht multimedial präsentieren - psychologisch argumentieren sowie einen Diskurs über kontroverse psychologische Erkenntnisse sachlogisch und konstruktiv führen und moderieren Grundlegende Wissensbestände - zwei ausgewählte "/>
        <s v="Fach Psychologie Didaktische Grundsätze Im Rahmen des Psychologieunterrichts setzen sich die Schülerinnen und Schüler mit dem Verhalten und Erleben von Menschen und Menschengruppen sowie mit den verschiedenen Ansätzen auseinander, dieses Verhalten und Erl"/>
        <s v="Wesen, Existenz und Essenz P. Bieri: bedingte und unbedingte Freiheit, Aneignung des Willens Sozialpsychologie: Konformität Acceptance, Compliance, Autorität u. a. MilgramExperiment, Bystander-Effekt Sozialisation, Status und Rolle als Bestimmungsgrößen f"/>
        <s v="psychischen Systems Fachübergreifend Inhalte Fachbezogen Umsetzungshilfen Leitperspektiven Aufgabengebiete Berufsorientierung Sprachbildung Die Schülerinnen und Schüler lernen in diesem Modul die Disziplinen der Psychologie und ein Strukturmodell zur Erkl"/>
        <s v="Schüler beschreiben an Vertretern der Wirbeltiere deren Fortpflanzung und Entwicklung. Beim Vergleichen der Wirbeltiergruppen erwerben sie erste Vorstellungen zu stammesgeschichtlichen Entwicklungen. Die Schüler stellen an Beispielen die Bedeutung der beo"/>
        <s v="Republikaner die Bedeutung der Weltwirtschaftskrise und der untauglichen Krisenpolitik Brünings, die immer mehr Wähler in die Arme der radikalen republikfeindlichen Parteien trieb der Aufstieg der NSDAP, ihre Wahlerfolge seit das Verhalten bestimmter Elit"/>
        <s v="deren Lebensräume einem ständigen Wandel unterliegen. Entwickeln eines Grundverständnisses für den eigenen Körper und die Rolle des Menschen in der Natur Die Schüler beschreiben und erklären Unterschiede im Bau und Verhalten von Menschen als Folgen der bi"/>
        <s v="Reproduktionsmedizin Grundlagen der Immunbiologie Allergien und Autoimmunerkrankungen Diagnostische Verfahren Leitthemen mit Pflicht- und Wahlpflichtbausteinen Unterrichtsstunden GF LF Leitthema Entstehung und Entwicklung des Lebens Pflichtbausteine Absta"/>
        <s v="Massentierhaltung herstellen und ethische Fragestellungen mithilfe digitaler Medien diskutieren Grundlegende Wissensbestände - Kennzeichen von Lebewesen: Stoffwechsel, Bewegung, Reizbarkeit, Wachstum, Fortpflanzung und Entwicklung - Bestimmen von Lebewese"/>
        <s v="in ethischer Verantwortung die Veränderungen während der Pubertät. Kenntnisse zur Bedeutung von Eizelle und uchtungsvorgang, zur Entwicklung des Embryos/Fetus und des Kindes sowie zu Methoverhütung bilden die fachlichen Grundlagen selbstbestimmten Verhalt"/>
        <s v="selbstbestimmt mit der Definition von Straftaten und dem rechtsstaatlichen Umgang mit Kriminalität zu befassen. Kompetenzen Fachinterne Bezüge M Psychologie der Gruppe S. Entwicklung S. Eigenschaftstheorien S. Klinische Psychologie S. Antisoziales Verhalt"/>
        <s v="Weltverständnisses hinsichtlich der Mechanismen und Tendenzen der Evolution Die Schüler erkennen an ausgewählten humanbiologischen Sachverhalten ihre Verantwortung gegenüber sich selbst und der Gesellschaft. Dabei lernen sie das vorurteilsfreie Werten unt"/>
        <s v="den eigenen Körper und die Rolle des Menschen in der Natur Die Schüler erkennen, dass sie ihr Verhalten steuern können und die Verantwortung für ihr Verhalten tragen. Sie beurteilen verschiedene Verhaltensweisen hinsichtlich ihrer Auswirkungen auf sich se"/>
        <s v="Biodiversität und ihre Entstehung Ustd. Kennen des populationsgenetischen Artbegriffs Wert von Biodiversität Bildung für nachhaltige Entwicklung Kennen von Verhaltensursachen und des adaptiven Wertes von Verhalten EF Information, Regulation Besonderheiten"/>
        <s v="informativen und normativen sozialen Einfluss mithilfe grundlegender Experimente, unterscheiden prosoziales Verhalten und Altruismus, erklären prosoziales Verhalten mit kognitiven und evolutionstheoretischen Modellen und Sachzusammenhängen, erläutern die "/>
        <s v="und diskutiert Fragen der Intervention und der Wertung von Entwicklungen des Einzelnen oder ganzer Gruppen in unserer Gesellschaft. Psychologie als Unterrichtsfach ist darauf gerichtet, insbesondere die Fragen des Erlebens und Verhaltens zu behandeln, die"/>
        <s v="Lebewesen und ihre Veränderung erkunden / - Phänomene der Mikrobiologie beobachten und darstellen - System und Systemebenen am Beispiel des Menschen unter Einbeziehung seiner Umwelt erklären / - Grundlagen des Verhaltens anwenden - Wechselwirkungen zwisch"/>
        <s v="Umfeld reflektiert Beziehungen aufzubauen, zu pflegen sowie Verantwortung für sich und das Wohl anderer zu übernehmen. Das impliziert die Ausbildung individueller Lebens- und Werteorientierungen, das Verständnis für unterschiedliche Denk- und Verhaltenswe"/>
        <s v="ökologischer, ökonomischer, politischer und sozialer Perspektive Begriffe, die gemäß der Bildungsstandards einzuführen sind Funktionale vs. kausale Erklärungen Funktionale Erklärungen beziehen sich auf die Funktion, welche eine bestimmte Struktur oder ein"/>
        <s v="allem hinsichtlich ihrer Zuverlässigkeit sachkritisch zu prüfen Sachverhalte zu bewerten sich einen eigenen Standpunkt zu bilden und diesen begründet zu vertreten verantwortungsvoll zu entscheiden bzw. zu handeln sowie Entscheidungen und Verhalten kritisc"/>
        <s v="und Handlungskompetenz BTV Formen von Vorurteilen, Stereotypen, Klischees Merkmale von Gruppen beschreiben und grundlegende gruppendynamische Prozesse erläutern zum Beispiel Rollen, Phasen der Gruppenbildung BTV Minderheitenschutz darlegen, wie andere auf"/>
        <s v="und adressatengerecht und reflektieren auch ihre Lernwege und die Ergebnisse ihrer Arbeit. Mit einer Unterrichtsgestaltung, in der Schülerinnen und Schüler das methodische Vorgehen bewusst und kritisch-konstruktiv diskutieren, werden Einstellungen und Ver"/>
        <s v="sexuellen Identitäten. RELIGION, WERTE UND NORMEN ben Grundaspekte der sexutpflanzung, Schwangerschaft fängnisverhütung beim Meneiden zwischen geschlechtliungeschlechtlicher FortpflanBlütenpflanzen. beschreiben Methoden der Empfängnisverhütung und der Ver"/>
        <s v="Gegner aber sogar noch als Augenweide verlangt, um ihn sich lieber aus nächster Nähe noch gründlich anzuschauen, den er von ferne hat töten lassen wollen - ein um so hartherzigeres Verhalten, wenn er dessen Tod nicht gewollt hat. Tertullian: De spectaculi"/>
        <s v="Potenzial für die Nutzung durch den Menschen, aber auch in ihrer Gefährdung für und durch den Menschen. Eine besondere Berücksichtigung findet der anthropogen verursachte Klimawandel. Die Kenntnis der Klimawirksamkeit bestimmter Verhaltensweisen und Maßna"/>
        <s v="beschreiben Zusammenhänge und Unterschiede zwischen Alltagspsychologie und wissenschaftlicher Psychologie erkennen und verwenden Paradigmen als zentrale, erkenntnisleitende Prinzipien verwenden Die Schülerinnen und Schüler können E F konkrete psychische P"/>
        <s v="bundespolitische Fragen unter den Kriterien der Interessenbezogenheit und der möglichen sozialen und politischen Integrations- bzw. Desintegrationswirkung. Inhaltsfeld Individuum und Gesellschaft Inhaltliche Schwerpunkte Sozialisationsinstanzen Individuel"/>
        <s v="konkrete psychische Phänomene des menschlichen Verhaltens und Erlebens identifizieren Fachinhalte von Begriffen und Modellen wiedergeben psychische Phänomene und psychologische Fragestellungen verschiedenen Teildisziplinen der Psychologie zuordnen untersc"/>
        <s v="neuro-neuronale Synapse neuro-muskuläre Synapse Lernbereich : Biodiversität und ihre Entstehung Ustd. Kennen des populationsgenetischen Artbegriffs Wert von Biodiversität Bildung für nachhaltige Entwicklung Kennen von Verhaltensursachen und des adaptiven "/>
        <s v="Beispiele Anwenden der Erschließungsfelder auf Merkmale und Lebenserscheinungen der Säugetiere Lernkompetenz typische Merkmale Fell, lebendgebärend, Säugen der Nachkommen, gleichwarme Körpertemperatur Untersuchen von Fellproben mit der Lupe SE zeichnerisc"/>
        <s v="der Menschenaffen Orang-Utan, Gorilla, Schimpanse. Evolution - Leben ist in ständigem Wandel Biologie LK Inhalte / Basisbegriffe Verbindliche Kompetenzerwartungen Vorschläge und Hinweise E Die Evolution des Menschen E Ähnlichkeiten im Verhalten und Ausseh"/>
        <s v="Objekte, Vorgänge ordnen und klassifizieren. Definieren - ausgewählte Begriffe aus den Bereichen Biologie, Chemie und Physik definieren. Ableiten/Begründen - kausale Beziehungen zwischen Struktur und Funktion ableiten/ begründen, - Maßnahmen und Verhalten"/>
        <s v="einer vorläufigen Bilanz muss er sich selbst fragen, welche Rolle und welche Haltung er einnehmen will und kann, wie er sich gemäß einer realistischen Einschätzung der eigenen Ressourcen und Handlungsspielräume verhalten möchte. Über Unterricht und Schule"/>
        <s v="eigenen Wünschen, gesellschaftlichen Erwartungen und politischen, ökonomischen und sozialen Erfordernissen - Einfluss von Medien auf die Identitätsbildung - Wertepluralismus in der Demokratie Individuum, Familie, Freunde, Gesellschaft - Jugendkriminalität"/>
        <s v="zwischen ungesunder Lebensweise und möglichen Erkrankungen bzw. Verminderung der Lebensqualität darstellen sowie Schlussfolgerungen für das eigene Handeln anhand von Kriterien ableiten - Infektionsrisiken und Möglichkeiten der Immunisierung reflektieren -"/>
        <s v="biotechnologischen Insulinproduktion mediengestützt auswerten und digital präsentieren Bewertungskompetenz - Interaktion von Sinnesorganen und Gehirn des Menschen reflektieren - Risikofaktoren und Auswirkung von Süchten und Stress kriteriengeleitet bewert"/>
        <s v="Ökobilanzerstellung, das Ökoaudit anschaulich darstellen, - unter Nutzung von verschiedenen Medien Informationen über Umweltberufe gezielt auswerten und präsentieren. Selbst - und Sozialkompetenz Der Schüler kann - gesellschaftlich sowie betrieblich umwel"/>
        <s v="die Verknüpfung von Inhalten und prozessbezogenen Kompetenzen: S: Vielfalt der Pilze beschreiben E: am Beispiel der Pilze die Biodiversität erkennen K: die Bedeutung der Pilze als Krankheitserreger diskutieren B: eigenes Verhalten unter gesundheitsrelevan"/>
        <s v="Wirtschaft Methodenkompetenz, Beurteilungskompetenz, erklären die Preisbildung im unvollkommenen Oligopol mit Hilfe der einfach-geknickten Preis-Absatz-Funktion, erörtern Preisstarrheit und Reaktionsverbundenheit und die damit einhergehende Unsicherheit a"/>
        <s v="Bau und Funktion von Nervenzellen Hormonsystem Überblick Hormondrüsen Regulationswirkung eines Hormons Wirkungsweise von Geschlechtshormonen, Wachstumshormonen, Blutzuckerhormonen Kennen des Zusammenwirkens von Sinnesorganen und Nervensystem Reflexbogen D"/>
        <s v="erleben oder beobachten, zum anderen exemplarische Konzepte und Modelle der einzelnen Strömungen in den jeweiligen Fachdisziplinen der Psychologie. Im Mittelpunkt des Unterrichts stehen vor allem psychische Alltagsphänomene des Erlebens und Verhaltens. Da"/>
        <s v="Hinblick auf Rollenbild, soziale Einbindung und Lebensläufe, z. B. Schulausbildung, Berufsausbildung, Eheschließung Gleichbehandlungsgebot des Grundgesetzes: rechtliche Konsequenzen und aktuelle politische Handlungsfelder, z. B. im Bereich der Generatione"/>
        <s v="von Lebensführung und Gesundheit z. B. Immunisierung, Aids Bezüge zu fächerübergreifenden Themen Sicher und gesund durch den Straßenverkehr Luft, Wasser und Boden als natürliche Lebensgrundlage Schuljahrgänge / Kompetenzschwerpunkt: Grundlagen des Verhalt"/>
        <s v="für Menschen ableiten - exemplarisch Nahrungsbeziehungen mit wirbellosen Tieren erläutern - Fortpflanzung und Entwicklung von Insekten beschreiben sowie die Abhängigkeit der Populationsentwicklung von Umweltfaktoren begründen Erkenntnisgewinnungskompetenz"/>
        <s v="die Funktion des Gehirns und des Rückenmarks beschreiben, die Erregungsleitung in Nervenzellen durch elektrische Impulse und chemische Botenstoffe darstellen, Reflexe beschreiben, die Wirkung von Alkohol und Drogen auf Reaktionsvermögen und Verhalten besc"/>
        <s v="oder Tierquälerei Gedankenexperiment: Stell dir vor, es kämen Außerirdische und wollten uns als Nutztiere verwenden Empathie und Perspektivwechsel Bildung für nachhaltige Entwicklung Wahlbereich : Wege zur Identität Sich positionieren zum Verhalten Jugend"/>
        <s v="den Bau und das Vorkommen von Hefepilzen und Bakterien beschreiben E: am Beispiel der Pilze die Biodiversität erklären K: mit Hilfe der Mikroskopie Strukturen der Pilze adressatengerecht präsentieren B: eigenes Verhalten unter gesundheitsrelevanten Aspekt"/>
        <s v="Kinderwunsch Schutz vor sexuell übertragbaren Erkrankungen u. a. HIV-Infektion B Lernbereich : Verhalten - genetisch bedingt und erlernt ca. Std. Kompetenzerwartungen Die Schülerinnen und Schüler ... beobachten und vergleichen einfache Verhaltensweisen au"/>
        <s v="Handy, Kleidung etc. M, M. Urteilskompetenz: Sie bewerten Marktwirtschaft und wirtschaftspolitisches Handeln hinsichtlich der Gewährleistung von Freiheit, Gerechtigkeit und ökologischer Verträglichkeit in Wirtschaft und Gesellschaft U. Sie reflektieren ih"/>
        <s v="auf die Lebenswelt der Schülerinnen und Schüler durch die Auswahl solcher Unterrichtsthemen und entsprechender Anwendungsbeispiele hergestellt werden, die nicht direkt in ihre Privatsphäre eindringen. Da der Psychologieunterricht auch Missverständnisse, a"/>
        <s v="Rollenverhalten in partnerschaftlichen Beziehungen kritisch hinterfragen, Maßnahmen zur Erhaltung der eigenen Gesundheit in Bezug auf Ernährung oder Bewegung beschreiben und begründen, den Einfluss von äußeren und inneren Faktoren auf das Verhalten, die G"/>
        <s v="Maßnahmen schlagen Sie vor B. Unterrichtliche Voraussetzungen Der folgende Lösungsvorschlag geht davon aus, dass das Thema Hyperkinetische Störung nicht im Unterricht behandelt wurde. Behandelt wurde jedoch die Problematik des abweichenden Verhaltens unte"/>
        <s v="Zusammenleben auf der Basis der Menschenwürde und unserer gemeinsamen demokratischen Werte, insbesondere der Grund- und Menschenrechte. Interkulturelle Bildung ermöglicht über die Auseinandersetzung mit kulturspezifischen Charakteristika und durch die Ent"/>
        <s v="Vier Kompetenzbereiche werden für das Fach Psychologie definiert: Fachwissen - psychische Phänomene, Begriffe, Methoden, Theorien verwenden und grundlegenden theoretischen Wissenschaftsströmungen Paradigmen oder Sichtweisen zuordnen Die Psychologie beginn"/>
        <s v="a. Systembegriff, Subsystem, Grenzen, Regeln, Homöostase, unterscheiden Strukturelemente einer Gruppe im Hinblick auf Normen, Rollen, Status und Kohäsion, erläutern Entscheidungsprozesse in Gruppen, erläutern informativen und normativen Einfluss als Haupt"/>
        <s v="internationale Politik bestimmen Regeln und Recht, wie Entscheidungen in den internationalen Beziehungen getroffen werden Macht und Entscheidung, welche Akteure die internationale Politik beeinflussen Privatheit und Öffentlichkeit und welche Handlungsmoti"/>
        <s v="über kulturelle Unterschiede hinweg, Untersuchen von Wortbildungen mit den Wortstämmen fremd und vertraut fremdeln, Fremdsprache/Muttersprache, sich trauen, Trauung etc. im Hinblick auf ihre emotionale Wertigkeit Beschreiben von Gefühlen und typischen Ver"/>
        <s v="Wirtschaftsordnung . Wirtschaftspolitik . Auf erhöhtem Niveau: Geldpolitik und Finanzmärkte im internationalen Zusammenhang . Internationale Wirtschaftsbeziehungen . Theorie und Praxis der Nachhaltigkeitspolitik .; dieses Modul kann oder ersetzen S- Mensc"/>
        <s v="z. B. in der Teamarbeit und im Mannschaftssport Gründe, weshalb jemand zum Außenseiter bzw. Einzelgänger werden kann z. B. Außenseiter in der Klasse, Obdachloser, Kranker, Behinderter; Konsequenzen für das eigene Verhalten Eth Lernbereich : Konsum und Fre"/>
        <s v="Beschreibungen. Dadurch kennzeichnen sie Angepasstheiten und zeigen gleichzeitig auf, wie Lebewesen in einem Ökosystem vergesellschaftet sind. beschreiben Angepasstheiten von Insekten an das Leben im Ökosystem, der Entwicklung sowie ggf. des Verhaltens. D"/>
        <s v="Frauen vergleichen K n Spuren deutscher Kolonialherrschaft Namibia, Ruanda suchen und erforschen M n Kunst und Mode als Spiegelbild gesellschaftlicher Entwicklung beschreiben und vergleichen M, U n Die Einordnung kirchlichen Verhaltens zwischen Anpassung "/>
        <s v="Verantwortlichkeit sehen und Verantwortung für sich und andere übernehmen, die Konsequenzen eigenen Handelns und Unterlassens beschreiben und bewerten, Entscheidungsspielräume für eigenes Handeln erkennen und im schulischen Umfeld erproben, kulturell gepr"/>
        <s v="Stellung nehmen z. B. regenerative Energien, Recycling - gesellschaftliche Handlungsoptionen einer umwelt- und naturverträglichen Teilhabe im Sinne der Nachhaltigkeit erörtern z. B. nachwachsende Rohstoffe, Landschaftsgestaltung, Erhalt der Biodiversität "/>
        <s v="Geistes- und Naturwissenschaft werden. Leitthema Informationsverarbeitung in Lebewesen Anatomie und Physiologie neuronaler und hormoneller Kommunikation Fachliche Verfahren und biologische Denk- und Arbeitsweisen Evolution der Informationsverarbeitung Sch"/>
        <s v="mit gesellschaftlich relevanten Werten, Einstellungen und Handlungsweisen. BNE: Rolle von Einstellungen und Einstellungsänderungen bzgl. der Entwicklung eines nachhaltigen Umgangs mit Ressourcen, vgl. z. B. SDG , , , S Antisoziales Verhalten Übergreifend "/>
        <s v="der jeweiligen Teilkompetenz dargestellt. Bei Verweisen auf andere Fächer ist zusätzlich das Fächerkürzel dargestellt im Beispiel ETH für Ethik: sowohl individuelle als auch gesellschaftliche Dilemmasituationen Gefangenendilemma, Trittbrettfahrersituation"/>
        <s v="von Freiheit und Abhängigkeit wird eine grundlegende Frage des Ethikunterrichts angesprochen. Dabei werden die Begriffe Freiheit bzw. Willensfreiheit in der Auseinandersetzung mit philosophischen, psychologischen und biologischen Interpretationen behandel"/>
        <s v="Gefühlen und Handlungsimpulsen wesentliche Begründungsansätze für den Umweltschutz, Konzept der Nachhaltigkeit eine Methode der Fallanalyse Zusammenhänge zwischen modernen Lebensgewohnheiten und Umweltproblemen regional und global, z. B. Plastikgebrauch, "/>
        <s v="insbesondere zum selbstständigen Lernen, funktionsbezogen auszuwählen, zu nutzen und selbst herzustellen. Sie erkennen bei sich selbst und anderen, dass Medien sowie das eigene mediale Handeln Einfluss auf Vorstellungen, Gefühle und Verhaltensweisen ausüb"/>
        <s v="entwickeln und die Gegenseite damit konfrontieren. H: sich im Sinne eines Perspektivwechsels in die Situation, Interessen und Denkweisen anderer Menschen versetzen, diese Interessen und Denkweisen simulativ überzeugend vertreten, das eigene Verhalten in d"/>
        <s v="ökonomischen Sachverhalten ökonomisches Fragen und Denken zu praktizieren, diese zu analysieren und zum Gegenstand kritischer Reflexion zu machen. Die Schülerinnen und Schüler ... sind sich der Tatsache bewusst, dass ökonomisches Verhalten der wirtschaftl"/>
        <s v="räumliche Strukturen am Beispiel eines Ökosystems Steuerung und Regelung SR intra- und interspezifische Beziehungen dichte- und dichteunabhängige Faktoren Lotka-Volterra Regeln topdown- / bottom-up-Kontrolle Stoff- und Energieumwandlung SE Kosten-Nutzen-A"/>
        <s v="zu erschließen und einzuschätzen. Dabei werden sowohl widersprüchliche als auch konkurrierende Perspektiven und dahinterstehende Argumentationen einbezogen. Am Ende der Qualifikationsphase können die Schülerinnen und Schüler in der Regel Erleben und Verha"/>
        <s v="erläutern Verhalten und Handeln hinsichtlich der zugrundeliegenden Werte und möglicher Konsequenzen für sich selbst und für ein gerechtes Miteinander. Urteilskompetenz Die Schülerinnen und Schüler bewerten unterschiedliche Prinzipien von Gerechtigkeit, be"/>
        <s v="präsent ist. Deshalb ist für den Psychologieunterricht der Alltags- und Erfahrungsbezug von zentraler Bedeutung. Die Anwendung und Anwendbarkeit des Wissens auf eigenes oder im Alltag bei anderen erfahrenes Erleben und Verhalten und die damit verbundene F"/>
        <s v="und Wechselwirkung auf evolutionäre Entwicklungstendenzen EF Vielfalt Kl. , LB Struktur- und Funktionsbeziehungen Spezialisierung Angepasstheit der Vogelschnäbel an die Ernährung, Wechselwirkung zwischen Insekten und Blüten bei der Insektenbestäubung gene"/>
        <s v="Freundschaft zu formulieren und zusammenzufassen den Begriff Freundschaft im umgangssprachlichen Sinne zu überprüfen und eine tragbare Begriffsbestimmung zu erarbeiten Freundschaft als Bedürfnis des Menschen Konstitutive Bedingungen für Freundschaften Mög"/>
        <s v="- proximate und ultimate Ursachen - Reflexe - Auslöser, Motivation, Modellvorstellungen - Konfliktverhalten Sozialverhalten - Kommunikation - Formen des Zusammenlebens, Sozialstrukturen - Reviere, Fortpflanzungsstrategien - Rangordnung, Aggression Physiol"/>
        <s v="beschreibende und wertende Aussagen unterscheiden, Lösungswege entwickeln und diese auf die Standortgebundenheit des Verfassers bzw. der Autoren hinterfragen, kontroverse Sichtweisen zu einem Thema erkennen und eine eigene Meinung vertreten, interessengeb"/>
        <s v=": Beobachten und Untersuchen wirbelloser Tiere Anwenden der Arbeitstechniken Beobachten und Untersuchen auf eine weitere Gruppe der wirbellosen Tiere Naturobjekte, Filme, Bilder, Modelle Formenvielfalt und Schönheit Weichtiere, Spinnentiere, Krebstiere ty"/>
        <s v="Gesundheitsförderung Ein besonderes Augenmerk des Biologieunterrichts liegt auf der aktiven Gesundheitsfürsorge. Aus den Kenntnissen von Bau und Funktion des eigenen Körpers leiten die Schülerinnen und Schüler Maßnahmen zur Vermeidung gesundheitsgefährden"/>
        <s v="E. die digitale Revolution zu einer neuen Klassenstruktur Z. ff und zur Auflösung der Schichtstruktur Z. - führt und die Lebens- und Arbeitsbedingungen vieler Menschen in Bezug auf Einkommensstruktur und Verhaltensweisen negativ beeinflusst. Sodann ist da"/>
        <s v="Menschen durch sein Verstndnis von Natur mitbedingt ist, lernen verschiedene Theorien ber das Verhltnis von Mensch und Natur kennen und lernen, sie zu vergleichen, erwerben die Fhigkeit, unterschiedliche Mglichkeiten des Verhaltens gegenber der Natur zu b"/>
        <s v="psychodynamische Theorie, zentrale Persönlichkeitseigenschaften z.B. Typen nach Eysenck oder Theorien des Selbst humanistische Psychologie, z.B. Maslow ein. Q Klinische Psychologie Der Themenbereich bezieht sich auf die Untersuchung gestörten Erlebens und"/>
        <s v="K Bewertung Die Schülerinnen und Schüler können ... auf der Basis biologischer Erkenntnisse ihr persönliches Verhalten gegenüber sich selbst und Mitmenschen in Bezug auf Infektionskrankheiten hinterfragen und Entscheidungen zu ihrem Verhalten begründen. B"/>
        <s v="Serotonin, Testosteron Theorie aggressiver Skripte nach Huesmann Allgemeines Aggressionsmodell nach Anderson et al. Konkretisierung fachbezogener und fachübergreifender Anwendungsbezüge Paradigmen der Psychologie: Kognitivismus Tiefenpsychologie Nur für e"/>
        <s v="im Alltag. Auf dieser Grundlage identifizieren sie alltagspsychologische Herangehensweisen und unterscheiden diese von wissenschaftlichen. Die Schülerinnen und Schüler erschließen sowohl Möglichkeiten der Wissenschaft Psychologie bei der Betrachtung mensc"/>
        <s v="Basis für die Unterrichtspraxis als auch einen zentralen Inhalt im Sinne des inklusiven Lernens. Einführung in die Wissenschaft Psychologie Die Schülerinnen und Schüler formulieren aus eigener Erfahrung bekanntes Erleben und Verhalten und erfassen so psyc"/>
        <s v="Erkenntnismethoden und Arbeitstechniken leiten den Unterricht grundsätzlich und sind bei jedem Rahmenthema zu berücksichtigen. Basiskonzepte Rahmenthemen Struktur und Funktion, mit Angepasstheit mit Variabilität und Vielfalt der Organismen Lernen, Wahrneh"/>
        <s v="wiedergeben; zentrale psychologische Begriffe korrekt definieren und sachgerecht verwenden; die Differenz zwischen Alltagswissen und wissenschaftlichem Wissen erläutern; psychologische Fragestellungen in die Systematik der Psychologie einordnen; psycholog"/>
        <s v="MB Kommunikation und Kooperation PG Mobbing und Gewalt Soziale Wahrnehmung und Gruppe Die Schülerinnen und Schüler befassen sich mit sozialen Wahrnehmungsprozessen, Einstellungen und Vorurteilen. Sie erkennen, wie menschliches Erleben und Verhalten durch "/>
        <s v="einfache Verhaltensweisen auch mithilfe von Attrappenversuchen, um sie als Ergebnis des Zusammenwirkens von inneren Faktoren und reaktionsauslösenden Reizen zu beschreiben. beurteilen auf der Grundlage von Daten aus Verhaltensbeobachtungen, ob eine Verhal"/>
        <s v="Rahmenthema die Lerntheorien Pawlov, Skinner, kognitive Verhaltenstheorie Bandura, genetische Epistemologie Piaget oder die psychodynamische Theorie Freud sein. Innerhalb dieses Themas werden damit aktuelle Bedingungen normaler Entwicklungsverläufe deutli"/>
        <s v="Verhaltensmuster in unterschiedlichen sozialen Rollen. Gehorsam, Pflicht, Loyalität, Respekt, Höflichkeit, Zuneigung, Liebe, Ausgrenzung, Akzeptanz, Toleranz, Verantwortung in den verschiedenen sozialen Kontexten soziale Rolle als Summe der von einer Pers"/>
        <s v="die damit einhergehende Unsicherheit anhand einer vorgegebenen Preis-Absatz-Funktion Handlungskompetenz, erklären die Verhaltensweisen und Marktstrategien eines Oligopolisten, beurteilen die grundsätzlichen Möglichkeiten eines Oligopolisten, sich seinen K"/>
        <s v="des Häuptlings Seattle, Tierschutzabkommen, Umweltschutzorganisationen Einbeziehen aktueller gesellschaftlich relevanter Fragestellungen Collage Eine Welt, die mir gefällt Gespräch mit Förster, Landwirt BIO, Kl. , LB GEO, Kl. , LB Werteorientierung eigene"/>
        <s v="Ursache-Wirkungs-Beziehungen zur Erklärung psychischer Phänomene. Sie identifizieren multifaktorielle Kausalbezüge und analysieren die Komplexität menschlichen Erlebens und Verhaltens. Mithilfe geeigneter Systeme erfassen und erkennen sie die individuelle"/>
        <s v="Entscheidungs- und Handlungssituationen erkennen und argumentativ darlegen, die Konsequenzen eigenen und fremden Handelns und Unterlassen beschreiben und bewerten, Entscheidungsspielräume für eigenes Handeln erkennen und im schulischen Umfeld erproben, ku"/>
        <s v="Fachkonferenzen legen im Rahmen des Schulprogramms den Umfang der Themen fest. Durch eine geschickte Wahl der Beispiele sind in einem Kontext mehrere Standards zu bearbeiten. Rahmenthemen Jahrgangsstufe Lernen, Wahrnehmung und Verhalten Entwicklung und Ve"/>
        <s v="für Gruppenbildung, soziale Rollen und Normen, Gruppenzusammenhalt, Leistung in Gruppen Social loafing Latané et al. Informativer Sherif und normativer Asch sozialer Einfluss Einfluss von Kultur und Selbstsicht interdependent, independent Prosoziales Verh"/>
        <s v="Fortpflanzung - Erzeugung von Nachkommen GS SU, Kl. , LB Bau und Funktion der Geschlechtsorgane Pubertät, Menstruation, Pollution innere Befruchtung Eltern-Kind-Beziehungen Verantwortungsbereitschaft Beurteilen der Problematik des sexuellen Missbrauchs ab"/>
        <s v="gesundheitsbezogenen Basiswissens ihren Blick für eine gesunde Lebensweise zu schärfen und Gefährdungen für die Gesundheit auszumachen. entwerfen z. B. in Kontakt zu außerschulischen Beratungseinrichtungen, Krankenkassen, landwirtschaftlichen Verbänden Kr"/>
        <s v="Entscheidungs- und Handlungssituationen erkennen und argumentativ darlegen, die Konsequenzen eigenen und fremden Handelns und Unterlassens beschreiben und bewerten, Entscheidungsspielräume für eigenes Handeln erkennen und im schulischen Umfeld erproben, k"/>
        <s v="Evolutionsfaktoren geklärt Artbildung Artbildungsprozesse werden durch die Synthetische Evolutionstheorie erklärt. Der Organismus wird als Mitglied einer Art in seiner Population Artbegriff und als Teil des Ökosystems beschrieben. Proximate und ultimate V"/>
        <s v="die Wirklichkeit und welche Möglichkeiten bieten sich, Andere zu beeinflussen werten Befragungen zum Konsumverhalten aus. - Endlich erwachsen: Wachsende Rechte - wachsende Verantwortung Die Schülerinnen und Schüler erkennen, dass individuelle Verhaltenswe"/>
        <s v="auf den Sozialstaat überträgt, indem er es für sozial gerecht hält, für diejenigen Politik zu machen, die Leistungen zum Erhalt der Gesellschaft und damit des Sozialstaates erbringen, sich also sozialinvestiv verhalten, nicht für diejenigen, die ein sozia"/>
        <s v="bei Verlust, Misserfolg, Krankheit Umgang mit Gewalt Werteorientierung Beurteilen von persönlichkeitsgefährdendem Krisenverhalten Entstehung von Abhängigkeiten: Drogensucht, Workaholics, Magersucht, Bulimie, Spielsucht, maßloses Verhalten Medien im Spannu"/>
        <s v="und ökonomische Zusammenhänge, divergierende Interessenslagen und Lösungsmöglichkeiten insbesondere vor dem Hintergrund der Einflussmöglichkeiten von Akteuren heraus. Über das ökonomische Fachkonzept Anreize/Restriktionen konkretisieren sie Auswirkungen k"/>
        <s v="biologisches Mängelwesen, das diese biologischen Mängel durch seine geistigen Fähigkeiten ausgleicht, anhand des Textes Der Mensch als Mängelwesen und Prometheus von Arnold Gehlen Unterscheiden von Instinkt und Trieb Gegenüberstellung: tierisches Verhalte"/>
        <s v="Chance und Bedrohung Selbsterkenntnis, Eigenverantwortung, Neuanfang Hoffnungs- und Orientierungslosigkeit bei Verlust, Misserfolg, Krankheit Umgang mit Gewalt Werteorientierung Beurteilen von persönlichkeitsgefährdendem Krisenverhalten Entstehung von Abh"/>
        <s v="ermöglichen. Die folgenden Beispiele beschreiben Themenbereiche, aus denen Teilaspekte als Prüfungsthemen für die fünfte Prüfungskomponente als mündliche Prüfung in neuer Form besonders geeignet erscheinen: Langzeitbeobachtungen und -messungen des Erleben"/>
        <s v="gestaltet werden können. In diesem Lernbereich wird der Besuch regionaler Beratungsstellen und Selbsthilfegruppen empfohlen, in denen der Schüler mögliche Unterstützungsangebote kennenlernt. Klassenstufe Sachkompetenz Der Schüler kann - angepasstes und ab"/>
        <s v="Wissenschaft Psychologie darstellen Phänomenologische Kompetenz - aus eigener Erfahrung gewonnene alltagspsychologische Kenntnisse identifizieren und von Merkmalen der wissenschaftlichen Theorie unterscheiden - Gegenstand der Psychologie durch die Betrach"/>
        <s v="Schwerpunkte, bevor zum Ende der Schulzeit die aktuellen Erkenntnisse zur Evolution des Menschen vorgestellt werden. Das menschliche Gehirn als Ergebnis eines Evolutionsprozesses sowie die proximate und ultimate Sicht auf die Verhaltensweisen von Organism"/>
        <s v="Auf der Grundlage von Verhaltensbeschreibungen aus ihrer Lebenswelt suchen die Schülerinnen und Schüler nach Ursache-Wirkungs-Beziehungen zur Erklärung psychischer Phänomene. Sie identifizieren multifaktorielle Kausalbezüge und analysieren die Komplexität"/>
        <s v="und Effektoren unter Berücksichtigung energetischer Aspekte exemplarisch erläutern - biologische Grundlagen von Sucht und Stress materialgestützt ableiten - lebensrettende Sofortmaßnahmen begründen - Wirkmechanismen von Hormonen materialgestützt erklären "/>
        <s v="interpretiert werden können. Um psychologische Interpretationen qualitativ einzuschätzen, wählen sie aus vorgegebenen Kriterien geeignete aus. Sie formulieren fachlich begründete Vermutungen über die mit den verschiedenen Deutungen verbundenen Absichten. "/>
        <s v="Ressourcen, vgl. z. B. SDG , , , S Antisoziales Verhalten Übergreifend Inhalte Fachbezogen Umsetzungshilfen Leitperspektiven Aufgabengebiete Medienerziehung Sexualerziehung Sprachbildung Fachübergreifende Bezüge Begriffsbestimmung Begriffsunterscheidung A"/>
        <s v="zusätzlich zum Grundkurs mögliche Beiträge zur Kompetenzentwicklung Die Lernenden ... - unterscheiden zwischen Alltagsund Fachsprache bei der Abgrenzung nichtnaturwissenschaftlicher Vorstellungen zur Evolution. K - betrachten den Zusammenhang von Evolutio"/>
        <s v="Märkten Wirtschaftslehre Hauptphase GK In der Realität eröffnet die Unvollkommenheit von Märkten durch z. B. das Fehlen von Markttransparenz und ein verzögertes Reaktionsverhalten der Marktteilnehmerinnen und -teilnehmer weitreichende Möglichkeiten strate"/>
        <s v="Märkten Wirtschaftslehre Hauptphase LK In der Realität eröffnet die Unvollkommenheit von Märkten durch z. B. das Fehlen von Markttransparenz und ein verzögertes Reaktionsverhalten der Marktteilnehmerinnen und teilnehmer weitreichende Möglichkeiten strateg"/>
        <s v="und punktuell zu vertiefen. Kompetenzen: Schülerinnen und Schüler werten Daten zur Anatomie, Genetik oder Immunbiologie aus, um Verwandtschaftsbeziehungen zu erkennen, wenden Wissen über die Abstammung des Menschen an, um ausgewählte Verhaltensweisen des "/>
        <s v="situationsgerechten Beantwortung biologischer Fragestellungen. formulieren unter Nutzung fachwissenschaftlicher Erkenntnisse der Biologie systematisch und begründet Handlungsoptionen, wenden dabei Entscheidungsstrategien an und reflektieren über getroffen"/>
        <s v="Bedingungen normaler Entwicklungsverläufe deutlich. Q Persönlichkeit und Verhalten Dieser Themenbereich beschäftigt sich grundsätzlich mit der theoriegestützten Beurteilung des Erlebens und Verhaltens von Individuen. Fragestellungen dieses Themenbereichs "/>
        <s v="Proteinbiosynthese bei Eukaryoten Embryonalstadien und Entwicklung im Mutterleib gentechnische Verfahren in der Tier- und Pflanzenzüchtung gentechnische Verfahren in der Medizin Lernabschnitt : Fortpflanzung genetische Vielfalt des Menschen MHC-System Par"/>
        <s v="Zelltod Proteinbiosynthese bei Eukaryoten Embryonalstadien und Entwicklung im Mutterleib gentechnische Verfahren in der Tier- und Pflanzenzüchtung gentechnische Verfahren in der Medizin Lernabschnitt : Fortpflanzung genetische Vielfalt des Menschen MHC-Sy"/>
        <s v="Lymphe beschreiben - die Regulierung des Blutzuckerspiegels erläutern Regelkreis, Zusammenspiel von Insulin und Glukagon - Maßnahmen zur Gesunderhaltung erläutern: bedarfsangepasste z. B. bzgl. Alter, Aktivität Ernährung ballaststoffreiche Ernährung Präve"/>
        <s v="Hilfestellung entwickeln und die Gegenseite damit konfrontieren. H: sich im Sinne eines Perspektivwechsels in die Situation, Interessen und Denkweisen anderer Menschen versetzen, diese Interessen und Denkweisen simulativ vertreten sowie das Verhalten in d"/>
        <s v="über Bewegung und Antriebe zur Entwicklung oder Optimierung eigener Modelle. Natürliche und technische Bewegungsformen fordern zur kritischen Bewertungen von Mobilität heraus: Im Zusammenhang mit einer nachhaltigen Entwicklung wird das eigene Verhalten al"/>
        <s v="wobei das Basiskonzept Wechselwirkung zur Anwendung kommt. Kompetenzen Fachbegriffe die Amplitude, die Frequenz, die Hypothese, der Lichtstrahl, das Modell, die Ordnung, die Reaktion, die Schwingung, das Sinnesorgan, der Vergleich, das Verhalten, die Well"/>
        <s v="Artenvielfalt System Lebensräume sind durch Umweltfaktoren z. B. Licht, Beutegreifer charakterisiert. An ausgewählten Tierund Pfl anzenbeispielen wird deutlich, dass Lebewesen an ihren Lebensraum angepasst sind z. B. Maulwurf. Körperbau und Verhalten lass"/>
        <s v="Familienkonstellationen. nehmen die Anliegen und Bedürfnisse anderer Familienmitglieder wahr und berücksichtigen sie in ihren Handlungen. zeigen Einsicht in die Notwendigkeit von Regeln und Vereinbarungen innerhalb einer Familie und verfügen über Verhalte"/>
        <s v="zu beschreiben. beurteilen auf der Grundlage von Daten aus Verhaltensbeobachtungen, ob eine Verhaltensweise v. a. auf genetisch bedingten oder erworbenen Anteilen beruht. planen Experimente zur Konditionierung, um die Beeinflussbarkeit von Verhaltensweise"/>
        <s v="und beurteilen kritisch die Chancen der Globalisierung. Sie nehmen begründet Stellung zu aktuellen Fragen der Weltwirtschaft. erläutern die Einflussfaktoren auf Angebot und Nachfrage. Aufbauend darauf schließen sie auf das typische Verhalten der Marktteil"/>
        <s v="Themen und Alltagsbezügen für den Unterricht, deren psychologische Relevanz nicht immer leicht durchschaubar ist. Die Schülerinnen und Schüler verwenden deshalb Paradigmen als zentrale, erkenntnisleitende Prinzipien, um konkrete Phänomene des menschlichen"/>
        <s v="identifizieren multifaktorielle Kausalbezüge und analysieren die Komplexität menschlichen Erlebens und Verhaltens. Mithilfe geeigneter Systeme erfassen und erkennen sie die individuelle Vielfalt menschlichen Erlebens und Verhaltens. Thema Inhalte Mögliche"/>
        <s v="Identität und lernen Möglichkeiten zur reflektierten und verantwortlichen Teilhabe am gesellschaftlichen Leben und in der Demokratie kennen. Sie gewinnen räumliche und historische Orientierung und entwickeln die Bereitschaft für ein verantwortungsvolles V"/>
        <s v="Bestimmung und Einordnung ins System SE traditionelle und digitale Medien zur dichotomen Bestimmung Angepasstheit an Umweltfaktoren Licht, Wasser Wahlbereich : Verhaltensbiologisches Praktikum Gestalten von Beobachtungen und Untersuchungen tierischer oder"/>
        <s v="von der anderer Lebewesen ab. Inhalte zu den Kompetenzen: Zusammenwirken von reaktionsauslösenden Reizen und inneren Faktoren z. B. beim Beutefangverhalten, Balzverhalten, bei der Brutpflege; Attrappenversuche Hinweise für überwiegend genetisch bedingtes "/>
        <s v="erwerben auf diese Weise im Lauf der Gymnasialzeit ein fundiertes Wissen über Bedingungen und Probleme des Zusammenlebens von Menschen, das es ihnen ermöglichen soll, fremdes Verhalten besser zu verstehen, eigenes Verhalten reflektiert einzuschätzen sowie"/>
        <s v="Gruppenprozesse, erläutern informativen und normativen Einfluss als Hauptfaktoren konformen Verhaltens, erläutern Strukturelemente einer Gruppe und Gruppenprozesse am Beispiel des Stanford-Prison-Experiments, erklären anhand der Milgram-Experimente Gehors"/>
        <s v="so psychologische Aspekte im Alltag. Auf dieser Grundlage identifizieren sie alltagspsychologische Herangehensweisen und unterscheiden diese von wissenschaftlichen. Sie erschließen sowohl Möglichkeiten der Wissenschaft Psychologie bei der Betrachtung mens"/>
        <s v="Entwicklungen in der Pubertät aufzeigen. Selbst- und Sozialkompetenz Der Schüler kann - mit Hilfe von Selbsterfahrungs- und Interaktionsübungen eigene Erfahrungen in der Pubertät reflektieren, - sein eigenes Verhalten mit dem Verhalten Gleichaltriger verg"/>
        <s v="verstandene Handlungskompetenz ist Ziel eines kompetenzorientierten Unterrichts im Fach Politik-Wirtschaft. Die Schülerinnen und Schüler sind wahrnehmbar handlungskompetent, wenn sie begründet eine eigene Meinung vertreten, andere Meinungen nachvollziehen"/>
        <s v="UNTERRICHT / DEMOKRATIETAG / PROJEKTARBEIT Recherche im örtlichen Reisebüro nach Reiseangeboten für nachhaltiges Reisen Planung einer Klassenfahrt Ausstellung zu touristischen Reisezielen in Rheinland-Pfalz Umfrage in der Schule zu Reisezielen und -verhal"/>
        <s v="ab. erklären Koevolution ultimat und vermeiden dabei finale Begründungen. Das Verhalten eines Individuums beeinflusst seine Überlebenswahrscheinlichkeit und reproduktive Fitness. Sachkompetenz Erkenntnisgewinnungskompetenz Kommunikationskompetenz Bewertun"/>
        <s v="Natur. Ein besonderes Augenmerk des Biologieunterrichts liegt auf der aktiven Gesundheitsvorsorge. Aus den Kenntnissen von Bau und Funktion des eigenen Körpers leiten die Schülerinnen und Schüler Maßnahmen zur Vermeidung gesundheitsgefährdender Verhaltens"/>
        <s v="Was kann ich damit anfangen verschiedene Interessenlagen beschreiben, Gegenstände und Interessenlage mit denen Menschen Dinge beurteilen; Was sagt die ästhetische Gestaltung der Aussagekraft von Zimmereinrichtungen oder Umwelt über Personen aus Verhaltens"/>
        <s v="lebensrettende Sofortmaßnahmen begründen - Wirkmechanismen von Hormonen materialgestützt erklären - Grundelemente des Verhaltens auf proximater Ebene im Zusammenhang mit Reflexen sowie dem Schlüsselreiz-AAM-Konzept exemplarisch erläutern - Lernvorgänge al"/>
        <s v="Nervensystem , , MB Medienanalyse; Mediengesellschaft Die Schülerinnen und Schüler können ein psychologisches Gedächtnismodell darlegen, den Begriff Intelligenz beschreiben und problematisieren sowie Strategien zur Verbesserung kognitiven Lernens für das "/>
        <s v="verständlich entwickeln und die Gegenseite damit konfrontieren. H: sich im Sinne eines Perspektivwechsels in die Situation, Interessen und Denkweisen anderer Menschen versetzen, diese Interessen und Denkweisen simulativ vertreten, das eigene Verhalten in "/>
        <s v="auf die Lebenswelt der Schülerinnen und Schüler durch eine Auswahl von Unterrichtsthemen und geeigneten Anwendungsbeispielen hergestellt werden, die nicht direkt in ihre Privatsphäre eindringen. Da der Psychologieunterricht auch Missverständnisse, abweich"/>
        <s v="neue Medien Social Media Einer der folgenden Bereiche medienvermittelter Kommunikation menschliches Erleben und Verhalten im Zusammenhang mit der Nutzung von Medien soll vertieft behandelt werden: Sozialpsychologische Bedingungen des Erlebens und Verhalte"/>
        <s v="Das Modell von Hersey/Blanchard umfasst einen wesentlich umfangreicheren Bereich der für die Unternehmen relevanten Führungsvariablen als das Modell des Social-Man. Im Gegensatz zu vielen anderen Führungsstilmodellen spielt hier auch das Verhalten der Gef"/>
        <s v="Querschnittsaufgabe Kompetenzen und Inhalte im Fach Psychologie Überfachliche Kompetenzen Fachliche Kompetenzen Inhalte Lernen im Fach Psychologie Didaktische Grundsätze Im Rahmen des Psychologieunterrichts setzen sich die Schülerinnen und Schüler mit dem"/>
        <s v="das eigene Selbstverständnis sowie dessen normative Prämissen reflektieren. Schülerinnen und Schüler können psychologische Fallbeispiele analysieren und beurteilen. Im Einzelnen können sie ... aktuelle psychische Prozesse wie Wahrnehmung, Kognition, Emoti"/>
        <s v="Lebensform. Hierbei geht es um Fragen des demokratischen sozialen Zusammenlebens der Menschen, beispielsweise die Interaktionen im Klassenzimmer, in der Schule und in der Familie. Bereits in der Schule müssen demokratische Verhaltens- und Konfliktlösungsm"/>
        <s v="deshalb möglich, einzelne Aspekte in anderen Themenfeldern an passenden Stellen zu behandeln. TF , TF Individualität und Entwicklung und TF Biologische Anthropologie lassen sich auf der Kontextebene thematisch verbinden. Menschliches Verhalten wird unter "/>
        <s v="Preis-Absatz-Funktion Handlungskompetenz, erklären die Verhaltensweisen und Marktstrategien eines Oligopolisten, beurteilen die grundsätzlichen Möglichkeiten eines Oligopolisten, sich seinen Konkurrenten gegenüber wirtschaftsfriedlich oder wirtschaftsfein"/>
        <s v="Fitnessmaximierung Information und Kommunikation - Weitergabe von Erfahrungen als Bestandteil der kulturellen Evolution des Menschen - sexuelle Selektion - Sozialverhalten bei Primaten Individuelle und evolutive Entwicklung - ultimate Ursachen von Verhalt"/>
        <s v="dieser Basis differenziert Stellung zur grundsätzlichen Umsetzung dieses Grundrechts in unserer Gesellschaft. erkennen anhand von Beispielen das Spannungsfeld zwischen Recht und Gerechtigkeit in einer demokratischen Gesellschaft. verstehen tolerante und p"/>
        <s v="Umsetzungshilfen Aufgabengebiete Sexualerziehung Sprachbildung Fachübergreifende Bezüge Grundbegriffe Komponenten physiologisch, konativ, kognitiv, motivational primäre und sekundäre Emotionen Kompetenzen gA Kompetenzen eA Fachinterne Bezüge M Paradigmen "/>
        <s v="Motivation, Modellvorstellungen - Konfliktverhalten Sozialverhalten - Kommunikation - Formen des Zusammenlebens, Sozialstrukturen - Reviere, Fortpflanzungsstrategien - Rangordnung, Aggression Physiologische Grundlagen des Verhaltens - Informationsaufnahme"/>
        <s v="psychischer Phänomene aus der Sicht verschiedener Paradigmen die Vielschichtigkeit und Bedingtheit eines Beurteilungsproblems zu erschließen sowie eigene Wertmaßstäbe und Beurteilungskriterien zu reflektieren. Die Psychologie beschäftigt sich mit dem Erle"/>
        <s v="und Reaktionsverbundenheit und die damit einhergehende Unsicherheit anhand einer vorgegebenen Preis-Absatz-Funktion Handlungskompetenz. Preisbildung auf unvollkommenen Märkten Wirtschaftslehre Hauptphase GK Sachkompetenz Orientierungs-, Methoden-, Beurtei"/>
        <s v="Weltanschauungen und Religionen auseinander. Sie erwerben auf diese Weise im Lauf der Gymnasialzeit ein fundiertes Wissen über Bedingungen und Probleme des Zusammenlebens von Menschen, das es ihnen ermöglichen soll, fremdes Verhalten besser zu verstehen, "/>
        <s v="in moralisch relevanten Handlungssituationen Wie rechtfertige ich anderen gegenüber moralisch relevante Handlungen Welche moralisch anerkannten Grundlagen gibt es in verschiedenen Gesellschaften Welche ethischen Probleme sollten gesellschaftlich gelöst we"/>
        <s v="fachbezogener und fachübergreifender Anwendungsbezüge Paradigmen der Psychologie: Psychobiologie Alltagsbezüge: Bindung und Bindungsstörungen im Kontext von z. B. MutterKind-Beziehung, Vater-Kind-Beziehung, Paarbeziehung, eigener Persönlichkeit, Heimerzie"/>
        <s v="Pubertät, geben an, dass die Entwicklung individuell unterschiedlich verläuft, unterscheiden zwischen primären und sekundären Geschlechtsmerkmalen, beschreiben die psychischen Veränderungen, die während der Pubertät auftreten und deren Folgen, kommunizier"/>
        <s v="anderer kriteriengeleitet überprüfen g, U: den Zusammenhang von Sinn-vorstellungen und gesellschaftlichen Strukturen reflektieren e, H: anderen Positionen tolerant und gegebenenfalls begründet kritisch begegnen g, H: undemokratische und rechtsstaatswidrig"/>
        <s v="verantwortliches Handeln abzuleiten z. B. zur Körperpflege, Verhütungsmethoden, Verhalten in der Schwangerschaft. Beitrag zur Entwicklung der Basiskonzepte: System: Information und Kommunikation Innerhalb des Organismus werden Informationen zwischen den O"/>
        <s v="Das Verhalten eines Individuums beeinflusst seine Überlebenswahrscheinlichkeit und reproduktive Fitness. Sachkompetenz Erkenntnisgewinnungskompetenz Kommunikationskompetenz Bewertungskompetenz Die Lernenden... analysieren Kosten und Nutzen von Verhaltensw"/>
        <s v="und Weichtieren möglich Bandwürmer, Spulwurm, Madenwurm Hygiene und Schutzmaßnahmen Beispiele für die Verknüpfung von Inhalten und prozessbezogenen Kompetenzen: S: die vollständige und unvollständige Metamorphose an Beispielen beschreiben E: Versuche zum "/>
        <s v=", LB Bau und Funktion der Geschlechtsorgane Bedeutung von Sexualität und Fortpflanzung Vergleich Mensch - Tier Problematik des sexuellen Missbrauchs, Prävention Sexuelle Vielfalt Menstruationszyklus Kl. , LB Schwangerschaft und Geburt Verhaltensweisen wäh"/>
        <s v="Intention unterschiedlicher Darstellungsweisen zu beurteilen. reflektieren zentrale Ursachen des demografischen Wandels, um Möglichkeiten und Grenzen staatlicher Lenkung zu erkennen und eine aktuelle politische Maßnahme z. B. im Bereich des generativen Ve"/>
        <s v="ein Verständnis sozialer Phänomene. Dabei stehen sozialpsychologische Frage- und Problemstellungen im Mittelpunkt. Neben sozialer Wahrnehmung und Einstellung sowie Einstellungsänderung behandeln die Schülerinnen und Schüler Gruppenprozesse und setzen sich"/>
        <s v="verschiedener Entenarten und der Gesang von schallisoliert aufgezogenen Buchfinken, Ritualisierung, Kaspar-Hauser-Experimente vgl. Erklärung im Vorwort auf S. sowie im Anhang b erklären, dass nach neuen Erkenntnissen der Epigenetik auch erworbenes Verhalt"/>
        <s v="vom Lernalter sind diese ganz konkreter Natur Weshalb fügen sich Sklaven im alten Ägypten ihrem harten Schicksal oder umfassender und grundsätzlicher Lassen sich aus der Weltwirtschaftskrise nützliche Erkenntnisse für gegenwärtiges Verhalten ziehen. Orien"/>
        <s v="Handlungskompetenz Die Schülerinnen und Schüler erklären die Verhaltensweisen und Marktstrategien eines Oligopolisten, Die Schülerinnen und Schüler beurteilen die grundsätzlichen Möglichkeiten eines Oligopolisten, sich seinen Konkurrenten gegenüber wirtsc"/>
        <s v="Grenzen, Regeln, Homöostase, unterscheiden Strukturelemente einer Gruppe im Hinblick auf Normen, Rollen, Status und Kohäsion, analysieren Entscheidungsfindung und Deindividuation als zentrale Gruppenprozesse, erläutern informativen und normativen Einfluss"/>
        <s v="Erleben und Verhalten psychologisch reflektieren Die Schülerinnen und Schüler zeigen sich kompetent in den beschriebenen Kompetenzbereichen, wenn sie auf der Grundlage psychologischen Wissens einfache psychische Phänomene des menschlichen Erlebens und Ver"/>
        <s v="Selbsthilfegruppen empfohlen, in denen der Schüler mögliche Unterstützungsangebote kennenlernt. Klassenstufe Sachkompetenz Der Schüler kann - angepasstes und abweichendes Verhalten im gesellschaftlichen Kontext erläutern, - Vor- und Nachteile angepassten "/>
        <s v="wesentliche Voraussetzung für ein Verständnis von Schlüsselproblemen unserer Zeit und damit für den Anspruch auf Selbst- und Mitbestimmung in der Gesellschaft. Das Fach Biologie leistet einen Beitrag zum Verständnis des Verhaltens von Lebewesen und der Ro"/>
        <s v="begrndet Woran orientiert sich menschliches Handeln Grundfragen der Was soll ich tun Was macht eine Handlung zu einer moralischen Handlung hilosophischen Ethik Wie rechtfertige ich mein Tun Wie werden Handlungen, Verhaltensweisen und Einstellungen moralis"/>
        <s v="abhängige Variable, Bezeichnung von Messgröße, Größensymbol und Einheit Quellen: v. a. Schulbuch, populärwissenschaftliche Literatur und altersgemäße digitale Medien Gesundheitsbewusstsein und Verantwortung: z. B. Gesundheitsvorsorge, Stressbewältigung, S"/>
        <s v="handlungsbedingenden Anreize und Restriktionen in den jeweiligen sozialen Situationen zurückführen. Die ökonomische Perspektive fokussiert die Handlungsbedingungen einer sozialen Situation und unterstellt zu Analysezwecken, dass sich die Individuen ration"/>
        <s v="es entsprechend, dass die Schülerinnen und Schüler mit dieser Verschiedenheit angemessen umgehen können, sie auf ihren Alltag anwenden können und auf der Grundlage differenzierter Kenntnisse zu alltäglichen Fragen, die menschliches Verhalten und Erleben b"/>
        <s v="- eine Zeit des Suchens Merkmale von Jugend: Anzweifeln von Autoritäten, Protest, Rebellion gegen Wertvorstellungen der Erwachsenen, Suche nach dem eigenen Ich, Bedeutung von Peergroups Straftaten in Verbindung mit Drogen, Verhalten als Mitwisser, Hilfsan"/>
        <s v="Medienpsychologie Klinische Psychologie und Gesundheitspsychologie Operatoren Anhang Verweise Abkürzungen Geschlechtergerechte Sprache Besondere Schriftauszeichnungen Leitgedanken zum Kompetenzerwerb Bildungswert des Faches Im Psychologieunterricht gewinn"/>
        <s v="Lebensfragen zu erhalten. entwickeln in der mehrperspektivischen Auseinandersetzung mit der Wesensbestimmung des Menschen ein differenziertes Verständnis von sich selbst und anderen. erkennen Einflüsse der evolutionären Herkunft des Menschen auf sein Verh"/>
        <s v="- Demokratie - Sozialismus Nationalsozialismus - Weltdeutungen Stundenansatz: / Grundbegriffe Sendungsbewusstsein, Rassenlehre, Widerstand Basis: n Kennzeichen einer Ideologie n Begründungen und Träger von Ideologien n Auswirkungen von Ideologien auf die "/>
        <s v="Konflikte Konfliktlösungen Wie werden Beziehungen zwischen Einzelnen, Gruppen und Völkern tolerant und gerecht gestaltet analysieren an Beispielen Ursachen, Konsequenzen und Strafen für abweichendes Verhalten. vergleichen Konsequenzen und Strafen für abwe"/>
        <s v="wie auch proximater und ultimater Erklärungsweisen kann in diesem Themenfeld analysiert werden. Das Themenfeld bietet besondere Anknüpfungspunkte zu den übergreifenden Themen Nachhaltige Entwicklung/Lernen in globalen Zusammenhängen und Gewaltprävention. "/>
        <s v="den ersten allgemeinbildenden Schulabschluss ESA Mindestanforderungen für den mittleren Schulabschluss MSA Mindestanforderungen für den Übergang in die Studienstufe am Ende der Jahrgangsstufe gewichten Handlungsoptionen für Entscheidungen zu bewertungsrel"/>
        <s v="herausarbeiten. Selbst- und Sozialkompetenz Der Schüler kann - seine Mitschüler in ihren Stärken und Schwächen einschätzen und individuelle Eigenarten akzeptieren, - eigene Bedürfnisse und Zielvorstellungen artikulieren, - darüber reflektieren, welches Ve"/>
        <s v="unterschiedliche Formen des Zusammenlebens bei Menschenaffen, b endogene Ursachen, exogene Ursachen b analysieren Verhaltensmuster hinsichtlich endogener und exogener Ursachen, b endogen: z. B. physiologische Ursachen wie Hunger, exogen: z. B. Verhalten v"/>
        <s v="aus Informationen zu Aufbau und Vermehrung von Viren und Bakterien Hygienemaßnahmen ableiten und einhalten. K, K Bewertung Die Schülerinnen und Schüler können ... auf der Basis biologischer Erkenntnisse ihr persönliches Verhalten gegenüber sich selbst und"/>
        <s v="Kommunikationskompetenz - als Voraussetzung für die differenzierte und zielgerichtete Anwendung der Fachsprache Inhalte psychologischer Begriffe wiedergeben und zuordnen Grundlegende Wissensbestände - Merkmale und Funktion der Alltagspsychologie - Gegenst"/>
        <s v="Um diesen Lernprozess anzuregen, ist die Aufgabe der Reflexion für die Lernenden in diesem Kompetenzerwerbsprozess vielfältig. Will man sich zum eigenen Tun und Lassen sowie zu den Handlungen anderer Menschen verhalten, geschieht dies durch Wahrnehmen und"/>
        <s v="den Verlauf des weiblichen Zyklus ableiten Kommunikationskompetenz - biologische Veränderungen während der Pubertät darstellen - Möglichkeiten der Prävention vor sexuellem Missbrauch reflektieren und mit Alltagssituationen in Beziehung setzen z. B. Verhal"/>
        <s v="ergeben. identifizieren ein aktuelles Handlungsfeld der Globalisierung und erkennen die Notwendigkeit internationaler Kooperation zur Lösung globaler Probleme. erkennen Möglichkeiten eigener Einflussnahme auf ein aktuelles Handlungsfeld der Globalisierung"/>
        <s v="des menschlichen Verhaltens und Erlebens nach vorgegebenen Kriterien konstruieren ähnliche Fachbegriffe voneinander abgrenzen und interpretieren eigene Fragestellungen zu verschiedenen Teildisziplinen der Psychologie formulieren Erklärungen unterschiedlic"/>
        <s v="B. Diabetes - chemische Zeichensprache auf biologische Prozesse anwenden Bewertungskompetenz - Möglichkeiten und Grenzen biologischer Sichtweisen z. B. experimentelle Methode beurteilen - zu Zusammenhängen zwischen Diabetes und Lebensführung sowie eigenem"/>
        <s v="Partizipation sowohl unterstützen als auch gefährden. Medienkompetenz bedeutet in diesem Zusammenhang, den Wahrheitsgehalt von Informationen kritisch zu hinterfragen und Intentionen zu erkennen. Schülerinnen und Schüler müssen darüber hinaus ihr eigenes V"/>
        <s v="in diesem Zusammenhang der gängigen Unterscheidung von Ethik als Reflexion und Begründung der Moral und Moral als Inbegriff von Überzeugungen, Werten und Normen in einer Gesellschaft, die sich auf das Verhalten der Menschen zueinander und zu der Natur bez"/>
        <s v="Komplexität menschlichen Erlebens und Verhaltens. Mithilfe geeigneter Systeme erfassen und erkennen sie die individuelle Vielfalt menschlichen Erlebens und Verhaltens. Thema Inhalte Mögliche Konkretisierungen Warum verhalten wir uns so Analyse menschliche"/>
        <s v="Normen, entwickeln Handlungsoptionen für Entscheidungen zu bewertungsrelevanten Sachverhalten, treffen Entscheidungen auf der Grundlage von Handlungsoptionen und Bewertungskriterien, nennen Folgen von Entscheidungen für die Natur, das Individuum und die G"/>
        <s v="Menschwerdung und wie wird der Mensch sich entwickeln In diesem Themenfeld geht es nicht darum, Evolution zu beweisen, sondern die Evolution als Denkrahmen vorzugeben. Mit Hilfe der Evolutionsgeschichte können menschliche Verhaltensweisen erklärt werden. "/>
        <s v="Schüler können ... aufgrund eines Energiediagramms eine chemische Reaktion begründet als exotherme oder endotherme Reaktion einordnen. K Verfahren des Feuerlöschens mit Modellversuchen demonstrieren. K Gefahrstoffsymbole und Gefahrstoffhinweise adressaten"/>
        <s v="auf die soziale Umwelt gut behandelt werden. AB II u. III B. Bewertungshorizont für die Noten gut und ausreichend Für die Note gut sollten die Merkmale der Definition des abweichenden Verhaltens vollständig dargestellt und zutreffend auf den Fall Christia"/>
        <s v="Chancengleichheit / -gerechtigkeit Frauengesetzgebung Zusammenleben mit Ausländern und Asylrecht Die Schülerinnen und Schüler sollen - einen Einblick gewinnen in Fragen und Probleme des Zusammenlebens mit zugewanderten Minderheiten Fremdheit, Vorurteile, "/>
        <s v="- alltagsgebräuchlichen Begriff der Persönlichkeit und psychologisches Konstrukt Persönlichkeit benennen - individuelle Ausprägungen des psychologischen Konstrukts Persönlichkeit beschreiben - verschiedene Persönlichkeitstheorien darstellen - Bewusstwerde"/>
        <s v="der Politik Zusammenleben mit Ausländern und Asylrecht Lernziele Inhaltsaspekte Die Schülerinnen und Schüler sollen - Probleme bei der Gestaltung des Zusammenlebens von Deutschen mit zugewanderten Minderheiten erörtern Fremdheit, Vorurteile, individuelles"/>
        <s v="antisozialen Verhaltens: Unterscheidung zwischen ... o instrumenteller und feindseliger Aggression o physischer und verbaler Aggression o direkter und indirekter Aggression Kompetenzen gA Kompetenzen eA Fachinterne Bezüge M Paradigmen M Prosoziales Verhal"/>
        <s v="Leerkosten. begründen verbal und grafisch die Entstehung von Nutz- und Leerkosten und die Möglichkeit der Abbaubarkeit der Leerkosten Beurteilungskompetenz. Marktformen und Marktprozesse auf dem vollkommenen Markt Wirtschaftslehre Hauptphase GK Das Verhal"/>
        <s v="in der Politik Zusammenleben mit Ausländern und Asylrecht Lernziele Inhaltsaspekte Die Schülerinnen und Schüler sollen Probleme bei der Gestaltung des Zusammenlebens von Deutschen mit zugewanderten Minderheiten erörtern Fremdheit, Vorurteile, individuelle"/>
        <s v="Basiskonzepts Information und Kommunikation / - Oberstufe Population Kommunikationsprozesse stabilisieren soziale Verbände. Kommunikation ist ein zentraler Bestandteil der Evolution des Menschen. OS-IK,OS-IK Organismus Informationsaufnahme und Verarbeitun"/>
        <s v="aber eine gekonnte. Sie verstehen ihr Mundwerk. Ihre dreiste Frechheit, ihr Schnodder-Ton, ihre schlagfertige Unverschämtheit, ihre Selbstironie, ihr harmloser Witz sind entwaffnend. Ein Gentleman auf der Leinwand ist über ihr Verhalten empört. Doch Ringo"/>
        <s v="aktiv werden. Der Schwerpunkt dazu ist die Schaffung eines historischen Bewusstseins, dem die Erkenntnis zugrunde liegt, dass das Zusammenleben von Menschen und deren Lebenssituationen aktiv und dynamisch veränderbar sind und Verhaltensweisen von der jewe"/>
        <s v="dieser Grundlage die Aussagen zur Sicherheit kritisch reflektieren E, E, B. Bewertung Die Schülerinnen und Schüler können die Übernahme von Verantwortung für sich selbst und andere im Hinblick auf sexuelles Verhalten an Fallbeispielen diskutieren B, K, be"/>
        <s v="sich auf den unmittelbaren Grund für ein Verhalten bzw. Phänomen. Beispiel: Das Fell des Eisbären hat keine Pigmente und sieht deshalb weiß aus. Ultimate Erklärungen beziehen sich darauf, wie ein Verhalten bzw. Phänomen im Laufe der Evolution entstanden i"/>
        <s v="Mensch-Menschenaffe unter morphologischen, anatomischen, ethologischen und molekularbiologischen Gesichtspunkten Soziokulturelle Evolution des Menschen Beginn bei den Hominiden ursprüngliche und abgeleitete Merkmale Die Entwicklung von Tradition ist mit e"/>
        <s v="GG: Chancengleichheit / -gerechtigkeit Frauengesetzgebung Zusammenleben mit Ausländern und Asylrecht Die Schülerinnen und Schüler sollen einen Einblick gewinnen in Fragen und Probleme des Zusammenlebens mit zugewanderten Minderheiten Fremdheit, Vorurteile"/>
        <s v="auf ihren sachlichen und ideologischen Gehalt, treffen Entscheidungen sachgerecht, selbstbestimmt und verantwortungsbewusst. Am Ende des Schuljahrgangs können die Schülerinnen und Schüler biologische Sachverhalte in einem neuen Bewertungskontext erklären,"/>
        <s v="die eine Orientierung in Gegenwart und Zukunft ermöglichen. Orientierungskompetenz verhilft auch dazu, sich kritisch reflektierend gegenüber der Funktionalisierung von Geschichte durch Politik sowie gegenüber Angeboten einer breit gefächerten Geschichtsku"/>
        <s v="und Schüler angeleitet werden, sich kritisch und selbstbestimmt mit Kommunikationswegen und der Entstehung von Kommunikationsstörungen zu befassen. Kompetenzen Fachinterne Bezüge M Psychologie der Gruppe S. Konstruktivismus S. AOPsychologie S. Antisoziale"/>
        <s v="Pubertät und unterstützt die Persönlichkeitsentwicklung durch die Reflexion der eigenen Rolle und des eigenen Handelns. Leitend sind insgesamt die Erziehung zu partnerschaftlichem und verantwortungsbewusstem Handeln, zu Respekt vor verschiedenen sexuellen"/>
        <s v="Psychobiologie - peripheres und zentrales Nervensystem - Reizleitung - Hirnarchitektur - visuelles System - Bindungstheorie BOWLBY P A R A D I G M - Konstitutionstypologien - Temperamente - prosoziales Verhalten und Altruismus HAMILTON, TRIVERS E N - Krit"/>
        <s v="Selektionsformen stabilisierend, transformierend, disruptiv, Alleldrift; Fitness Artbildung als Folge von geographischer und ökologischer Isolation; reproduktive Isolation und populationsgenetischer Artbegriff; Problematik des Artbegriffs Koevolution: mut"/>
        <s v="Pro- und Kontra-Diskussion, Präsentationen Werteorientierung Medienbildung Wahlbereich : Werte und Normen Anwenden von Kenntnissen über Normen und Werte auf die individuelle Lern- und Leistungsbereitschaft Wertbegriffe, Betrachten von Wertkonflikten, Wert"/>
        <s v="Kaufverhalten, Werbung, politisches Engagement, Wahlkampf Forschungsmethoden: Beschreibung von und Auseinandersetzung mit klassischen Experimenten und Formen der Datenerhebung, z. B. -Dollar-Experiment Festinger Carlsmith zur Dissonanz Experiment zum Zusa"/>
        <s v="aber nicht immer befriedigenden Kompromissen. U Sie bewerten Marktwirtschaft und wirtschaftspolitisches Handeln hinsichtlich der Gewährleistung von Freiheit, Gerechtigkeit und ökologischer Verträglichkeit in Wirtschaft und Gesellschaft. U Sie reflektieren"/>
        <s v="Hypophyse, Hoden, Eierstöcke Ablauf des Menstruationszyklus - Grundzüge der vorgeburtlichen Entwicklung Zygote, Embryo, Fetus beschreiben und Maßnahmen zur Gesunderhaltung der Schwangeren sowie des ungeborenen Kindes ableiten - Sexualität als natürliches "/>
        <s v="die zum Untersuchen und Experimentieren erforderlichen Geräte und Materialien sachgerecht verwenden, - sachgerecht bewerten, d. h. die Anwendung naturwissenschaftlicher Erkenntnisse, Verfahren und Methoden in Forschung und Praxis sowie Entscheidungen und "/>
        <s v="Schülerinnen und Schüler eigene Entscheidungen aus Sicht der Verhaltensökonomie kritisch. Zudem analysieren sie unternehmerische und politische Maßnahmen aus verhaltensökonomischer Perspektive. Dabei diskutieren sie auch ethische Aspekte bei der Beeinflus"/>
        <s v="Menschen, empfohlen. Sachkompetenz Der Schüler kann - die Phasen der Pubertät nennen, - die Pubertät als eine notwendige Phase im Entwicklungsprozess einordnen, - den Einfluss der körperlichen Entwicklung auf das Verhalten beschreiben, - Lösungsstrategien"/>
        <s v="eine aktive, reflektierte und autonome Entwicklung von persönlichen Positionen und Haltungen vorbereiten hilft, würde aber seinen vorrangigen Zielen wiederum widersprechen, wollte er diese - etwa als Forderung bestimmter Handlungen oder Verhaltensweisen -"/>
        <s v="unterschiedlichen Rollen in Spielgruppen charakterisieren, - Spielmaterialien im Hinblick auf ihre Entwicklungsförderung beurteilen, - die Bedeutung des Kindergartens als sekundäre Sozialisationsinstanz erfassen. p Der Schüler kann - mittels Beobachtungen"/>
        <s v="z. B. einen Zahlenwert, um daran ihre Einschätzung, z. B. bzgl. der Angemessenheit eines Preises, zu orientieren o Framing: Unterschiedliche Formulierung einer Botschaft - bei gleichem Inhalt - beeinflussen das Verhalten o Priming: Aktivierung einer Erinn"/>
        <s v="eine Vorwegnahme von Inhalten aus der Qualifikationsphase zu vermeiden. Die Reihenfolge der Themenfelder ist nicht festgelegt. Dies ermöglicht es, basierend auf einer geeigneten Lernstandsdiagnose schulspezifische Angebote zu gestalten. Biologie des Verha"/>
        <s v="Armut und Reichtum als relative Begriffe Menschliche Armut im materiellen Überfluss Wege aus der Armut durch Bildung Möglichkeiten der Freizeitgestaltung Empathie und Perspektivwechsel Übertragen der Kenntnisse auf persönliche Einstellungen und Verhaltens"/>
        <s v="Ursache - Wirkung- Beziehungen zur Erklärung psychischer Phänomene. Sie identifizieren multifaktorielle Kausalbezüge und analysieren die Komplexität menschlichen Erlebens und Verhaltens. Mithilfe geeigneter Systeme erfassen und erklären sie menschliches E"/>
        <s v="deren Wechselwirkungen ermitteln - Ziele der Psychologie beschreiben und am Beispiel erläutern - psychologische Fragestellungen verschiedener Disziplinen und ausgewählter Anwendungsgebiete unterscheiden und zuordnen - zur Erfassung verschiedener Erklärung"/>
        <s v="zu können. Dabei erkennen sie den Einfluss der Medien auf eigene Vorstellungen von Sexualität und Schönheit. beschreiben den Menstruationszyklus und erklären dessen Steuerung durch das Zusammenspiel verschiedener Hormone. bewerten verschiedene Verhaltensw"/>
        <s v="Handlungskompetenz: Sie diskutieren die Wechselwirkungen zwischen Wirtschaft, Ideologie und staatlichem Handeln. Sie entlarven gegenwärtige rechtsextremistische Propaganda und begegnen ihr argumentativ. Urteilskompetenz: Sie gelangen zu einem kritischen U"/>
        <s v="die Auseinandersetzung mit politischen, wirtschaftlichen und gesellschaftlichen Sachverhalten, Problemen und Interdependenzen ermöglicht. Die zentrale Aufgabe des politisch-ökonomischen Lernens ist es, den Schülerinnen und Schülern Raum für Eigenständigke"/>
        <s v="in der Fähigkeit, psychologische Sachverhalte problembezogen und adressatengerecht zu kommunizieren und zu präsentieren. Eine Besonderheit der Auseinandersetzung mit psychologischen Fragestellungen besteht darin, dass der zentrale Gegenstand, das menschli"/>
        <s v="Selbsthilfegruppen empfohlen, in denen der Schüler mögliche Unterstützungsangebote kennenlernt. Klassenstufe Sachkompetenz Der Schüler kann - angepasstes und abweichendes Verhalten im gesellschaftlichen Kontext erklären, - Vor- und Nachteile angepassten u"/>
        <s v="unterschiedlicher Darstellungsweisen zu beurteilen. reflektieren zentrale Ursachen des demografischen Wandels, um grundsätzliche Möglichkeiten und Grenzen staatlicher Lenkung zu diskutieren und eine aktuelle politische Maßnahme z. B. im Bereich des genera"/>
        <s v="Hinsicht können moderne Massenmedien demokratische Partizipation sowohl unterstützen als auch gefährden. Medienkompetenz bedeutet in diesem Zusammenhang, den Wahrheitsgehalt von Informationen zu hinterfragen. Schülerinnen und Schüler müssen darüber hinaus"/>
        <s v="und Erlaubnisse, öffentlicher und privater Raum, Hausrecht. Konflikte Konfliktlösungen Wie werden Beziehungen zwischen Einzelnen, Gruppen und Völkern tolerant und gerecht gestaltet analysieren an Beispielen Ursachen, Konsequenzen und Strafen für abweichen"/>
        <s v="den Umgang mit biologischer Vielfalt in der Gesellschaft ableiten lassen. Im Vordergrund der Informationsverarbeitung steht die neuronale Informationsverarbeitung in Lebewesen. Sie liefert Erklärungen und modellhafte Veranschaulichungen für das Verständni"/>
        <s v="Kriterien messen, - die Ergebnisse wichten, - einen Standpunkt formulieren. Bewerten von naturwissenschaftlich bedeutsamen Sachverhalten - ausgewählte Entscheidungen, Maßnahmen und Verhaltensweisen bewerten, d. h. Maßnahmen zur gesundheitsfördernden Leben"/>
        <s v="Regelung; mit Wechselwirkungen g g Der Themenkomplex Wachstum und Entwicklung hat einen Bezug zu den altersgemäßen Erfahrungen der Schülerinnen und Schüler. Sie erleben unbewusst, dass körpereigene Botenstoffe das Befinden, das Verhalten und die biologisc"/>
        <s v="Erziehung und/ oder Manipulation; Vorurteile und Fremdenhass auf ihre Begründbarkeit hin untersuchen; das Phänomen der Fremdheit, Was wäre, wenn all mein Handeln vorherGedankenexperiment einer durchgängigen bestimmt wäre kausalen Bestimmtheit menschlichen"/>
        <s v="befinden, bzw. die psychologischen Fragen, die sich aus ihrer sozialen und psychischen Umwelt ergeben. Die Schülerinnen und Schüler vermögen sich hier auf der Basis eines reflektierten Normalitätsbegriffs mit Erlebens- und Verhaltensweisen auseinanderzuse"/>
        <s v="der Tiersprache kennen lernen, Zusammenarbeit mit dem Fach Biologie Themenbereich II: Was soll ich tun Thema: Unterschiedliche Regelsysteme als Ausdruck sozialer Verbindlichkeiten Ziele: Die Schüler erfahren, dass durch Regeln das Verhalten der Menschen u"/>
        <s v="eines Phänomens angemessen. Lebensweltbezogenes Lernen Biologisches Wissen ermöglicht die Erklärung von Lebensprozessen, insbesondere auch die der eigenen Person, sowie von evolutionären Entwicklungsprozessen. Dies beeinflusst das Handeln in unterschiedli"/>
        <s v="anderen Medien u. a. zu Gefahren von Tabak und Alkohol zusammenfassend wiedergeben. K, K Informationen aus Texten und Abbildungen zu Fehlbelastungen des menschlichen Skeletts und möglichen Schäden zusammenfassen sowie richtiges Verhalten vorführen. K, K I"/>
        <s v="und Gruppenprozesse am Beispiel des Stanford-Prison-Experiments, erklären anhand der Milgram-Experimente Gehorsam gegenüber Autoritätspersonen und erklären das Verhalten der Versuchspersonen, unterscheiden informativen und normativen sozialen Einfluss mit"/>
        <s v="zu alltagspsychologischem Wissen nicht allgemeingültig ist aufgrund psychologischer Erkenntnisse Vermutungen zu eigenen Entwicklungspotenzialen formulieren verschiedene Erklärungen ein und desselben psychischen Phänomens vergleichen und diskutieren H die "/>
        <s v="Kernthemen: a Der Einzelne und sein Mitmensch Inhalte: Der Mensch als soziales Wesen zB in Ehe und Familie, sozialen Gruppen, Staat Die personalen Beziehungen zwischen den Menschen z B solidarisches Verhalten, Kameradschaft, Freundschaft, liebe; Hörigkeit"/>
        <s v="Marsch -, Der große Sprung, Kulturrevolution, Sozialistische Marktwirtschaft beschreiben im Überblick die neuere historische Entwicklung SK, BK, beschreiben das politische System SK, charakterisieren Chinas hybrides Wirtschaftssystem SK, BK, entwickeln an"/>
        <s v="Intelligenz beschreiben und problematisieren sowie Strategien zur Verbesserung kognitiven Lernens für das eigene Verhalten entwickeln Analyse- und Methodenkompetenz , Orientierungs- und Handlungskompetenz , , BIO Nervensystem , menschliches Erleben und Ve"/>
        <s v="Bewertung Die Schülerinnen und Schüler können... Vorteile reflektierender Kleidung für die Sicherheit im Straßenverkehr begründen und für die eigene Sicherheit anwenden. B Präventionsmaßnahmen gegen Lärmschädigungen beurteilen und Konsequenzen für eigenes"/>
        <s v="Lebens Grundwerte Partizipation Wie entstehen in Gesellschaften Regeln, die das Zusammenleben gestalten und wie wird die Einhaltung derer gewährleistet entwickeln Merkmale zur Überprüfung von Helden, Vorbildern und Idolen. stellen die Verhaltensweisen der"/>
        <s v="Vorschläge und Hinweise E Arten verändern sich E Das Verhalten von Tieren ist Ergebnis von Evolution. Die Schülerinnen und Schüler a erworbenes Verhalten, angeborenes Verhalten a beschreiben an Beispielen, dass Verhalten angeboren oder erworben sein kann,"/>
        <s v="des Menschen, z. B. Stressreaktion, zu erklären, beschreiben Einflüsse der kulturellen Evolution technische und medizinische Errungenschaften auf die Entwicklung der Menschheit und der Biosphäre. Beitrag zur Entwicklung der Basiskonzepte: Entwicklung Verh"/>
        <s v="anderen Lernfeldern Innerhalb des Faches Sozialkunde... Zu den Fächern Erdkunde u. Geschichte... n Demokratie im Erfahrungsbereich der Jugendlichen n Leben in der Mediengesellschaft n G: Auswirkungen von Ideologien auf die Verhaltensweisen von Einzelnen L"/>
        <s v="Turgordruck, das Stoma öffnet sich. Funktional: Das Öffnen der Spaltöffnungen ermöglicht den Gasaustausch für die Fotosynthese. Proximate und ultimate Erklärungen Proximate Erklärungen beziehen sich auf den unmittelbaren Grund für ein Verhalten bzw. Phäno"/>
        <s v="Experiment zur Toleranz von Organismen gegenüber einem ausgewählten abiotischen Faktor und führen es unter Berücksichtigung des Variablengefüges durch, nehmen quantitative Daten auf und werten sie aus. beobachten und dokumentieren geschlechtsspezifische V"/>
        <s v="Gesellschaft, Kultur und Natur mit Hilfe empirischen und geisteswissenschaftlicher Methoden untersucht werden. Im Fach Psychologie gewinnen die Schülerinnen und Schüler grundlegende Einsichten in individuelle und interindividuelle Prozesse menschlichen Er"/>
        <s v="beschreiben, - Leistungen der Menschen in verschiedenen Regionen der Erde mit unterschiedlichen kulturellen Prägungen wertschätzen und sich tolerant verhalten. Religionslehre Der Schüler kann am Ende der Klassenstufe - Respekt gegenüber Verhaltensweisen A"/>
        <s v="Entwicklung von wirtschaftlichem Wachstum und Lebensqualität und deren Beschreibungsmöglichkeiten - Tauschbeziehungen und Koordination durch Märkte Geld- und Güterkreislauf, gegebenenfalls vom einfachen zum erweiterten Wirtschaftskreislauf Modellbildungen"/>
        <s v="Hilfe verschiedener Befragungsformen Entwicklungen in der Pubertät aufzeigen. Selbst- und Sozialkompetenz Der Schüler kann - mit Hilfe von Selbsterfahrungs- und Interaktionsübungen eigene Erfahrungen in der Pubertät reflektieren, - sein eigenes Verhalten "/>
        <s v="der Informationsverarbeitung Stress Emotionen und Motivation Schmerz Sucht Erkrankungen des Nervensystems Chronobiologie Signalverarbeitung und Bewegung bei Pflanzen und Einzellern Spezielle Sinnesleistungen bei Tieren Kommunikation und Sprache Neuroethik"/>
        <s v="Schüler mögliche Unterstützungsangebote kennenlernt. Klassenstufe Sachkompetenz Der Schüler kann - angepasstes und abweichendes Verhalten im gesellschaftlichen Kontext erläutern, - Vor- und Nachteile angepassten und abweichenden Verhaltens vergleichen, - "/>
        <s v="verschiedener Erklärungsansätze für Alltagsbeispiele auf Grundlage der Paradigmen unter Anleitung beurteilen Handlungskompetenz - Beschreibung und Interpretation von Verhalten in sozialen Situationen bewusst unterscheiden - anhand ausgewählter Beispiele d"/>
        <s v="operantes Konditionieren Prinzipien der Reizsubstitution, Reizdiskriminierung, Reizgeneralisierung, Löschung Untersuchungsmethoden, Forschungstechniken Laborexperiment objektive Kontrolle der untersuchten Variablen Reduktionismus Theoriebildung durch Vera"/>
        <s v="Stanford-Prison-Experiments, erklären anhand der Milgram-Experimente Gehorsam gegenüber Autoritätspersonen und erklären das Verhalten der Versuchspersonen, unterscheiden informativen und normativen sozialen Einfluss mithilfe grundlegender Experimente, unt"/>
        <s v="der Wählerschaft führt zu einem Anstieg von Wechselwählern oder zur Stimmenthaltung. Anforderungsbereiche I und III Prüfungsteil : Prüfungsgespräch Leitfrage: Beurteilen Sie die Konsequenzen des durch den sozialen Wandels bedingten veränderten Verhaltens "/>
        <s v="Dieses Themenfeld bietet die Möglichkeit, das Grundverständnis der Kinder von Systemen und Energie zu vertiefen. Die Sonne steuert Entwicklungsvorgänge von Pfl anzen und Tieren im Jahreslauf. Fortpfl anzung, Körperbau und Verhalten von Lebewesen sind jahr"/>
        <s v="Aspekten das Experiment in den Naturwissenschaften Menschenbilder in der Philosophie/ Geschichte/ Kunstgeschichte/ Literatur Einführung in die Wissenschaft Psychologie Kompetenzbezug Die Schülerinnen und Schüler formulieren aus eigener Erfahrung bekanntes"/>
        <s v="sie zurück: Zum einen prägen die speziellen Strukturen der einzelnen Medien die vermittelten Inhalte als spezielle Textart, Bilder, Film, zum anderen beeinflusst aber auch das Medium selbst unser Denken und Verhalten. Schülerinnen und Schüler machen diese"/>
        <s v="konkreten Beispiels die kritische Menge als Entscheidungskriterium für eine Investition Handlungskompetenz, beurteilen die Kostenvergleichsrechnung als Hilfsmittel betrieblicher Investitionsentscheidungen Beurteilungskompetenz. Marktformen und Marktprozes"/>
        <s v="Aussagen eines Textes in ihrem argumentationslogischen Zusammenhang erläutern die Darstellung von Problemen und Konflikten in medialen Kontexten als Konstruktionen kritisch deuten den Einfluss von Medien auf unsere Wahrnehmung, Wertvorstellungen und Verha"/>
        <s v="über die Multiperspektivität die Fähigkeit zum kriteriengestützten Urteilen. Dies lässt sie zu mündigen, handlungsfähigen Bürgerinnen und Bürgern werden: Sie können begründet eine eigene Meinung vertreten, andere Sichtweisen nachvollziehen, sich konfliktf"/>
        <s v="dem Menschen eigenes Bedürfnis zu deuten Festigkeit und Verlässlichkeit von Vertrauensverhältnissen als Basis für gelingendes Zusammenleben wahrzunehmen und die konstitutive Funktion gegenseitigen Vertrauens als notwendig zu begründen Konsequenzen für das"/>
        <s v="der jeweiligen individuellen, gesellschaftlichen, zeit- und raumbezogenen Bedingungen und Auswirkungen. Bei der Betrachtung von Alltagsphänomenen mithilfe evidenzbasierter, wissenschaftlicher Beschreibungen und Erklärungsansätze erfolgt eine bewusste mult"/>
        <s v="vor, z. B. temporal, kausal, konsekutiv erweitern ihr Spektrum verfügbarer logischer Verknüpfungen zwischen historischen Sachverhalten, z. B. konditional, konzessiv, final, modal, ... nehmen komplexe logische Verkn fungen zwischen historischen Sac verhalt"/>
        <s v="Werte in normativen Aussagen, die bewertungsrelevante Sachverhalte betreffen, beurteilen Argumente über bewertungsrelevante Sachverhalte, entwickeln Handlungsoptionen für Entscheidungen zu bewertungsrelevanten Sachverhalten, treffen Entscheidungen auf der"/>
        <s v="Bedeutung dieser Akteure wertzuschätzen. ermitteln grundlegende Normen, Strukturen und Sanktionsmöglichkeiten primärer sozialer Gruppen, diskutieren das Gruppenverhalten und reflektieren das eigene Verhalten in der Gruppe. entwickeln Kriterien für gruppen"/>
        <s v="und Funktion, Wechselwirkung Zusammenspiel von Beuger und Strecker SPO, LB Wintersport SPO, Kl. -, LB Fitness Beurteilen von Maßnahmen zur Gesunderhaltung durch Bewegung und Sport Haltungsschäden Verantwortungsbereitschaft Sich positionieren zum Verhalten"/>
        <s v="ökonomischer Grundeinsichten zu orientieren, sich ein reflektiertes Urteil über ökonomische Sachverhalte, Zusammenhänge, Probleme und deren Lösungen zu bilden, sich selbstbestimmt und verantwortlich in ökonomisch geprägten Lebenssituation zu entscheiden u"/>
        <s v="sprachlichen Elemente und Formen moralischer Argumentationen und Stze und entwickelt Methoden zu ihrer Rechtfertigung. Ethik untersucht und begrndet also nicht nur, was sein soll, sondern berprft auch faktische Handlungs- und Verhaltensweisen daraufhin, w"/>
        <s v="eine bestimmte Rollenspiel: Rolle spiele Geschlechterrollen thematisieren Wie verhalte ich mich in den einzelnen Rollen Tochter, Sohn, Freund, Schüler/ Schülerin, Freund/Freundin Ich-Identität Was macht mich unverwechselbar Fingerabdrücke vergleichen, Sit"/>
        <s v="Laborgeräte, deren Bezeichnungen und sachgerechte Verwendung z. B. Reagenzglas, Petrischale, Erlenmeyerkolben, Präparierwanne, Präparierbesteck einfache Messgeräte, deren Bezeichnungen und sachgerechte Verwendung z. B. Thermometer, Meterstab, Stoppuhr, Wa"/>
        <s v="wahr, deren Theorien und wissenschaftliche Methoden sich durch die Auswahl und Interpretation von Alltagsphänomenen unterscheiden. Das Unterrichtsfach Psychologie hält die Schülerinnen und Schüler an, den Menschen, sein Erleben und sein Verhalten aus vers"/>
        <s v="die Erkenntnisgewinnung, auf die in diesem Fachlehrplan großer Wert gelegt wurde. Solch ein Ansatz erfordert eine Unterrichtsgestaltung, in der eigene Lernwege bewusst und kritisch-konstruktiv reflektiert werden. So können Einstellungen und Verhaltensweis"/>
        <s v="SWOT-Analyse Operatives Marketing Marketing-Mix Produktpolitik Kommunikationspolitik Preispolitik Distributionspolitik Beitrag zur Leitperspektive D: Die zunehmende Rolle digitaler Medien führt zu einer veränderten Ausrichtung von Marketingkonzepten. Die "/>
        <s v="Ein weiterer Schwerpunkt ist die Entwicklung der Bewertungskompetenz: An geeigneten Fachinhalten lernt der Schüler, naturwissenschaftliche Sachverhalte, Entscheidungen und Handlungen sachgerecht zu bewerten sowie Bewertungen für seine eigene Entscheidungs"/>
        <s v="wenige Informationen langfristig gespeichert. b limbisches System, Hippocampus, Mandelkern Amygdala, Angst b beurteilen die evolutionsbiologische Bedeutung des limbischen Systems, b Erinnern und somit Vermeiden gefährlicher Erfahrungen und positives Verst"/>
        <s v="- alltagspsychologische Erfahrungen und daraus folgende subjektive Verallgemeinerungen prüfen und beurteilen - Berechtigung verschiedener Erklärungsansätze für Alltagsbeispiele auf Grundlage der Paradigmen unter Anleitung beurteilen Handlungskompetenz - B"/>
        <s v="von Verhaltensbeschreibungen aus ihrer Lebenswelt suchen die Schülerinnen und Schüler nach Ursache - Wirkung- Beziehungen zur Erklärung psychischer Phänomene. Sie identifizieren multifaktorielle Kausalbezüge und analysieren die Komplexität menschlichen Er"/>
        <s v="Stellung. Evolution - Leben ist in ständigem Wandel Biologie LK Inhalte / Basisbegriffe Verbindliche Kompetenzerwartungen Vorschläge und Hinweise E Die Evolution des Menschen E Das Verhalten von Menschenaffen ähnelt dem Verhalten des Menschen. Die Schüler"/>
        <s v="Biographie Siddharta Gautamas Leben als Prinz, vier Ausfahrten, Weg zur Erleuchtung, Wanderschaft, Mönchsorden, Gleichnisse Bogen Kennen ausgewählter Elemente der buddhistischen Lehre und Ethik System eines Weges zur Aufhebung des Leidens, Verhaltensweise"/>
        <s v="mitzuteilen Kommunikationskompetenz. Die Entwicklung der beiden Rahmenkompetenzen wird durch die phänomenologische Kompetenz, die Analyse- und Bewertungskompetenz gefördert. Im Unterricht untersuchen die Schülerinnen und Schüler psychische Phänomene und e"/>
        <s v="wahr oder falsch sein können. Sie streiten darum, wer Recht hat und was richtig ist. Dies kann sich auf eigene und fremde Einsichten und Erkenntnisse beziehen, aber auch auf ihr Verhalten zueinander und zu den Gemeinschaften und Einrichtungen, in denen si"/>
        <s v="Ökosysteme Wahlbereich : Nachwachsende Rohstoffe Wahlbereich : Energiehaushalt des Menschen Jahrgangsstufe - Leistungskurs Lernbereich : Grundlagen, Anwendungen und Perspektiven der Genetik Ustd. Lernbereich : Kommunikation zwischen Zellen Ustd. Lernberei"/>
        <s v="Schüler mögliche Unterstützungsangebote kennenlernt. Klassenstufe Sachkompetenz Der Schüler kann - angepasstes und abweichendes Verhalten im gesellschaftlichen Kontext erklären, - Vor- und Nachteile angepassten und abweichenden Verhaltens vergleichen, - E"/>
        <s v="unter dem Aspekt: selbstständige Arbeit vs. Erwerbsarbeit Chancen und Risiken; Gesetz zum Schutz der arbeitenden Jugend Jugendarbeitsschutzgesetz - JArbSchG; Mitbestimmung in Betrieben Existenzgründung/Wirtschaft: Schülerfirmen und Schülergenossenschaften"/>
        <s v="benennen Bewertungskriterien ausgehend von Sachinformationen, Werten und Normen, treffen Entscheidungen auf der Grundlage von Handlungsoptionen und Bewertungskriterien, nennen Folgen von Entscheidungen für die Natur, das Individuum und die Gesellschaft, b"/>
        <s v="auf den schulischen Kontext übertragen Bewertungskompetenz - ethische Aspekte sozialpsychologischer Experimente bewerten - Einfluss von Gruppendruck, Gruppennormen und Autorität auf das Verhalten des Einzelnen als Voraussetzung für die Erklärung von Verha"/>
        <s v="Annahmen. Praktische Anwendung psychologischen Wissens Anwendung psychologischer Gesetzmäßigkeiten und Verfahrensweisen psychologische Forschungsmethoden und Interventionstechniken, dazu gehört: zielgerechte psychologische Forschungs- und Erkenntnisprozes"/>
        <s v="- Zusammenhänge von Gruppe und Leistung experimentell prüfen und auf den schulischen Kontext übertragen Bewertungskompetenz - ethische Aspekte sozialpsychologischer Experimente bewerten - Einfluss von Gruppendruck, Gruppennormen und Autorität auf das Verh"/>
        <s v="Verlangen nach einem bestimmten Erlebniszustand, diskutieren Merkmale der Sucht und setzten sie in Beziehung zu Alltagsvorstellungen, unterscheiden stoffgebundene und stoffungebundene Süchte, unterscheiden legale und illegale Suchtmittel, geben an, dass r"/>
        <s v="sich auf die Funktion, welche eine bestimmte Struktur oder ein Verhalten erklären; häufig sind dies z. B. Struktur-Funktions-Zusammenhänge bei Angepasstheiten. Kausale Erklärungen beziehen sich auf die Ursache, die einem bestimmten Verhalten bzw. einer Le"/>
        <s v="den Medien Hate Speech Sexualerziehung: sexualisierte Gewalt Formen und Folgen, Rolle digitaler Medien, Unterstützungsangebote Beitrag zu den Leitperspektiven W und D: W: Förderung eines kritisch-reflektierten Umgangs bzgl. verschiedener Formen antisozial"/>
        <s v="Fachlehrpläne Gymnasium: Politik und Gesellschaft SWG PuG Lernbereich : Die Jugendphase bewusst erleben und gestalten ca. Std. Kompetenzerwartungen Die Schülerinnen und Schüler ... ermitteln Einstellungen, Verhalten und Zukunftserwartungen Jugendlicher mi"/>
        <s v="und Umweltverhalten sowohl fachliche Grundlagen, als auch lebenspraktische Fertigkeiten angebahnt. Anforderungen des Alltags werden unter ökonomischen, aber vor allem auch unter ökologischen und gesundheitsrelevanten Kriterien betrachtet und führen zu nac"/>
        <s v="Kompetenzen Exemplarische Lerninhalte Die Schülerinnen und Schüler erwerben oder erweitern die Fähigkeit, ihr eigenes Selbst- und Wunschbild differenziert zu beschreiben das Selbstbild als Ausgangspunkt für das eigene Denken, Fühlen und Verhalten zu deute"/>
        <s v="Dabei geht es vor allem um veränderte Betrachtungsweisen von historischen Prozessen. So wird u. a. der Beitrag von Frauen und Männern an der Geschichte in den Blick gerückt, um geschlechtsstereotype Verhaltensweisen und deren Bedingungsfaktoren zu hinterf"/>
        <s v="beinhaltet die Auseinandersetzung mit Verantwortung und sozialer Teilhabe, die als wesentliche Punkte in mehreren SDGs aufgeführt werden. Beitrag zur Leitperspektive D: Die Schülerinnen und Schüler können sich vertieft mit dem Verhalten von Gruppen in soz"/>
        <s v="von Kultur und Künsten. Sie schätzen diese als Bereicherung des gesellschaftlichen Lebens. Interkulturelle Bildung Medienbildung/Digitale Bildung Interkulturelle Bildung ermöglicht über die Auseinandersetzung mit kulturspezifischen Charakteristika und dur"/>
        <s v="und geistigem Eigentum kennen und berücksichtigen, Diskussionen, Foren, Teamarbeit u. a. sachkritisch durchführen. Kompetenzbereich Bewerten Auf der Grundlage solider Fachkenntnisse entwickeln Schülerinnen und Schüler ein Wissensnetz, das sie befähigt, da"/>
        <s v="Erleben und Verhalten im Zusammenhang mit der Nutzung von Medien soll vertieft behandelt werden: Sozialpsychologische Bedingungen des Erlebens und Verhaltens bei der Nutzung von Medien soziale Vergleichsprozesse Medienvermitteltes Erleben und Verhalten au"/>
        <s v="und lösen jeweils spezifische Reaktionen und Verhaltensweisen aus. Auf der Systemebene der Organismen wird dies deutlich bei der Reizaufnahme, der Erregungsleitung und Verarbeitung im Gehirn. Hierbei spielen Gedächtnis, Lernvorgänge und Verhalten eine wic"/>
        <s v="persönliche festlegen, - Sachverhalte unter Verwendung von Fachwissen an den Kriterien messen, - die Ergebnisse wichten, - einen Standpunkt formulieren. Bewerten von naturwissenschaftlich bedeutsamen Sachverhalten - ausgewählte Entscheidungen, Maßnahmen u"/>
        <s v="ihrer Systematisierung z.B. ICD, DSM. Insbesondere werden biologische, soziale, entwicklungs- und verhaltensbezogene sowie kognitive und emotionale Faktoren psychischer Störungen untersucht, um Ursachen-WirkungsZusammenhänge, Wirkungsbedingungen und deren"/>
        <s v="an Allgemeingültigkeit, Systematik und Gewissheit. Vor diesem Hintergrund wird in der Qualifikationsphase die Arbeit aus der Einführungsphase fortgesetzt, die bereits den Gegenstand der Psychologie als Wissenschaft geklärt hat Erleben und Verhalten des Me"/>
        <s v="deshalb mit Blick auf die nachfolgenden Inhaltsfelder entwickelt werden. p Inhaltsfeld Menschliches Erleben und Verhalten In diesem Inhaltsfeld lernen die Schülerinnen und Schüler anhand ausgewählter Beispiele allgemeinen menschlichen Erlebens und Verhalt"/>
        <s v="und Schüler ein grobes inhaltliches Grundgerüst, in das psychologische Themen auch in Zukunft eingeordnet werden können. Die Schülerinnen und Schüler identifizieren die Existenz verschiedener Perspektiven der Betrachtung von Erleben und Verhalten, nehmen "/>
        <s v="Menschen für ein instinktgeleitetes Tier oder für ein vernunftbegabtes Wesen hält, für einen Egoisten oder ein Gemeinschaftswesen, für eine Schöpfung Gottes oder ein genetisches Zufallsprodukt, hat Auswirkungen auf das eigene Verhalten und Urteilen und au"/>
        <s v="Verhalten und die Bedeutung für die reproduktive Fitness, b z. B. die Verteidigung der Brutkolonie von Lachmöwen gegen Fressfeinde, Lernprozesse beim Fressen der giftigen Aga-Kröte c Kosten-Nutzen-Analyse c beurteilen das Verhalten eines Organismus nach e"/>
        <s v="Bezugspunkte sowohl im empirisch-naturwissenschaftlichen als auch im philosophisch-geisteswissenschaftlichen Bereich haben, wird sowohl der interdisziplinäre Charakter des Faches deutlich als auch die Möglichkeiten und Grenzen unterschiedlicher wissenscha"/>
        <s v="In-vitro-/in-vivo-Fertilisation Leihmutterschaft Adoption Lernabschnitt : Evolution des Menschen aktueller molekulargenetischer Stammbaum der Hominiden und des Menschen Faktoren der Menschwerdung Neurone neuronale Netze das menschliche Gehirn als Produkt "/>
        <s v="B. Weinherstellung; Rolle als Destruenten in Stoffkreisläufen, ggf. Darmflora Kompetenzerwartungen Die Schülerinnen und Schüler ... stellen verschiedene Formen der äußeren Abwehr des Körpers dar und erkennen dadurch die Bedeutung gesundheitsbewussten Verh"/>
        <s v="Phänomene auf der Grundlage psychologischer Gesetzmäßigkeiten selbstständig erschließen und multiperspektivisch interpretieren - Ergebnisse psychologischer Untersuchungen sowie Fallbeispiele aus verschiedenen Medien hypothesengeleitet und theoriebezogen s"/>
        <s v="ermöglichen, darüber hinausgehende Kompetenzen zu erwerben und weiter zu entwickeln. Eine thematisch-inhaltliche Reihenfolge innerhalb der Doppeljahrgangsstufe wird durch die Standards nicht festgeschrieben. Anforderungen am Ende der Jahrgangsstufe Lernen"/>
        <s v="und bewerten; die Unterschiede zwischen Alltagspsychologie und wissenschaftlicher Psychologie beschreiben und erläutern; ausgewählte wissenschaftliche Beobachtungsmethoden und dazugehörige Fachbegriffe beschreiben und durchführen; die Allgemeingültigkeit "/>
        <s v="Wissenschaft Zusätzlich im erhöhten Anforderungsniveau: Big Data, Simulationen, Modelle und ihre Anwendungen digitale Ethik Beitrag zur Leitperspektive W: Die Schülerinnen und Schüler reflektieren Charakteristika einer Zukunftsforschung und Werte, die das"/>
        <s v="Aufgabe des Faches, Schülerinnen und Schüler dabei zu unterstützen, die aktuellen politischen, gesellschaftlichen und wirtschaftlichen Geschehnisse zu verstehen, einzuordnen, sich ein Urteil zu ihnen zu bilden sowie sich dementsprechend zu verhalten. Aktu"/>
        <s v="Werte und Überzeugungen nachgedacht wird. Bei der Betrachtung aus der gesellschaftlichen Perspektive wird die Relevanz des Themas für das Zusammenleben und den gesellschaftlichen Zusammenhalt untersucht. Ebenso werden individuelle Einstellungen und Verhal"/>
        <s v="Knochen ausglühen/Säureeinwirkung Gelenke Arten, allgemeiner Bau, Funktionsmodell Muskulatur Mikroskopieren von Muskelzellen SPO, Kl. - , LB Fitness Kennen der Zellatmung als energieliefernden Vorgang Wortgleichung, Bedingungen, Zellbestandteil Beurteilen"/>
        <s v="der Bedeutung digitaler Arbeitsweisen im modernen Arbeitsalltag. S S. Soziale Kognition Übergreifend Inhalte Fachbezogen Umsetzungshilfen Aufgabengebiete Interkulturelle Erziehung Sprachbildung Fachübergreifende Bezüge Grundlagen sozialer Kognition Zusamm"/>
        <s v="Sozialformen wahrnehmen und erkennen - Auswirkungen von Gruppenkonstellationen auf den Einzelnen beschreiben Analysekompetenz - Merkmale und Arten von Gruppen sowie Gruppenentwicklungsprozesse beschreiben und auf verschiedene eigene Gruppenzugehörigkeiten"/>
        <s v="Mittel und unbegrenzte Bedürfnisse in Einklang zu bringen. Dieses Prinzip übertragen sie auf ihr eigenes Konsumverhalten. erläutern die Einflussfaktoren auf Angebot und Nachfrage. Aufbauend darauf schließen sie auf das typische Verhalten der Marktteilnehm"/>
        <s v="lernen, Dinge, die ihm aufgrund ausreichender Sachinformation und gründlicher Überprüfung verändemngswürdig und veränderbar erscheinen, zu ändem, solche, bei denen er das für unmöglich hält, gelassen hinzunehmen Solche Grundhaltungen entsprechen wirklichk"/>
        <s v="Anwendung und geben ihre Sicherheit an, kommunizieren über die Vereinbarkeit von Familie und Beruf sowie ihre Zukunftsvorstellungen Inhalte Kompetenzerwartungen beschreiben Formen des Zusammenlebens von Eltern und Kindern, Sexualität deuten veränderte Ver"/>
        <s v="Sicherheit, Überschaubarkeit, Alltagsbewältigung, Schutz und Orientierung Merkmale wissenschaftlicher Psychologie z. B. Allgemeingültigkeit, Falsifizierbarkeit, Überprüfbarkeit, Wiederholbarkeit, Objektivität, Systematik/Methodik, Operationalisierung Gege"/>
        <s v="die Bewertung anthropogener Eingriffe in Ökosysteme und deren mögliche Konsequenzen für die Dynamik und vorübergehende Stabilität derselben sowie für Biodiversität und Klima. Damit kann die Basis für ein zukunftsfähiges ökologisches Verhalten unter dem As"/>
        <s v="nutzen die Schülerinnen und Schüler ihre bereits erworbenen Kompetenzen und vertiefen diese. Am Ende der Jahrgangsstufe wird das entsprechende Übergangs- bzw. Abschlussniveau erreicht. Fachwissen aufbereiten Psychologische Aspekte menschlichen Erlebens un"/>
        <s v="Klassenstufe - wirtschaftliches Handeln im Spannungsfeld von Ökonomie und Ökologie vergleichen und beschreiben, - Leistungen der Menschen in verschiedenen Regionen der Erde mit unterschiedlichen kulturellen Prägungen wertschätzen und sich tolerant verhalt"/>
        <s v="Qualifikationsphase zu vermeiden. Die Reihenfolge der Themenfelder ist nicht festgelegt. Dies ermöglicht es, basierend auf einer geeigneten Lernstandsdiagnose schulspezifische Angebote zu gestalten. Biologie des Verhaltens Das Beobachten und Analysieren d"/>
        <s v="Verhaltensmuster gewaltfreier Konfliktregelung abrufen zu können. begreifen auf der Basis ihrer Erfahrungen innerhalb verschiedener Sozialisationsinstanzen Fairness, Teamfähigkeit und Toleranz als Grundlage unseres Zusammenlebens. diskutieren und überprüf"/>
        <s v="Positionen und nehmen zu diesen Stellung. Evolution - Leben ist in ständigem Wandel Biologie LK Inhalte / Basisbegriffe Verbindliche Kompetenzerwartungen Vorschläge und Hinweise E Die Evolution des Menschen E Das Verhalten von Menschenaffen ähnelt dem Ver"/>
        <s v="Wissenschaft Psychologie Betrachtung psychischer Phänomene Paradigmen in der Psychologie Methoden der Psychologie Kompetenzentwicklung im Fach Psychologie Ziele des Unterrichts Die Beschäftigung mit psychologischen Erkenntnissen bedarf der Auseinandersetz"/>
        <s v="Experimenten der Verhaltensforschung Mechanismen sowie Folgen der Vorurteilsbildung und schärfen so ihre Wahrnehmungsfähigkeit gegenüber Favorisierungs- oder Diskriminierungstendenzen in Gruppen. wenden geeignete Wege zum Abbau von Vorurteilen an, um ihr "/>
        <s v="- Wege zur Verhinderung von Schulden anhand von Beispielen erläutern. Selbst- und Sozialkompetenz Der Schüler kann - für sich Rückschlüsse im Umgang mit Geld ziehen und Regeln für sein eigenes Verhalten ableiten, - den Einfluss von Werbung auf sein Verbra"/>
        <s v="Die Lernenden können - individuell und in kooperativen Lernformen arbeiten und in diesem Kontext Lernziele formulieren, Lernprozesse strukturieren, ihre Lernergebnisse einschätzen bzw. Schlussfolgerungen ziehen Verhaltensregeln festlegen und einhalten sow"/>
        <s v="Aufgabe des Fachs, Schülerinnen und Schüler dabei zu unterstützen, die aktuellen politischen, gesellschaftlichen und wirtschaftlichen Geschehnisse zu verstehen, einzuordnen, sich ein Urteil zu ihnen zu bilden und sich dementsprechend zu verhalten. Aktuell"/>
        <s v="Motivation Die Schülerinnen und Schüler setzen sich mit der Komplexität menschlicher Wahrnehmungs-, Gedächtnis- und Lernprozesse auseinander. Sie erkennen, wie Kognition, Emotion und Motivation zusammenwirken und können vor diesem Hintergrund eigenes Verh"/>
        <s v="haben. Entwickeln der Fähigkeit und Bereitschaft, humane und rationale Überzeugungen zu vertreten und die freiheitlich-demokratische Grundordnung mitzugestalten Die Schüler lehnen den Missbrauch staatlicher Gewalt ab und wirken menschenverachtenden Einste"/>
        <s v="der Perspektive von Konsument, Arbeitnehmer, Unternehmer oder Staatsbürger Problemstellungen kriterienorientiert analysieren, beurteilen und lösen können. Das im Fach Wirtschaft und Recht erworbene Strukturwissen ermöglicht es den Schülerinnen und Schüler"/>
        <s v="Subsistenzwirtschaft/Marktorientierung, Produktivität Industrie: Rohstoffe und eigene Rohstoffverarbeitung, Arbeits- und Kapitalintensität Handel: Exportorientierung Tourismus: Ausmaß und Auswirkungen in wirtschaftlicher, sozialer, kultureller und ökologi"/>
        <s v="vollziehen sich stets im Kontext staatlicher Rahmenbedingungen. Die Koordination und Steuerung ökonomischer Aktivitäten bedarf eines Institutionen- und Regelsystems in Form einer Wirtschaftsordnung. Die Ausgestaltung dieser Ordnung hat Auswirkungen auf da"/>
        <s v="befassen. Kompetenzen Fachinterne Bezüge M Psychologie der Gruppe S. Konstruktivismus S. AOPsychologie S. Antisoziales Verhalten bleibt zunächst leer Grundbegriffe der Kommunikation Soziale Kommunikation und soziale Interaktion Verbales, nonverbales und p"/>
        <s v="und auch zukünftige Generationen eingehen Welche Chancen bietet der technologische Fortschritt für eine nachhaltigere Lebensweise In der Auseinandersetzung mit diesen Fragestellungen gewinnen die Lernenden Orientierung und lernen Auswirkungen des eigenen "/>
        <s v="den populationsgenetischen Artbegriff. simulieren evolutive Prozesse und diskutieren Möglichkeiten und Grenzen des Modells. grenzen die synthetische Evolutionstheorie von nichtwissenschaftlichen Vorstellungen ab. erklären Koevolution ultimat und vermeiden"/>
        <s v="Wahrnehmung S. Selbst und Identität bleibt zunächst leer Jugendalter Jugend als Lebensphase Entwicklungsaufgaben im Jugendalter: o Formen des Identitätsstatus nach Marcia o Entwicklungsaufgaben nach Havighurst o Risikoverhalten z. B. suizidales Verhalten "/>
        <s v="und Kunst der Goldenen er fachübergreifende Kooperation Bildende Kunst Demokratie und Diktatur im Jahrhundert Gesellschaftswissenschaften Vorschläge und Hinweise Berufsorientierende Aspekte im Zusammenhang mit den Projektideen: Regeln der Kommunikation un"/>
        <s v="mit prosozialem Verhalten und Altruismus aus unterschiedlichen paradigmatischen Sichtweisen auseinander. Die Beschäftigung mit diesem Inhaltsfeld führt dazu, dass die Schülerinnen und Schüler die Bedeutung situationaler Einflüsse für menschliches Erleben "/>
        <s v="Im Übrigen gelten die Anmerkungen unter II. für die schriftliche Abiturprüfung. Soziale Kognition - Einstellungen A Aufgabenstellung A. Materialien Sozialer Druck Je geringer der soziale Druck auf Personen, ein bestimmtes Verhalten oder eine bestimmte Ein"/>
        <s v="Wahl Juniorwahl Erstellen einer Zeitschrift zum Thema Populismus Soziologie ca. / Unterrichtsstunden Verbindliche Inhalte Hinweise und Anregungen Sozialisation und soziales Handeln Sozialisationsinstanzen im Wandel Normen und Werte, konformes und nichtkon"/>
        <s v="SE- IK- VA- VA- Evolution SF- SF- R- R- SR- SR- SE- IK- VA- VA- VA- VA- VA- VA- GV- GV- GV- GV- GV- GV- GV- GV- GV- Neurobiologie und Verhalten R- K- SR SE- IK- IK- VA- VA- Unterricht in der Einführungsphase - Evolutionsökologie Die Geschichte des Lebens "/>
        <s v="Entwicklung Untersuchungsmethoden, Forschungstechniken psychoanalytische Gesprächssituation Introspektion freie Assoziation, Widerstandsanalyse Deutung Theoriebildung durch Vergleich von Einzelfallstudien Das Paradigma des Behaviorismus Inhalte Forschungs"/>
        <s v="Produktivität Industrie: Rohstoffe und eigene Rohstoffverarbeitung, Arbeits- und Kapitalintensität Handel: Exportorientierung Tourismus: Ausmaß und Auswirkungen in wirtschaftlicher, sozialer, kultureller und ökologischer Hinsicht - Bevölkerungsstruktur un"/>
        <s v="und präsent ist. Deshalb ist für die Schülerinnen und Schüler der Alltags- und Erfahrungsbezug von zentraler Bedeutung, da alle Kompetenzen auf eigenes oder im Alltag bei anderen erfahrenes Erleben und Verhalten angewendet werden können. Inhaltsfelder Kom"/>
        <s v="Dies erzeugt ein Gefühl der Lohngerechtigkeit. Da die Arbeitnehmer ein hohes persönliches Risiko tragen, dass ihr Lohn niedriger als erhofft ausfällt, werden sie sich in vielen Fällen aber auch egoistischer verhalten als in einem Zeitlohnmodell. Alle arbe"/>
        <s v="eigenen Person - in die Gesellschaft ermöglichen. Dies erfolgt sowohl auf der zeitlichen als auch auf der räumlichen Ebene. Die Schülerinnen und Schüler erkennen und vergleichen eigenes, aber auch fremdes Verhalten ausgehend von ihrem unmittelbaren sozial"/>
        <s v="Prinzip vom Nahen zum Fernen: Ausgehend von der Politik im Nahbereich wird zunehmend zum politischen Prozess und zu Systemen auf nationaler und supranationaler Ebene übergegangen; von der Situation und dem Verhalten des jugendlichen Konsumenten ausgehend "/>
        <s v="zu erheblichen Umwelt- und Gesundheitsproblemen. Die Auseinandersetzung mit den Umweltauswirkungen und den gesundheitlichen Belastungen durch Schadstoffe in der Luft sind geeignet, ein Bewusstsein dafür zu vermitteln, dass jeder durch sein Verhalten zur R"/>
        <s v="deren Gegenstand das Verhalten und Erleben des Menschen ist. Im Unterricht haben Schülerinnen und Schüler die Möglichkeit, sich mit dem reziproken Verhältnis von Mensch und Umwelt auf ihr Erleben und Verhalten auseinanderzusetzen. Sie werden dafür sensibi"/>
        <s v="zur Alltagspsychologie Erkenntnisziele, Methoden der Erkenntnisgewinnung Betrachtung psychischer Phänomene Erklärungsaspekte für psychische Phänomene: innere Prozesse, personale Dispositionen, Situationsfaktoren, Entwicklung ausgewählte Paradigmen: Tiefen"/>
        <s v="enthalten können, mit digitalen Medien und Werkzeugen darstellen Grundlegende Wissensbestände Unternehmen und Betriebe Grundfunktionen, Produktionsfaktoren, Rechtsformen exemplarisch Einzelunternehmen, GmbH oder AG betriebliche Messgrößen: Gewinn, Verlust"/>
        <s v="und Rogers auf der Grundlage fachspezifischer Quellen erläutern und vergleichen - sich mit den Bedingungen für die Entwicklung des ICHs und des Selbstkonzepts im schulischen und familiären Kontext auseinandersetzen - Verhalten und Persönlichkeitsmerkmale "/>
        <s v="psychologischen Phänomenen anhand klarer Kriterien gegenübergestellt. Die Schülerinnen und Schüler lernen mit der Verschiedenheit und Widersprüchlichkeit psychologischer Anschauungen angemessen umzugehen, auf der Grundlage differenzierter Kenntnisse zu al"/>
        <s v="heute und in Zukunft unerlässlich: in der Wirtschaft, in der Medizin, überall, wo Menschen ausgebildet werden, nicht zuletzt aber in der Familie und in den persönlichen Beziehungen. Die Möglichkeiten, menschliches Verhalten und Erleben psychologisch zu be"/>
        <s v="selbstständig allein und in Gruppen herzustellen und wertvolle Erfahrungen zu sammeln. Praktische Leistungen Beitrag des Faches Psychologie zum Kompetenzerwerb Fachprofil Ausgehend vom Selbstverständnis der Psychologie als einer empirischen Wissenschaft v"/>
        <s v="nicht nur an die Kompetenzbereiche, sondern immer auch an fachliche Inhalte gebunden. Reflektierte psychologische Kompetenz soll deshalb mit Blick auf die nachfolgenden Inhaltsfelder entwickelt werden. p Inhaltsfeld Menschliches Erleben und Verhalten In d"/>
        <s v="Konfliktlösungsansätze vermittelt den Schülerinnen und Schülern das nötige Verständnis für die Bedeutung supranationaler Organisationen und internationaler Vereinbarungen. In diesem Zusammenhang sind sie vor allem auch zu Fremdverstehen und zu mitmenschli"/>
        <s v="ÜBER-ICH und die Dynamik der Instanzen ICH-Stärke/ICH-Schwäche Phasen bis des psychosexuellen Phasenmodells oral, anal, phallisch Sozialkognitive Lerntheorie Bandura Grundannahmen der sozial-kognitiven Lerntheorie o Selbstregulation/Selbststeuerung des Me"/>
        <s v="großes Verantwortungsbewußtsein. Bei Einbeziehung aller psychologischen, sozialen und juristischen Gesichtspunkte ist Strafvollzug grundsätzlich auf Resozialisierung hingeordnet. Lernziele: Zu a: Grundkonsens als Bedingung menschlichen Zusammenlebens L Ei"/>
        <s v="Wirkung auf den Einzelnen zu begreifen und das Spannungsfeld zwischen Selbst- und Fremdbestimmung in verschiedenen Lebensbereichen wahrzunehmen. versetzen sich z. B. im Rahmen eines Rollenspiels in unterschiedliche Rollen, um fremdes Verhalten zu verstehe"/>
        <s v="den Verlust des Eigentums an einer Sache. Vertragsrecht Schuldrecht ca. Std. charakterisieren sowohl die Bedeutung der Sozialpflichtigkeit des Eigentums als auch die besondere Schutzbedürftigkeit des geistigen Eigentums und leiten daraus Verhaltensweisen "/>
        <s v="fördert die Fähigkeiten zur Abstraktion, zum Perspektivwechsel und zum logischen sowie vernetzten Denken. Er versetzt die Lernenden in die Lage, Auswirkungen menschlichen Handelns zu erfassen, zu bewerten und ihr eigenes Verhalten zu reflektieren. Biologi"/>
        <s v="und Erweiterung der zu behandelnden Unterrichtsinhalte und damit zur thematischen Profilbildung, indem die Vorgaben der Bildungspläne sich auf die zentralen Kompetenzen beschränken. Aufgaben und Ziele Inhalte des Psychologieunterrichts sind das Verhalten "/>
        <s v="primär an Wachstum und Konsuminteressen orientierten Individuums kann ebenso kritisch hinterfragt werden wie Vorstellungen prinzipiell grenzenlosen wirtschaftlichen Wachstums. Indem die verschiedenen Erklärungsansätze menschlichen Verhaltens auf Möglichke"/>
        <s v="Grundkursfach Leistungskursfach Die Schülerinnen und Schüler präsentieren Erkenntnisse situations- und anforderungsgemäß mündlich, schriftlich, medienunterstützt, legen eigene Auffassungen im Bewusstsein der gewählten Perspektive dar, stellen sich der kri"/>
        <s v="aus den Perspektiven Konsument, Arbeitnehmer, Unternehmer oder Staatsbürger Aufgaben kriterienorientiert analysieren, beurteilen und lösen können. Das im Fach Wirtschaft und Recht erworbene Strukturwissen ermöglicht es den Schülerinnen und Schülern, ökono"/>
        <s v="und anforderungsgemäß mündlich, schriftlich, medienunterstützt, legen eigene Auffassungen im Bewusstsein der gewählten Perspektive dar, stellen sich der kritischen Beurteilung durch andere, verhalten sich in Diskussionen dialogisch der sozialen Situation "/>
        <s v="B. das Fehlen von Markttransparenz und ein verzögertes Reaktionsverhalten der Marktteilnehmerinnen und teilnehmer weitreichende Möglichkeiten strategischen Verhaltens. Dadurch können Unternehmen ihre Gewinnsituation und Marktposition maßgeblich verbessern"/>
        <s v="B. das Fehlen von Markttransparenz und ein verzögertes Reaktionsverhalten der Marktteilnehmerinnen und -teilnehmer weitreichende Möglichkeiten strategischen Verhaltens. Dadurch können Unternehmen ihre Gewinnsituation und Marktposition maßgeblich verbesser"/>
        <s v="Handlungen ebenso frei wie auf unterschiedliche Weise gebunden. Auf dieser Basis sind die Bedingungen und Möglichkeiten freien Handelns zu analysieren; ebenso ist zu fragen, inwiefern sich eine Handlung von bloßem Sich-Verhalten unterscheidet. Um die Mögl"/>
        <s v="Normalitätsbegriffs mit Erlebens- und Verhaltensweisen auseinanderzusetzen, die für den Einzelnen bzw. für sein soziales Umfeld problematisch sind. Themen und Inhalte Wissenschaftliche Psychologie teilt mit Alltagspsychologie das Interesse am Erleben und "/>
        <s v="von Fremdbestimmung und Selbstbestimmung im eigenen Leben bestimmen Denken in Gegensätzen sich über den Stellenwert von Konsum und Verzicht in einem gelingenden Leben verständigen Kreatives Denken Alternativen zu einem konsumbestimmten Verhalten entwerfen"/>
        <s v="mit dem Inhaltsbereich Internationalisierung und Globalisierung und den damit verbundenen Problemstellungen. Die Prüflinge sind mit verschiedenen Erscheinungsformen des Wandels vertraut: Wandel in der sozialen Rolle der Frau, Veränderungen im generativen "/>
        <s v="mündlich zu kommunizieren, fördert explizit die Sprachkompetenz der Schülerinnen und Schüler. Auf der Grundlage des Kennenlernens von Entstehungs- und Funktionsmechanismen entwickeln sie ein Verständnis für fremde Einstellungen oder für das Verhalten ande"/>
        <s v="Herkunft in Bezug auf spezifische Interessenlagen beurteilen - anhand relevanter Bewertungskriterien Handlungsoptionen in gesellschaftlich oder alltagsrelevanten Entscheidungssituationen in Bezug auf den Missbrauch von Drogen und leistungssteigernden Subs"/>
        <s v="Instanzenmodell erläutern und anwenden; humanistische Theorien und den Gedanken des persönlichen Wachstums erläutern; soziale Lerntheorien und kognitive Theorien bei der Analyse von Fälle anwenden; Theorien des Selbst zur Erklärung unterschiedlichen Verha"/>
        <s v="Paradoxien Metakommunikation oder Kommunikationsmodell nach Schulz von Thun: Nachrichtenquadrat -Ohren-Modell Kommunikationsstile und inneres Team Doppelbindungen Kommunikation und neue Medien Social Media Einer der folgenden Bereiche medienvermittelter K"/>
        <s v="wissenschaftlich zu beschreiben, empirisch zu untersuchen und auf der Grundlage psychologischer Theorien zu erklären. Dadurch erfassen sie die Bedeutsamkeit der gewonnenen wissenschaftlichen Erkenntnisse und entwickeln Handlungsoptionen und Strategien zum"/>
        <s v="Berücksichtigung eigener Wertvorstellungen Entscheidungen zur eigenen Lebensplanung treffen zu können. Information und Regulation Auf den verschiedenen Systemebenen biologischer Systeme werden Signale erkannt und ausgetauscht und lösen jeweils spezifische"/>
        <s v="des persönlichen Wachstums erläutern; soziale Lerntheorien und kognitive Theorien bei der Analyse von Fälle anwenden; Theorien des Selbst zur Erklärung unterschiedlichen Verhaltens analysieren; die verschiedenen Positionen hinsichtlich Erbe, Umwelt, Bewus"/>
        <s v="vor. In der Wissenschaft wird dieser jedoch präzise verstanden und erfordert ein aufwendiges Verfahren, das von den Schülerinnen und Schülern so nicht zu leisten ist. e Kosten-Nutzen-Analyse e beurteilen das Verhalten eines Organismus nach einer Kosten-Nu"/>
        <s v="Entwicklung ab und erörtern Handlungsoptionen, indem sie vorgegebene Pro- und Kontra-Argumente z. B. zum Einkaufsverhalten oder zur Transportmittelnutzung auswerten, um bewusste, wertorientierte Entscheidungen treffen zu können. wägen Folgen von eigenen V"/>
        <s v="und erörtern Handlungsoptionen, indem sie vorgegebene Pro- und Kontra-Argumente z. B. zum Einkaufsverhalten oder zur Transportmittelnutzung auswerten, um bewusste, wertorientierte Entscheidungen treffen zu können. wägen Folgen von eigenen Verhaltensweisen"/>
        <s v="Folgen von Suchtmittelmissbrauch für die Gesundheit und die soziale Situation des/der Konsumierenden und für seine Mitmenschen, geben an, dass Suchtprävention auf die Verhinderung der Entwicklung riskanten bzw. süchtigen oder abhängigen Verhaltens zielt u"/>
        <s v="u. a. auch beim Menschen wechselseitige Angepasstheiten zwischen interagierenden artfremden Lebewesen als Ergebnis einer Koevolution. leiten Selektionsvorteile des Menschen ab, die sich durch die v. a. sprachliche Weitergabe von erlerntem Verhalten und Wi"/>
        <s v="Der Schüler kann - Diskussionsregeln einhalten, - andere Meinungen respektieren, - Ursachen und Folgen gesamtwirtschaftlicher Probleme, u. a. von Arbeitslosigkeit beurteilen, - sich bei der Teilnahme an einer Gerichtsverhandlung normgerecht verhalten. Reg"/>
        <s v="aufgeführten inhaltlichen Schwerpunkte aufeinander, so ergeben sich die nachfolgenden konkretisierten Kompetenzerwartungen. p g p Qi p Inhaltsfeld Das Individuum in Interaktion mit anderen Inhaltliche Schwerpunkte Attributionsprozesse Psychologie der Grup"/>
        <s v="deren Bedeutung für die rationale Bewältigung des täglichen Lebens analysieren und damit einen verantwortlichen Umgang mit sich selbst und der sozialen Umgebung entwickeln, ihr eigenes Erleben und Verhalten sowie das Verhalten anderer situations- und anfo"/>
        <s v="/ Kompetenzschwerpunkt: Den privaten Haushalt unter wirtschaftlichen Aspekten analysieren und mitgestalten Verstehen einen privaten Haushalt unter wirtschaftlichen Aspekten analysieren Grundeinsichten am Beispiel von wirtschaftlichen Entscheidungen Jugend"/>
        <s v="im Hinblick auf meine Zukunft tun Kann man sich selbst wirklich kennen Was sind soziale Rollen Wie wirken sie sich auf Menschen aus Müssen Mädchen/Jungen sich jeweils nach bestimmten Regeln verhalten Wie weit kann man auf Erwartungen anderer eingehen Wer "/>
        <s v="unangemessen häufig unangemessen sehr stark eingeschränkt Kommunikationsfähigkeit Wahl einer adressatenbezogenen Sprachebene Darstellung eines Sachzusammenhangs auf fachsprachlicher und allgemein verständlicher Ebene Verbales Verhalten Rhetorik: Verständl"/>
        <s v="mit Toleranz und interkultureller Akzeptanz zu begegnen sowie Handlungsoptionen in alltagsrelevanten Situationen umzusetzen. Bildung für nachhaltige Entwicklung BNE Das Fach Psychologie orientiert sich an der Fachwissenschaft Psychologie, deren Gegenstand"/>
        <s v="Autorität auf das Verhalten des Einzelnen als Voraussetzung für die Erklärung von Verhalten in Alltagssituationen beurteilen - Einflüsse der digitalen Welt auf Gruppenbildung, -werte und -strukturen reflektieren Handlungskompetenz - eigenes Verhalten in G"/>
        <s v="Wissen um die Entstehung von Suchtverhalten leiten die Schülerinnen und Schüler sinnvolle Strategien zur Persönlichkeitsstärkung ab, um die Anforderungen des Alltags bewältigen zu können und ihre Zufriedenheit nicht von bestimmten Verhaltensweisen oder Su"/>
        <s v="Beitrag zur Leitperspektive BNE: Die Vorstellung eines primär an Wachstum und Konsuminteressen orientierten Individuums kann ebenso kritisch hinterfragt werden wie Vorstellungen prinzipiell grenzenlosen wirtschaftlichen Wachstums. Indem die verschiedenen "/>
        <s v="Umweltethik, z. B. der Begriff der Natur in den Natur- und Weltreligionen, in der Wissenschaft heute Klimaethik BTV BNE DRF zusätzlich für den Leistungskurs Vertiefung von Fragen der Vorhersagbarkeit menschlichen Verhaltens Determinismus, Indeterminismus,"/>
        <s v="physischer, psychischer und sozialer Gesundheit, um auf Grundlage eines gesundheitsbezogenen Basiswissens Gefährdungen für die Gesundheit auszumachen. entwerfen z. B. in Kontakt zu außerschulischen Beratungseinrichtungen, Krankenkassen, landwirtschaftlich"/>
        <s v="Integrierende Modell beziehen, deren Bedeutung für die rationale Bewältigung des täglichen Lebens analysieren und damit einen verantwortlichen Umgang mit sich selbst und der sozialen Umgebung entwickeln, ihr eigenes Erleben und Verhalten sowie das Verhalt"/>
        <s v="Lernen angewendet werden. Es ist sinnvoll, konkrete methodische Lernhilfen mit den Schülerinnen und Schülern zu entwickeln. Eine interdisziplinäre Herangehensweise ist zur Bearbeitung der Auswirkungen von Alkohol- und Drogengenuss auf das Verhalten erford"/>
        <s v="Transhumanismus Möglichkeiten und Grenzen der Optimierung des Menschen Beitrag zur Leitperspektive W: Die Schülerinnen und Schüler reflektieren das Verhältnis von Technologie und Ethik sowie ihr Verständnis grundlegender Werte, Einstellungen und Verhalten"/>
        <s v="von Stoffen TF fakultativ: AIDS TF Keimzellbildung, Befruchtung, Geschlechterrolle TF Reproduktionsmedizin Chemie TF Gefährliche Stoffe Physik -Sexualität in den Medien Gesetze zum Schwangerschaftsabbruch Frauenbild und Männerbild Risikobereitschaft von J"/>
        <s v="Wendel Projektideen Besuch einer Gerichtsverhandlung historischer Vergleich: Rassismus früher und heute Schule ohne Rassismus - Schule mit Courage Berufsorientierende Aspekte im Zusammenhang mit den Projektideen: Regeln der Kommunikation und angemessenes "/>
        <s v="Modellorganismus Parasexualität bei Bakterien Transformation Konjugation Transduktion beschreiben und erklären Sonderfälle bei sexuell reproduktiven Organismen. z.B. Parthenogenese OS - R Die Partnerwahl basiert auf genetischer Disposition. beschreiben un"/>
        <s v="normative Grundlage Jugendschutzgesetz, Jugendarbeitsschutz Familienrecht, Kaufrecht, z. B. Kaufverträge im Internet, Taschengeldparagraph AWT Jugendstrafrecht, Sinn und Zweck von Strafe, Erziehungsmaßnahmen und Auflagen Informatik und Medienbildung Refle"/>
        <s v="Berücksichtigung von Ursache-Wirkungs-Beziehungen erklären - zur Strukturierung psychologischen Wissens paradigmatische Ansätze und Disziplinen den Aspekten des Integrierenden Modells zuordnen Bewertungskompetenz - Eignung des integrierenden Modells zur E"/>
        <s v="Verschränkung von Partei und Staat, Propaganda Konzentrationslager wichtige Grundelemente der nationalsozialistischen Ideologie kennen und reflektieren Rassenideologie, Antisemitismus, Lebensraumkonzept, Führerprinzip, Weltherrschaftsanspruch, Demokratief"/>
        <s v="gleichberechtigt diskutieren alltagssprachliche Formulierungen in Fachsprache übersetzen Fachzusammenhänge für einen Informationsempfänger adäquat formulieren und illustrieren Bewerten Die Qualität von Alltagswissen zum Verhalten und Erleben von Menschen "/>
        <s v="Teil Gemeinschaftsschule Im Einklang mit den Grundprinzipien der Gemeinschaftsschule steht im Mittelpunkt des Lernbereichs Gesellschaftswissenschaften die Befähigung der Schülerinnen und Schüler zu verantwortungsvoller Partizipation, zu demokratischem Han"/>
        <s v=".., oder . Wahlpflichtmodul zum Thema Nachhaltigkeit Pflicht: ein Modul in der Studienstufe Wahlpflichtmodul mit mathematischen Anteilen für das erhöhte Anforderungsniveau Pflicht eA: ein Modul in der Studienstufe H- Menschliches Verhalten in ökonomisch g"/>
        <s v="Schüler die Bedeutung situationaler Einflüsse für menschliches Erleben und Verhalten reflektieren. Inhaltsfeld Die menschliche Persönlichkeit und ihre Entwicklung Die Auseinandersetzung mit diesem Inhaltsfeld ermöglicht Einsicht in die individuelle Beding"/>
        <s v="sich in politischen, gesellschaftlichen und ökonomischen Auseinandersetzungen reflektiert mit sozialer, geschlechtsspezifischer und kultureller Differenz auseinandersetzen, H anderen Positionen tolerant und gegebenenfalls begründet kritisch begegnen, H un"/>
        <s v="Phänomenen entwickelt, -naturwissenschaftliche Alltagsphänomene hinterfragt und sie unter Nutzung von Fachwissen versteht, -naturwissenschaftliche Methoden erlernt und anwenden kann, -seine Kompetenzen nutzt, um fachliche Sachverhalte fachlich richtig und"/>
        <s v="den kolonialisierten Gebieten. Sie entwickeln Möglichkeiten, mit welchen Mitteln man heute noch sichtbare Folgen der Kolonialzeit abmildern kann, z.B. fairer Handel, Entwicklungszusammenarbeit. Urteilskompetenz: Sie reflektieren das den Eroberungen zugrun"/>
        <s v="Kontexten sowie in Partnerschaften in geeigneter Sprache und respektvoll über Sexualität und begegnen medial vermittelter sexueller Belästigung und Gewalt sowie der unterschwelligen Bedrohung durch sexualisierten, abwertenden Sprachgebrauch angemessen. be"/>
        <s v="sowie Achtung und Bereitschaft zum Zuhören Erziehung und Zusammenleben nicht möglich sind, gilt auch fü die Autorität des Staates. Im sozialen Rechtsstaat muß ein Grundbestand verbindlich anerkannter Regeln für menschliches Verhalten garantiert werden Der"/>
        <s v="erotischen Frau. Anforderungsbereich II/vorwiegend Aufgabe AB II ca. Der hier beschriebene Münzverstärkungsplan ist der Therapieform aus der Sicht der Verhaltenstherapie zuzuordnen, die auf den Lerntheorien basiert. Zentrale Aussage ist, dass Verhalten ge"/>
        <s v="sozialpsychologischen Methoden u. a. Feldforschung und systematische Beobachtung erworbenen Daten, beurteilen die Anwendbarkeit und den Erklärungswert kognitiver und evolutionstheoretischer Modelle für die Erklärung prosozialen Verhaltens, erörtern Möglic"/>
        <s v="der Einführungsphase und der Qualifikationsphase sind insofern beabsichtigt, Doppelungen sollen aber im Unterricht vermieden werden. A Familie, Kindheit und Jugend Inhalte Familienrecht Familienpolitik Individuum und Gruppe Konsum und Vertragsrecht abweic"/>
        <s v="Der damit vergleichbare Zinssatz in den USA beträgt ,. Stellen Sie jeweils eine Wirkungskette auf, in der die idealtypischen Auswirkungen einer Senkung des EZB-Leitzinses auf das Verhalten der Unternehmer, das Verhalten der Haushalte, den Kurs des Euro ge"/>
        <s v="Sachverhalte und Fälle mit Entscheidungscharakter auf der Grundlage von Pro- und Kontra-Argumenten UK , setzen sich mit dem Prozess ihrer Urteilsbildung auseinander UK , bewerten unterschiedliche Handlungsweisen sowie ihr eigenes Verhalten hinsichtlich da"/>
        <s v="Methoden-, Beurteilungsund Handlungskompetenz Modell des Gütermarktes und Wirtschaftssektoren Die Schülerinnen und Schüler erläutern den grundsätzlichen Unterschied zwischen der Mikroökonomie und der Makroökonomie, Die Schülerinnen und Schüler grenzen ein"/>
        <s v="und andere mögliche Sichtweisen skizzieren. Die Schülerinnen und Schüler können mithilfe fachwissenschaftlicher Methoden und auf der Grundlage ausgewählter psychologischer Theorien und Modelle aus verschiedenen Paradigmen und Disziplinen der Psychologie k"/>
        <s v="beschreiben Analysekompetenz - anhand von Alltagssituationen und Fallbeispielen grundlegende Aspekte des psychischen Systems identifizieren - die Notwendigkeit der Sensibilisierung in Bezug auf nachhaltiges Handeln im Alltag ermitteln - Erleben und Verhal"/>
        <s v="ethischen Gesichtspunkten bewerten, psychologisches Wissen zur Erweiterung der eigenen sozialen Handlungsfähigkeit sowie zur Selbstwahrnehmung, Selbstreflexion und Selbststeuerung konstruktiv beurteilen, zu unterschiedlichen Lebenswirklichkeiten sowie int"/>
        <s v="Bildung und Erziehung im Fach Psychologie Teilhabe und Teilnahme am gesellschaftlichen Leben Im Fach Psychologie gewinnen die Schülerinnen und Schüler grundlegende Einsichten in intrapersonelle und interpersonelle Prozesse menschlichen Erlebens und Verhal"/>
        <s v="für sozial gerecht hält, für diejenigen Politik zu machen, die Leistungen zum Erhalt der Gesellschaft und damit des Sozialstaates erbringen, sich also sozialinvestiv verhalten, nicht für diejenigen, die ein sozialkonsumtives Verhalten an den Tag legen Zei"/>
        <s v="mit ihrer individuellen Verantwortung im sozialen Miteinander auseinander. Wesentliche Werte können zudem über die Unterthemen Kultur und Selbstsicht sowie unterlassene Hilfeleistung vermittelt werden. Beitrag zur Leitperspektive BNE: Das Thema Prosoziale"/>
        <s v="kann. Demokratie- und Toleranz-Erziehung - Gewaltprävention Schule ist ein Mikro-Kosmos, der auch zum Ziel haben muss, Demokratie erlebbar zu machen. Zielleitende Fragen dabei sind: Wie lassen sich demokratische Denk- und Verhaltensweisen aufbauen bzw. ve"/>
        <s v="Paradigmen der Psychologie im Überblick z. B. Tiefenpsychologie, Behaviorismus, Biopsychologie, Kognitivismus, Ganzheitspsychologie Möglichkeiten zur Abstimmung im Schuljahrgang - Biologie: Wechselwirkungen zwischen Mensch und Umwelt darstellen Einfluss d"/>
        <s v="formulieren Erklärungsansätze. Die Schülerinnen und Schüler vollziehen zunächst psychologische Erkenntnismethoden nach und erlangen so zunehmend die Fähigkeit, diese Methoden in einfacher Weise selbst zu nutzen. Kommunizieren Die Verständigung über mensch"/>
        <s v="Er bestimmt durch sein aktives Handeln die Faktoren der zukünftigen Selektion mit und übernimmt damit Verantwortung im Sinne einer nachhaltigen Entwicklung. Leitthema Entstehung und Entwicklung des Lebens Abstammung und Verwandtschaft Verhalten als Ergebn"/>
        <s v="Frieden. Inhalte zu den Kompetenzen: Krieg in Filmen und Computerspielen, Heldentum, Ruhm; Erfahrungsberichte von Betroffenen in realen Kriegen gewaltfreie Kommunikation nach M. B. Rosenberg und Metakommunikation Ursachen und Wahrnehmung aggressiver Verha"/>
        <s v="setzt das Interesse und die Reife der Schülerinnen und Schüler voraus. Es ist möglich, Aspekte von TF an passenden Inhalten anderer Themenfelder TF AIDS, TF sexuelle Identität, TF Evolution des Verhaltens zu vertiefen und die Sexualerziehung, ähnlich wie "/>
        <s v="und Schüler, die in der Qualifikationsphase das Fach Psychologie belegen wollen, sind folgende Standards verbindlich: Fachliche Kompetenzen Die Schülerinnen und Schüler können ... den Gegenstand der Psychologie - Erleben und Verhalten des Menschen oder Ve"/>
        <s v="die bewusste Auseinandersetzung mit dem eigenen und fremden Erleben und Verhalten wird im Besonderen die Entwicklung der Sozialund Sprachkompetenz unterstützt, denn die im Psychologieunterricht geforderte Fähigkeit, über menschliches Erleben und Verhalten"/>
        <s v="Textinhalten, Rekonstruieren von historischen oder systematischen Zusammenhängen, ggf. unter bestimmten Fragestellungen; selbständige, sachgemäße Darstellung auch komplexer Zusammenhänge und Texte ethische Ansätze, kontroverse ethische Problemstellungen, "/>
        <s v="risikobehafteten Entwicklungen anwenden psychodynamisches Modell, Bindungstheorie; die Entwicklung der Geschlechterrollen u.a. auf der Grundlage von Lerntheorien beschreiben und erklären; Zwillings- und Adoptionsstudien zur Erblichkeit erläutern und disku"/>
        <s v="und den Erklärungswert der mit typisch sozialpsychologischen Methoden u. a. Feldforschung und systematische Beobachtung erworbenen Daten, beurteilen die Anwendbarkeit und den Erklärungswert kognitiver und evolutionstheoretischer Modelle für die Erklärung "/>
        <s v="des Unterrichts im Lernbereich, Schülerinnen und Schüler dabei zu unterstützen, aktuelle politische, gesellschaftliche und wirtschaftliche Geschehnisse zu verstehen, einzuordnen, sich ein Urteil zu ihnen zu bilden und sich dementsprechend zu verhalten. Zu"/>
        <s v="Menschliches Erleben und Verhalten Bezieht man übergeordnete Kompetenzerwartungen im Bereich der Sach- und Urteilskompetenz sowie die inhaltlichen Schwerpunkte aufeinander, so ergeben sich die nachfolgenden konkretisierten Kompetenzerwartungen: Inhaltsfel"/>
        <s v="leben Kinder in diesem Alter in bestimmten Vorstellungen von sich, von anderen, von ihrer Stellung in der Welt und von der sie umgebenden Wirklichkeit. Sie drücken diese Vorstellungen in ihrem Verhalten aus, sie fassen sie in Bilder, Erzählungen und Begri"/>
        <s v="Inhalte entstammen aus Natur und Gesellschaft und können aus einer individuellen und/oder gruppendynamischen Perspektive betrachtet werden. Aus dem wirkungsvollen Zusammenspiel aller genannten Kompetenzbereiche ergibt sich die Fähigkeit, menschliches Erle"/>
        <s v="Judentums und die Geschichte der Juden. Die Schüler reflektieren ihre Begegnungen mit verschiedenen Menschen und Personengruppen, insbesondere mit solchen, die ihnen fremd sind. Sie lernen, Vorurteile abzubauen und entwickeln angemessene Verhaltensweisen,"/>
        <s v="Mindmap, um ihre eigene Sozialisation zu reflektieren und die hohe Bedeutung dieser Akteure wertzuschätzen. ermitteln grundlegende Normen, Strukturen und Sanktionsmöglichkeiten primärer sozialer Gruppen, diskutieren das Gruppenverhalten und reflektieren d"/>
        <s v="z. B. Bedürfnis-, Trieboder Erwartungswerttheorien Grundlagen von Emotionen, z. B. Basisemotionen, Einflussfaktoren, Komponenten, Funktionen und Entstehungstheorien, wie psychophysiologische, kognitive oder evolutionsbiologische Theorien Zusammenhänge zwi"/>
        <s v="Nahrungsmitteln spekuliert wird M. Analysekompetenz: Die Lernenden können ... - politische und wirtschaftliche Sachverhalte im Hinblick auf die Leitfrage unterscheiden, einordnen und problematisieren, - in politischen Aussagen Beschreibungen von Sach verh"/>
        <s v="sachgerecht darstellen, - respektvoll mit anderen Personen umgehen, - Konflikte angemessen bewältigen und - seine naturwissenschaftlichen Kenntnisse bewusst nutzen, um Entscheidungen im Alltag sachgerecht zu treffen und sich entsprechend zu verhalten Eing"/>
        <s v="fachübergreifender Bezüge Bezüge zu den Aufgabengebieten: Interkulturelle Erziehung: vgl. Psychologie der Gruppe Einfluss von Kultur und Selbstsicht z. B. auf Leistung in Gruppen Sozial- und Rechtserziehung: innerhalb des Themas Prosoziales Verhalten Erst"/>
        <s v="Hauptrefinanzierungsgeschäfte unverändert bei ,. Der damit vergleichbare Zinssatz in den USA beträgt ,. Stellen Sie jeweils eine Wirkungskette auf, in der die idealtypischen Auswirkungen einer Senkung des EZB-Leitzinses auf das Verhalten der Unternehmer, "/>
        <s v="Erweiterung der eigenen sozialen Handlungsfähigkeit sowie zur Selbstwahrnehmung, Selbstreflexion und Selbststeuerung konstruktiv beurteilen - Interventionsmöglichkeiten in ihrer praktischen Relevanz bewerten sowie nach ethischen Gesichtspunkten beurteilen"/>
        <s v="K die Bedeutung eigener Beiträge für Arbeitsergebnisse einer Gruppe einschätzen und erläutern u. a. bei Untersuchungen, Recherchen, Präsentationen. K Bewertung Die Schülerinnen und Schüler können ... die Angemessenheit des eigenen Verhaltens im Straßenver"/>
        <s v="von Strömen und Spannungen erläutern. UF den grundlegenden Aufbau und die Funktionsweise von Batterien, Akkumulatoren und Brennstoffzellen beschreiben. UF, UF, UF Erkenntnisgewinnung Die Schülerinnen und Schüler können ... Hypothesen zum Verhalten von Str"/>
        <s v="Partei und Staat, Propaganda Konzentrationslager - wichtige Grundelemente der nationalsozialistischen Ideologie kennen und reflektieren Rassenideologie, Antisemitismus, Lebensraumkonzept, Führerprinzip, Weltherrschaftsanspruch, Demokratiefeindschaft - die"/>
        <s v="- zum Einsatz persönlichkeitsdiagnostischer Verfahren und des Anwendungskontextes Stellung nehmen - Einfluss eines Erziehenden auf die individuelle Entwicklung beurteilen Handlungskompetenz - individuelle Möglichkeiten der Kontrolle und Steuerung von Erle"/>
        <s v="Basis der Gesundheitsprävention. Alltagsbezogener und sinnstiftender Unterricht trägt zur Persönlichkeitsstärkung der Schülerinnen und Schüler bei. So bewältigen sie die Anforderungen des Alltags. Sie erkennen, dass ihre Zufriedenheit nicht von bestimmten"/>
        <s v="auf, leiten sie in Form elektrischer Erregungen weiter und verarbeiten diese. Im Leistungskurs wird die Betrachtung auf die organismische Ebene erweitert und mit der hormonellen Ebene bei der Steuerung menschlichen Verhaltens verschränkt. Das Themenfeld b"/>
        <s v="das Verhältnis Jugendlicher zu den Medien z. B. durch Befragungen in der Klasse und im Freundeskreis oder durch Auswertung einfacher Statistiken und reflektieren ihren Medienkonsum. Inhalte zu den Kompetenzen: Einstellungen, Verhalten und Zukunftserwartun"/>
        <s v="Parthenogenese Fortführung der Tabelle Grundlegende Zusammenhänge des Basiskonzepts Inhaltsbezogene Kompetenzen Die Schülerinnen und Schüler ... Verbindliche Fachinhalte OS - R Die Partnerwahl basiert auf genetischer Disposition. beschreiben und erklären "/>
        <s v="Ablauf und Strukturierung der Präsentation Zeitmanagement optimal angemessen gelegentlich unangemessen häufig unangemessen sehr stark eingeschränkt Kommunikationsfähigkeit Wahl einer adressatenbezogenen Sprachebene Darstellung eines Sachzusammenhangs auf "/>
        <s v="soziale Phänomene bzw. Sachverhalte in der analogen und digitalen Umgebung entwickeln, interessengeleitete Setzung, Verbreitung und Dominanz psychologischer Themen in analogen und digitalen Umgebungen erschließen und beurteilen. Handlungskompetenz: Sich i"/>
        <s v="der Qualifikationsphase das Fach Psychologie belegen wollen, sind folgende Standards verbindlich: Fachliche Kompetenzen Die Schülerinnen und Schüler können ... den Gegenstand der Psychologie - Erleben und Verhalten des Menschen oder Verhalten und innere P"/>
        <s v="in der Regel unterschiedliche Standpunkte zu pädagogischen und psychologischen Phänomenen vertreten, Verständnis für entgegengesetzte Standpunkte entwickeln, Fachsprachkenntnisse selbstständig aneignen und korrekt nutzen, Fachtexte selbstständig hinsichtl"/>
        <s v="aufzugreifen und zu untersuchen. Dadurch leistet das Fach einen umfänglichen Beitrag zur Herausbildung der im Grundsatzband ausgewiesenen fächerübergreifenden Schlüsselkompetenzen. Durch die bewusste Auseinandersetzung mit dem eigenen und fremden Erleben "/>
        <s v="Ware Stilkunde Welcher Zusammenhang besteht zwiBegriff Stil bestimmen und Einflusskriterien schen Lebensstil und Lebensbedingung Charakter, Gesellschaftsschicht, Lebensstil und Epoche/ Zeitgeist feststellen und berücksichtigen; Worin liegt die Subjektivit"/>
        <s v="und neuen Arten führen, ebenso wie die Regeln, nach denen Organismen, inklusive des Menschen, interagieren und Sozialsysteme bilden, besondere Bedeutung in der Forschung. Bei der Betrachtung des adaptiven Wertes von Verhalten stehen die reproduktive Fitne"/>
        <s v="steht oft die Frage nach einem moralisch vertretbaren Handeln. Die Schülerinnen und Schüler setzen sich darüber hinaus regelmäßig damit auseinander, welche Bedeutung bestimmte Normen und Werte für menschliche Haltungen und Verhaltensweisen haben. Und schl"/>
        <s v="unten aufgeführten inhaltlichen Schwerpunkte aufeinander, so ergeben sich die nachfolgenden konkretisierten Kompetenzerwartungen. p , p g Inhaltsfeld Das Individuum in Interaktion mit anderen Inhaltliche Schwerpunkte Attributionsprozesse Psychologie der G"/>
        <s v="von Kritikpunkten, die im Unterricht erarbeitet wurden, keine eigenständige Leistung im Urteilsbereich sondern lediglich Reproduktion vgl. Anforderungsbereich I. Kreativität und Originalität Schöpferischer Umgang mit vorhandenen Kenntnissen, Fähigkeiten, "/>
        <s v="Überzeugungen, Einstellungen, Selbstkonzepte, Attributionen Untersuchungsmethoden, Forschungstechniken: quantitative Verfahren Feld und Labor repräsentative Befragungen Theoriebildung durch Verallgemeinerung experimenteller Befunde Computersimulationen Da"/>
        <s v="einschätzen bzw. daraus entsprechende Handlungsoptionen ableiten Entwicklung von Selbstvertrauen die Arbeit des Einzelnen in der Gruppe reflektieren und die Arbeitsergebnisse der gemeinsamen Arbeit einschätzen Verhaltensregeln festlegen bzw. einhalten und"/>
        <s v="der Werteerziehung missverstanden, wenn er die Existenz eines Expertenwissens über das moralisch Richtige suggerierte, das von der Lehrkraft auf die Schülerinnen und Schüler übertragen werden und auf diese Weise ein Verhalten gemäß bestimmter moralischer "/>
        <s v="Lösung nationaler, europäischer und globaler Herausforderungen wie etwa im Bereich der Asyl- und Migrationspolitik zu verstehen und sich mit unterschiedlichen Lösungsperspektiven auseinanderzusetzen, dabei - eine Widerstandshaltung gegen inhumane und unde"/>
        <s v="soziale Phänomene bzw. Sachverhalte in der analogen und digitalen Umgebung entwickeln. Interessengeleitete Setzung, Verbreitung und Dominanz psychologischer Themen in analogen und digitalen Umgebungen erschließen und beurteilen. Handlungskompetenz: Sich i"/>
        <s v="Denkens Modelle der Überzeugungen, Einstellungen, Selbstkonzepte, Attributionen Untersuchungsmethoden, Forschungstechniken: quantitative Verfahren Feld und Labor repräsentative Befragungen Theoriebildung durch Verallgemeinerung experimenteller Befunde Com"/>
        <s v="Vergleichen sowie Modellbildung und Simulation. Das Sammeln von Daten und der Umgang mit Diagrammen sind weitere zu entwickelnde naturwissenschaftliche Kompetenzen. Das experimentelle Arbeiten erfordert planvolles Vorgehen, Beständigkeit, Teamfähigkeit un"/>
        <s v="werden. Grundlegendes Ziel ist ein sensibler Umgang mit Vielfalt und der Erwerb moralischer Urteilsfähigkeit, verstanden als Fähigkeit, gesellschaftlich vermittelte Probleme und Herausforderungen wahrzunehmen und in einer gegebenen Situation nach angemess"/>
        <s v="Modells interpretieren und für eigenes Handeln Verantwortung übernehmen - Aspekte der Nachhaltigkeit für die eigene gesunde, aktive und nachhaltige Lebensgestaltung ableiten Kommunikationskompetenz - zur Darstellung der Komplexität von Erleben und Verhalt"/>
        <s v="leiten daraus Ansätze für Veränderungen ab. erkennen und umschreiben Alltags- und Arbeitsbereiche, in denen psychologische Erkenntnisse ihre Anwendung finden, und wenden dabei die korrekte Fachterminologie an. Inhalte zu den Kompetenzen: Verhalten und Erl"/>
        <s v="Zeit auf eigenes Leben beziehen; Einheit von Zukunft, Gegenwart und Gewesenheit graphisch darstellen, Gedankenexperimente: Was wäre, wenn Vergangenes zurückholbar würde, Zukünftiges im voraus bekannt wäre, Gegenwart festgeschrieben werden könnte Wie verha"/>
        <s v="von individueller und gesellschaftlicher Ebene kann vorgenommen werden. Dabei ist jedoch zu beachten, dass der Bezug zum Fach Psychologie gewahrt bleibt. - Möglichkeit der Selbstverwirklichung für einen Menschen mit abweichendem Verhalten Bedürfnisse nach"/>
        <s v="III enthält zwei Teilbereiche: Problemlösung, Bewertung und Urteilsbildung selbstständiges Lösen von Problemstellungen; wissenschaftlich begründetes Stellungnehmen und Urteilen und Kreativität und Originalität schöpferischer Umgang mit vorhandenen Kenntni"/>
        <s v="ausgeführt würden. Sobald diese Kampfregeln aber nicht mehr eingehalten würden, entarteten diese Kämpfe zu einem brutalen Abschlachten, das ausschließlich der Unterhaltung der Massen diene. Derartige Aufführungen förderten grausame und unmenschliche Verha"/>
        <s v="die Fertigkeit sowie die Bereitschaft, psychologische Erkenntnisse konstruktiv und verantwortungsvoll einerseits für die Bewältigung sozialer Situationen und andererseits für das eigene Leben anzuwenden. Sie erkennen im konkreten menschlichen Erleben und "/>
        <s v="Handlungskompetenz Einführung: Modell des Gütermarktes Die Schülerinnen und Schüler erläutern den grundsätzlichen Unterschied zwischen der Mikroökonomie und der Makroökonomie, Die Schülerinnen und Schüler grenzen anhand eines Textauszugs einzelwirtschaftl"/>
        <s v="Meinung und der Bewertungsfähigkeit zu fördern. Die im Biologieunterricht anzustrebenden Kompetenzen sind den nachfolgenden Kompetenzbereichen zugeordnet. Sie tragen bei gleichwertiger Berücksichtigung im Unterricht zur schrittweisen Entwicklung anschluss"/>
        <s v="entwickeln begründet Verantwortung für Mensch und Natur. Grundlegendes Ziel ist der Erwerb moralischer Urteilsfähigkeit, verstanden als Fähigkeit, gesellschaftlich vermittelte Probleme und Herausforderungen wahrzunehmen und in einer gegebenen Situation na"/>
        <s v="Erwachsene, ist zu abhängig ist roh zu Tieren, quält sie Quelle: Steinhausen, Hans-Christoph: Seelische Störungen im Kindesalter. Klett-Cotta. Stuttgart S. f. A. Arbeitsanweisung Svens Eltern suchen eine Beratungsstelle wegen des Verhaltens ihres Sohnes a"/>
        <s v="- Gerechtigkeit Sachkompetenz Die Schülerinnen und Schüler erläutern die Bedeutsamkeit von Gerechtigkeit für soziales Leben, formulieren Regeln für ein gerechtes Miteinander, erläutern unterschiedliche Prinzipien von Gerechtigkeit Gleichheit, Bedürfnis, L"/>
        <s v="k d k ti Es ist wichtig, die vielfältigen Bedürfnisse und Interessen von Mädchen und Jungen sowie Lernenden mit weiteren Geschlechtsidentitäten zu berücksichtigen, die z. B. in Sprache, Idolen, Mode, Verhalten und Umgang miteinander zum Ausdruck kommen. E"/>
        <s v="anwenden, eigene Hypothesen im Sinne einer Verifizierung bzw. Falsifizierung überprüfen und die Ergebnisse fachkompetent sowie fachsprachlich kommunizieren. Andererseits werden sie auf diese Weise befähigt, zentrale Alltagsprobleme sowie eigene Erfahrunge"/>
        <s v="Wrde, Toleranz Ethos, Eudaimonia, Hedone, Utilitt, Wert, Sinn kategorischer Imperativ, Kommunikations-Apriori universaler Geltungsanspruch, Rechtfertigung Themenschwerpunkt : Wie rechtfertige ich mein Tun - Stunden Teilthemen Inhaltsaspekte TT .: Wie werd"/>
        <s v="und Selbst problematisiert werden. Für die Note ausreichend wird erwartet, dass zentrale Punkte von Festingers Theorie dargestellt und an Beispielen auf den Text angewendet werden können. Im Gespräch soll das Verhalten der Abgeordneten weiter problematisi"/>
        <s v="und Erleben des Menschen ist. Im Unterricht haben die Schülerinnen und Schüler die Möglichkeit, sich mit dem reziproken Verhältnis von Mensch und Umwelt und dessen Einfluss auf ihr Erleben und Verhalten auseinanderzusetzen. Sie werden sensibilisiert, Umwe"/>
        <s v="den Aspekten des biologischen Geschlechts, des psychologischen Geschlechts und des sozialen Geschlechts, bewerten ethische Aspekte und Implikationen sozialpsychologischer Experimente, beurteilen die Anwendbarkeit und den Erklärungswert kognitiver und evol"/>
        <s v="Themenbereich naturalistischer kompatibilistischer Theorien in der neueren Determinismusdiskussion vertieft behandelt werden. Themenbezogene Kompetenzen Exemplarische Lerninhalte Die Schülerinnen und Schüler erwerben oder erweitern die Fähigkeit, intentio"/>
        <s v="Wissens paradigmatische Ansätze und Disziplinen den Aspekten des Integrierenden Modells zuordnen Bewertungskompetenz - Eignung des integrierenden Modells zur Erklärung von Erleben und Verhalten multifaktoriell beurteilen Handlungskompetenz - eigenes und f"/>
        <s v="nicht verwerten darf und keine Anerkennung bekommt, sich nicht durch die Vertiefung in das Gebiet selbstverwirklichen darf, als gegeben und moralisch nicht bewertbar. Birkenbihl stempelt Friedrich als pathologisch, wobei das Verhalten von Friedrich mehr a"/>
        <s v="geben. Lebensweltbezogenes Lernen Die Schülerinnen und Schüler erwerben grundlegende Fähigkeiten und Fertigkeiten wissenschaftlichen Arbeitens, die auf einem handlungsorientierten und auf Weiterentwicklung der Selbstständigkeit beruhenden Fachunterricht b"/>
        <s v="Leistung ist ausreichend, wenn der Text in seinen einzelnen Punkten der Psychoanalyse zugeordnet werden kann. Wesentliche Strukturmerkmale der Theorie, die für den Fall wichtig sind, sollen fehlerfrei dargestellt werden. Abweichendes Verhalten A Aufgabens"/>
        <s v="Christian Quelle: http//:www.zappelphilipp.de/brief.htm vom .. A. Arbeitsanweisung Teil - Selbstständige Prüfungsleistung Kinder mit Hyperaktivität sind verhaltensauffällig. Sie haben Schwierigkeiten mit dem sinnlichen Erfahren ihrer Umgebung. Stellen Sie"/>
        <s v="der allgemeinen und ausgewählte Bereiche der speziellen und angewandten Psychologie behandelt. Anforderungen, die sich aus dem gesellschaftlichen Wandel ergeben etwa wie multikulturelle Perspektiven und der Schwund traditioneller Bindungen, Sicht- und Ver"/>
        <s v="es je in einem deutschen Staat gegeben hat Aufgabe des Ethikunterrichts ist es, sowohl denBlickfürdieweltweiteDurchsetzungvonFreiheit zu schärfen, als auch dafür Sorge zu tragen, daß bei der durchaus berechtigten Kritik am Verhalten der Konsum- und Wohlst"/>
        <s v="grundlegender Begriff der Systematik, Klassifikation und Taxonomie. Als Arten bezeichnet man Gruppen von Individuen, die durch Abstammungsbande zwischen Eltern und Nachkommen Nachkommenschaft gekennzeichnet sind Tokogenie und in Gestalt, Physiologie und V"/>
        <s v="und in einem wissenschaftlichen Praxisfeld an HK. Die Kompetenzen der Schülerinnen und Schüler sollen im Rahmen der Behandlung des nachfolgenden, für die Einführungsphase obligatorischen Inhaltsfeldes entwickelt werden: Menschliches Erleben und Verhalten "/>
        <s v="Pluralität mit der Frage nach Gott auseinandersetzen Erkenntnismethoden von Geisteswissenschaften und Naturwissenschaften Kompetenzschwerpunkt: Psychische Phänomene: Wahrnehmung erklären Phänomenologische Kompetenz - Multidimensionalität von Wahrnehmung s"/>
        <s v="Psychoanalyse als einen klinischen Anwendungsbereich der tiefenpsychologischen Auffassung, erläutern das behavioristische Menschenbild, analysieren kriterienorientiert eine kognitivistische und eine ganzheitlich-humanistische Persönlichkeitstheorie, erklä"/>
        <s v="die Ergebnisse der Analyse einfließen. Hierzu eignen sich rezipientenorientierte Darstellungen Informationen, in denen auf das Gelernte zurückgegriffen wird. Grundsätzlich ist dabei zu differenzieren zwischen Lösungsansätzen, die sich unmittelbar auf hies"/>
        <s v="mitzuwirken. Handlungskompetenz setzt Entscheidungsfähigkeit voraus und schließt die Bereitschaft zur Reflexion, zum Kompromiss und zur Toleranz ein. Die Schülerinnen und Schüler ... ESA MSA Übergang in die Oberstufe praktizieren demokratisches Verhalten "/>
        <s v="mit alltäglichen Ausgrenzungen z. B. Rassismus, Antisemitismus oder Sexismus und erfassen Möglichkeiten des persönlichen Engagements für Minderheitenschutz und Gleichberechtigung im demokratischen Rechtsstaat. vergleichen Möglichkeiten der staatlichen Ein"/>
        <s v="Deutsch, Englisch, Französisch, Spanisch, Russisch, Italienisch, Latein, Griechisch, Geschichte, Sozialkunde, Evangelischer Religionsunterricht, Katholischer Religionsunterricht, Geographie Kompetenzschwerpunkt: Integrierendes Modell beschreiben und übert"/>
        <s v="und Schüler ein grobes, inhaltliches Grundgerüst, in das psychologische Themen auch in Zukunft eingeordnet werden können. Die Schülerinnen und Schüler identifizieren die Existenz verschiedener Perspektiven der Betrachtung von Erleben und Verhalten, nehmen"/>
        <s v="mit zu entwickeln Demokratie lernen, - Ansätze zur Lösung nationaler, europäischer und globaler Herausforderungen zu verstehen und sich mit unterschiedlichen Lösungsperspektiven auseinanderzusetzen, dabei - eine Widerstandshaltung gegen inhumane und undem"/>
        <s v="Blockierung der Identitätsbildung der Tochter. In der frühkindlichen Beziehung der Anorektikerin zu ihrer Mutter mögen traumatische Erfahrungen eine Rolle spielen, als das Kind von einer überfürsorglichen Mutter nicht zu selbstinitiiertem Verhalten ermuti"/>
        <s v="sind dadurch für die Gefahren einer Sucht sensibilisiert. erklären die Bedeutung von Lebenskompetenzen für eine starke Persönlichkeit, die die Anforderungen des Alltags bewältigen kann und ihre Zufriedenheit nicht von bestimmten Verhaltensweisen oder Subs"/>
        <s v="und selbstbestimmt und verantwortungsvoll handeln können. Somit trägt der Ethikunterricht dazu bei, dass die Schülerinnen und Schüler sich in Konfliktsituationen mit den Beteiligten über den Sinn und moralischen Wert von Verhaltensweisen und unterschiedli"/>
        <s v="in variablen Situationen erfolgreich und verantwortungsvoll genutzt werden können. Sie sind Grundlage für die Befähigung, sich in beruflichen, gesellschaftlichen und privaten Situationen sachgerecht durchdacht sowie individuell und sozial verantwortlich z"/>
        <s v="Identität darstellen. Entwickeln der Fähigkeit und Bereitschaft, humane und rationale Überzeugungen zu vertreten und die freiheitlich-demokratische Grundordnung mitzugestalten Die Schüler lehnen Missbrauch staatlicher Gewalt ab und wirken menschenverachte"/>
        <s v="sich die Schülerinnen und Schüler im Gebrauch sozialwissenschaftlicher Begriffe und Methoden sozialwissenschaftliches Analysieren und in der Fähigkeit zum Perspektivenwechsel. Indem die Schülerinnen und Schüler Widersprüche zwischen einzel- und gesamtwirt"/>
        <s v="auf keinen einfachen Nenner mehr zu bringen sind. Außerdem operiert das herrschende Regime mit einem ganz neuen Tugendkatalog, der alle früheren ethischen Codes außer Kraft setzt. Prämiert werden Eigenschaften und Verhaltensweisen, die früher eher als ver"/>
        <s v="Reaktion steigt. Dieses von Skinner im Tierexperiment erforschte Lerngesetz, welches das Streben nach Belohnung als Antrieb des Handelns voraussetzt, wurde um kognitive Komponenten erweitert. Auch antizipierte Belohnungen können das gewünschte Verhalten e"/>
        <s v="der Preisbildung in der sozialen Marktwirtschaft Der Schwerpunkt dieses Halbjahres liegt in der Thematisierung der marktrelevanten Preisbildungsprozesse auf der Grundlage einer marktwirtschaftlichen Ordnung. Thema dieses Halbjahres ist die Analyse des Ver"/>
        <s v="besonderer Weise zur Wertevermittlung bei, indem er in seinem Vollzug grundlegende Werte und Normen erlebbar macht: Das Tolerieren abweichender Meinungen, den Umgang mit Konflikten im gewaltfreien Diskurs, das Einüben demokratischer Verhaltensweisen. Darü"/>
        <s v="erfordern, sich im Sinne von Perspektivenwechseln in die Situation, Interessen und Denkweisen anderer gesellschaftlicher, wirtschaftlicher und politischer Gruppen zu versetzen und sich in unterschiedlichen sozialen Situationen angemessen und wirkungsvoll "/>
        <s v="in den Vordergrund stellt, sollten genetische Ursachen auf jeden Fall angesprochen werden. Dabei ist, gerade unter Berücksichtigung der Normverstöße von Christian, ein Eingehen auf die Wechselwirkung von genetischen Grundlagen des Verhaltens und sozialen "/>
        <s v="Elemente auswählen und diese adäquat nutzen unterschiedliche Darstellungen, Positionen gleichberechtigt diskutieren alltagssprachliche Formulierungen in Fachsprache übersetzen Fachzusammenhänge für einen Informationsempfänger adäquat formulieren und illus"/>
        <s v="und an der Lösung von Problemen mitzuwirken. Handlungskompetenz setzt Entscheidungsfähigkeit voraus und schließt die Bereitschaft zur Reflexion, zum Kompromiss und zur Toleranz ein. Die Schülerinnen und Schüler ... praktizieren demokratisches Verhalten im"/>
        <s v="zukäme. Die Entwicklung willentlichen Handelns im Laufe der Evolution gründet auf der Fähigkeit zur Antizipation. Dazu gehören die gedankliche Vorwegnahme von Handlungsfolgen und von Bedürfnislagen sowie die entsprechende Anpassung des Verhaltens. Da aber"/>
        <s v="Arbeitsauftrag I II III Ein großes Problem aller Unternehmen ist die Frage des effizienten Führungsstils. Stellen Sie die Führungsstilmodelle von Blake/Mouton und Her sey/Blanchard dar. Analysieren Sie die Veränderungen im Verhalten von Friedrich mit Hilf"/>
        <s v="Nervenzellen Basiskonzept System, das in der Unterrichtseinheit Nervensystem vertieft wird. In der Unterrichtseinheit Suchtmittel und Süchte erhalten die Schülerinnen und Schüler ein fundiertes Fachwissen über Merkmale und Formen von süchtigem Verhalten, "/>
        <s v="- Handlungsorientiertheit, staatlich - nichtstaatlich. Anschließend müssen die Prüflinge der Frage nachgehen, inwieweit die internationalen Organisationen - allen voran die UNO mit ihren Nebenorganisationen - in der Lage sind, das Verhalten der weltweit a"/>
        <s v="psychologische Erkenntnisse sachlogisch und konstruktiv führen und moderieren, psychologische Sachverhalte für Nichtfachleute verständlich darstellen, erklären und auf Alltagsbeispiele übertragen, eigenes Erleben nachvollziehbar beschreiben, die häufig vo"/>
        <s v="durch Nutzung neuer Medien erfolgreich an Umweltwettbewerben z. B. Aktion Klima, Erlebter Frühling, NAJU Energiesparclub, Regionalwettbewerb teilnehmen. Selbst - und Sozialkompetenz Der Schüler kann - die Ansprüche eines ökologisch bewussten Verhaltens mi"/>
        <s v="B. Forschung, Frühförderung, Inklusion, Einzelfall-/Gruppen-/Familienberatung Ps/ : Modul Lernpsychologie ca. Std. Kompetenzerwartungen Die Schülerinnen und Schüler ... beschreiben Lernen als grundlegenden und erfahrungsbasierten Prozess. erklären die Ent"/>
        <s v="durchführen, - Konfliktmodelle, z. B. Eisbergmodell, Dreiecksmodell, und Konfliktlösungsstrategien, z. B. Gordon-Schulkonferenz, anwenden. Selbst- und Sozialkompetenz Der Schüler kann - seine Rolle in der Gruppe Schulklasse erfassen, - auf unangemessenes "/>
        <s v="medizinische, hygienische, psychologische und sexualwissenschaftliche Grundlagen ermöglicht. Es soll sowohl Sachinformationen über die körperliche Entwicklung und die damit verbundenen Veränderungen im emotionalen Bereich enthalten als auch sexuelles Erle"/>
        <s v="zu nutzen, Zeitzeugenbefragungen durchzuführen und die mit mündlichen Geschichtsquellen verbundene Problematik zu beurteilen, unterschiedliche theoretische Ansätze der Fachwissenschaft zur Erkenntnisgewinnung auszuwerten, historische Frage- und Problemste"/>
        <s v="naturgeografischen Gegebenheiten und menschlichen Aktivitäten. Das Ziel des geographischen Lernens ist der mündige Bürger, der die Komplexität der Entwicklung auf der Grundlage von fundiertem Sachwissen erkennt und eine Anpassung bisheriger Verhaltensweis"/>
        <s v="Denn die Schülerinnen und Schüler entwickeln die Fähigkeit und Bereitschaft, sowohl ihre eigene Lebenswelt zu reflektieren, diese im verantwortungsvollen Umgang mit sich und anderen zu gestalten Handlungskompetenz als auch beobachtbares Verhalten und subj"/>
        <s v="von Marktmacht unter dem Gesichtspunkt von Konzentration. Der niveaugerechte Anspruch des Kurses besteht in der theoriegestützten Marktanalyse und der Untersuchung, inwieweit es dem Staat möglich ist, durch Eingriffe in das Verhalten der Marktteilnehmer d"/>
        <s v="Medien inhaltlich zu erschließen, Zusammenhänge adäquat wiederzugeben und sachlich zu argumentieren Kommunikationsfähigkeiten, die insbesondere auf die gegenseitige Toleranz und Achtung und auf Verständigung ausgerichtet sind Neugier und Offenheit für das"/>
        <s v="eigene Person vorzunehmen. Dabei sind kommunikative und kooperative Fähigkeiten erforderlich. Am Ende der Qualifikationsphase können die Schülerinnen und Schüler in der Regel Handlungsalternativen bezüglich der Kontrolle und Steuerung des eigenen Verhalte"/>
      </sharedItems>
    </cacheField>
    <cacheField name="state" numFmtId="0">
      <sharedItems>
        <s v="Hamburg"/>
        <s v="Hessen"/>
        <s v="unknown"/>
        <s v="NRW"/>
        <s v="Berlin"/>
        <s v="Sachsen-Anhalt"/>
        <s v="Rheinland-Pfalz"/>
        <s v="Niedersachsen"/>
        <s v="Sachsen"/>
        <s v="Bremen"/>
        <s v="BaWü"/>
        <s v="Schleswig-Holstein"/>
        <s v="MeckPomm"/>
        <s v="Bayern"/>
        <s v="Saarland"/>
        <s v="Thüringen"/>
      </sharedItems>
    </cacheField>
    <cacheField name="school_type" numFmtId="0">
      <sharedItems>
        <s v="Gym"/>
        <s v="unknown"/>
        <s v="Hauptschule"/>
        <s v="Oberschule"/>
        <s v="Oberschule.pdf"/>
        <s v="Realschule"/>
        <s v="Hauptschule.pdf"/>
        <s v="Stadtteilschule"/>
        <s v="GemS"/>
        <s v="Gemeinschaftsschule"/>
        <s v="Regelschule"/>
        <s v="Regionale Schule"/>
        <s v="Gesamtschule"/>
        <s v="Realschule.pdf"/>
        <s v="Sekundarschule"/>
      </sharedItems>
    </cacheField>
    <cacheField name="grade">
      <sharedItems containsDate="1" containsMixedTypes="1">
        <s v="Sek2"/>
        <s v="unknown"/>
        <s v="Sek1"/>
        <s v="9,10"/>
        <s v="5,6"/>
        <d v="2026-07-10T00:00:00Z"/>
        <s v="Sek 1"/>
        <n v="12.0"/>
        <d v="2026-05-11T00:00:00Z"/>
        <s v="12,13"/>
        <s v="7,8"/>
        <d v="2026-05-09T00:00:00Z"/>
        <d v="2026-05-06T00:00:00Z"/>
        <n v="8.0"/>
        <n v="10.0"/>
        <n v="9.0"/>
        <s v="Sek 2"/>
        <n v="13.0"/>
        <d v="2026-05-10T00:00:00Z"/>
        <n v="6.0"/>
        <n v="11.0"/>
        <s v="Studienstufe"/>
        <s v="Sekundarstufe"/>
      </sharedItems>
    </cacheField>
    <cacheField name="year">
      <sharedItems containsMixedTypes="1" containsNumber="1" containsInteger="1">
        <n v="2022.0"/>
        <n v="2024.0"/>
        <n v="2020.0"/>
        <n v="2021.0"/>
        <n v="2017.0"/>
        <n v="2019.0"/>
        <s v="unknown"/>
        <n v="2015.0"/>
        <n v="2016.0"/>
        <n v="2010.0"/>
        <n v="2023.0"/>
        <n v="2014.0"/>
        <n v="2006.0"/>
        <n v="2011.0"/>
        <n v="2002.0"/>
        <n v="2018.0"/>
        <n v="1983.0"/>
        <n v="2012.0"/>
        <n v="1998.0"/>
        <n v="2009.0"/>
        <n v="2005.0"/>
        <n v="2008.0"/>
        <n v="2013.0"/>
      </sharedItems>
    </cacheField>
    <cacheField name="subject" numFmtId="0">
      <sharedItems>
        <s v="Bio"/>
        <s v="Psychologie"/>
        <s v="Ethik, Philo"/>
        <s v="Sozialkunde"/>
        <s v="Geschichte"/>
      </sharedItems>
    </cacheField>
    <cacheField name="concept" numFmtId="0">
      <sharedItems>
        <s v="Verhalten"/>
      </sharedItems>
    </cacheField>
    <cacheField name="lda_n_topics" numFmtId="0">
      <sharedItems containsSemiMixedTypes="0" containsString="0" containsNumber="1" containsInteger="1">
        <n v="5.0"/>
        <n v="10.0"/>
        <n v="7.0"/>
      </sharedItems>
    </cacheField>
    <cacheField name="concept_group" numFmtId="0">
      <sharedItems>
        <s v="evolutionary_biology"/>
      </sharedItems>
    </cacheField>
    <cacheField name="bertopic_topic" numFmtId="0">
      <sharedItems containsSemiMixedTypes="0" containsString="0" containsNumber="1" containsInteger="1">
        <n v="2.0"/>
        <n v="13.0"/>
        <n v="5.0"/>
        <n v="3.0"/>
        <n v="0.0"/>
        <n v="-1.0"/>
        <n v="12.0"/>
        <n v="1.0"/>
        <n v="6.0"/>
        <n v="14.0"/>
        <n v="4.0"/>
        <n v="15.0"/>
        <n v="10.0"/>
        <n v="16.0"/>
        <n v="8.0"/>
        <n v="17.0"/>
        <n v="11.0"/>
        <n v="7.0"/>
        <n v="9.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LDA Pivot" cacheId="0" dataCaption="" compact="0" compactData="0">
  <location ref="A1:G13" firstHeaderRow="0" firstDataRow="1" firstDataCol="1"/>
  <pivotFields>
    <pivotField name="docum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t="default"/>
      </items>
    </pivotField>
    <pivotField name="most_prevalent_topic_id" axis="axisRow" compact="0" outline="0" multipleItemSelectionAllowed="1" showAll="0" sortType="ascending">
      <items>
        <item x="9"/>
        <item x="0"/>
        <item x="4"/>
        <item x="5"/>
        <item x="3"/>
        <item x="6"/>
        <item x="7"/>
        <item x="8"/>
        <item x="2"/>
        <item x="1"/>
        <item t="default"/>
      </items>
    </pivotField>
    <pivotField name="most_prevalent_topic_proba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t="default"/>
      </items>
    </pivotField>
    <pivotField name="text_excerp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t="default"/>
      </items>
    </pivotField>
    <pivotField name="state" compact="0" outline="0" multipleItemSelectionAllowed="1" showAll="0">
      <items>
        <item x="0"/>
        <item x="1"/>
        <item x="2"/>
        <item x="3"/>
        <item x="4"/>
        <item x="5"/>
        <item x="6"/>
        <item x="7"/>
        <item x="8"/>
        <item x="9"/>
        <item x="10"/>
        <item x="11"/>
        <item x="12"/>
        <item x="13"/>
        <item x="14"/>
        <item x="15"/>
        <item t="default"/>
      </items>
    </pivotField>
    <pivotField name="school type" compact="0" outline="0" multipleItemSelectionAllowed="1" showAll="0">
      <items>
        <item x="0"/>
        <item x="1"/>
        <item x="2"/>
        <item x="3"/>
        <item x="4"/>
        <item x="5"/>
        <item x="6"/>
        <item x="7"/>
        <item x="8"/>
        <item x="9"/>
        <item x="10"/>
        <item x="11"/>
        <item x="12"/>
        <item x="13"/>
        <item x="14"/>
        <item t="default"/>
      </items>
    </pivotField>
    <pivotField name="grad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year"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bject" axis="axisCol" compact="0" outline="0" multipleItemSelectionAllowed="1" showAll="0" sortType="ascending">
      <items>
        <item x="2"/>
        <item x="0"/>
        <item x="1"/>
        <item x="3"/>
        <item x="4"/>
        <item t="default"/>
      </items>
    </pivotField>
  </pivotFields>
  <rowFields>
    <field x="1"/>
  </rowFields>
  <colFields>
    <field x="8"/>
  </colFields>
  <dataFields>
    <dataField name="COUNTA of text_excerpt" fld="3" subtotal="count" baseField="0"/>
  </dataFields>
</pivotTableDefinition>
</file>

<file path=xl/pivotTables/pivotTable2.xml><?xml version="1.0" encoding="utf-8"?>
<pivotTableDefinition xmlns="http://schemas.openxmlformats.org/spreadsheetml/2006/main" name="Bert Pivot" cacheId="1" dataCaption="" compact="0" compactData="0">
  <location ref="A1:G22" firstHeaderRow="0" firstDataRow="1" firstDataCol="1"/>
  <pivotFields>
    <pivotField name="docum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t="default"/>
      </items>
    </pivotField>
    <pivotField name="most_prevalent_topic_id" compact="0" outline="0" multipleItemSelectionAllowed="1" showAll="0">
      <items>
        <item x="0"/>
        <item x="1"/>
        <item x="2"/>
        <item x="3"/>
        <item x="4"/>
        <item x="5"/>
        <item x="6"/>
        <item x="7"/>
        <item x="8"/>
        <item t="default"/>
      </items>
    </pivotField>
    <pivotField name="most_prevalent_topic_proba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t="default"/>
      </items>
    </pivotField>
    <pivotField name="text_excerp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t="default"/>
      </items>
    </pivotField>
    <pivotField name="state" compact="0" outline="0" multipleItemSelectionAllowed="1" showAll="0">
      <items>
        <item x="0"/>
        <item x="1"/>
        <item x="2"/>
        <item x="3"/>
        <item x="4"/>
        <item x="5"/>
        <item x="6"/>
        <item x="7"/>
        <item x="8"/>
        <item x="9"/>
        <item x="10"/>
        <item x="11"/>
        <item x="12"/>
        <item x="13"/>
        <item x="14"/>
        <item x="15"/>
        <item t="default"/>
      </items>
    </pivotField>
    <pivotField name="school_type" compact="0" outline="0" multipleItemSelectionAllowed="1" showAll="0">
      <items>
        <item x="0"/>
        <item x="1"/>
        <item x="2"/>
        <item x="3"/>
        <item x="4"/>
        <item x="5"/>
        <item x="6"/>
        <item x="7"/>
        <item x="8"/>
        <item x="9"/>
        <item x="10"/>
        <item x="11"/>
        <item x="12"/>
        <item x="13"/>
        <item x="14"/>
        <item t="default"/>
      </items>
    </pivotField>
    <pivotField name="grad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year"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bject" axis="axisCol" compact="0" outline="0" multipleItemSelectionAllowed="1" showAll="0" sortType="ascending">
      <items>
        <item x="0"/>
        <item x="2"/>
        <item x="4"/>
        <item x="1"/>
        <item x="3"/>
        <item t="default"/>
      </items>
    </pivotField>
    <pivotField name="concept" compact="0" outline="0" multipleItemSelectionAllowed="1" showAll="0">
      <items>
        <item x="0"/>
        <item t="default"/>
      </items>
    </pivotField>
    <pivotField name="lda_n_topics" compact="0" outline="0" multipleItemSelectionAllowed="1" showAll="0">
      <items>
        <item x="0"/>
        <item x="1"/>
        <item x="2"/>
        <item t="default"/>
      </items>
    </pivotField>
    <pivotField name="concept_group" compact="0" outline="0" multipleItemSelectionAllowed="1" showAll="0">
      <items>
        <item x="0"/>
        <item t="default"/>
      </items>
    </pivotField>
    <pivotField name="bertopic_topic" axis="axisRow" compact="0" outline="0" multipleItemSelectionAllowed="1" showAll="0" sortType="ascending">
      <items>
        <item x="5"/>
        <item x="4"/>
        <item x="7"/>
        <item x="0"/>
        <item x="3"/>
        <item x="10"/>
        <item x="2"/>
        <item x="8"/>
        <item x="17"/>
        <item x="14"/>
        <item x="18"/>
        <item x="12"/>
        <item x="16"/>
        <item x="6"/>
        <item x="1"/>
        <item x="9"/>
        <item x="11"/>
        <item x="13"/>
        <item x="15"/>
        <item t="default"/>
      </items>
    </pivotField>
  </pivotFields>
  <rowFields>
    <field x="12"/>
  </rowFields>
  <colFields>
    <field x="8"/>
  </colFields>
  <dataFields>
    <dataField name="COUNTA of text_excerpt" fld="3"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v>0.0</v>
      </c>
      <c r="B2" s="1">
        <v>2.0</v>
      </c>
      <c r="C2" s="1">
        <v>0.52681311147604</v>
      </c>
      <c r="D2" s="1" t="s">
        <v>9</v>
      </c>
      <c r="E2" s="1" t="s">
        <v>10</v>
      </c>
      <c r="G2" s="1" t="s">
        <v>11</v>
      </c>
      <c r="H2" s="1">
        <v>2024.0</v>
      </c>
      <c r="I2" s="1" t="s">
        <v>12</v>
      </c>
    </row>
    <row r="3">
      <c r="A3" s="1">
        <v>1.0</v>
      </c>
      <c r="B3" s="1">
        <v>2.0</v>
      </c>
      <c r="C3" s="1">
        <v>0.860238552596608</v>
      </c>
      <c r="D3" s="1" t="s">
        <v>13</v>
      </c>
      <c r="E3" s="1" t="s">
        <v>10</v>
      </c>
      <c r="G3" s="1" t="s">
        <v>11</v>
      </c>
      <c r="H3" s="1">
        <v>2024.0</v>
      </c>
      <c r="I3" s="1" t="s">
        <v>12</v>
      </c>
    </row>
    <row r="4">
      <c r="A4" s="1">
        <v>2.0</v>
      </c>
      <c r="B4" s="1">
        <v>2.0</v>
      </c>
      <c r="C4" s="1">
        <v>0.973524305728209</v>
      </c>
      <c r="D4" s="1" t="s">
        <v>14</v>
      </c>
      <c r="E4" s="1" t="s">
        <v>10</v>
      </c>
      <c r="G4" s="1" t="s">
        <v>11</v>
      </c>
      <c r="H4" s="1">
        <v>2024.0</v>
      </c>
      <c r="I4" s="1" t="s">
        <v>12</v>
      </c>
    </row>
    <row r="5">
      <c r="A5" s="1">
        <v>3.0</v>
      </c>
      <c r="B5" s="1">
        <v>2.0</v>
      </c>
      <c r="C5" s="1">
        <v>0.963994269022549</v>
      </c>
      <c r="D5" s="1" t="s">
        <v>15</v>
      </c>
      <c r="E5" s="1" t="s">
        <v>10</v>
      </c>
      <c r="G5" s="1" t="s">
        <v>11</v>
      </c>
      <c r="H5" s="1">
        <v>2024.0</v>
      </c>
      <c r="I5" s="1" t="s">
        <v>12</v>
      </c>
    </row>
    <row r="6">
      <c r="A6" s="1">
        <v>4.0</v>
      </c>
      <c r="B6" s="1">
        <v>2.0</v>
      </c>
      <c r="C6" s="1">
        <v>0.406075900041964</v>
      </c>
      <c r="D6" s="1" t="s">
        <v>16</v>
      </c>
      <c r="E6" s="1" t="s">
        <v>17</v>
      </c>
      <c r="F6" s="1" t="s">
        <v>18</v>
      </c>
      <c r="G6" s="1">
        <v>6.0</v>
      </c>
      <c r="I6" s="1" t="s">
        <v>12</v>
      </c>
    </row>
    <row r="7">
      <c r="A7" s="1">
        <v>5.0</v>
      </c>
      <c r="B7" s="1">
        <v>10.0</v>
      </c>
      <c r="C7" s="1">
        <v>0.975672369817048</v>
      </c>
      <c r="D7" s="1" t="s">
        <v>19</v>
      </c>
      <c r="E7" s="1" t="s">
        <v>20</v>
      </c>
      <c r="F7" s="1" t="s">
        <v>21</v>
      </c>
      <c r="I7" s="1" t="s">
        <v>12</v>
      </c>
    </row>
    <row r="8">
      <c r="A8" s="1">
        <v>6.0</v>
      </c>
      <c r="B8" s="1">
        <v>9.0</v>
      </c>
      <c r="C8" s="1">
        <v>0.976314244709096</v>
      </c>
      <c r="D8" s="1" t="s">
        <v>22</v>
      </c>
      <c r="E8" s="1" t="s">
        <v>20</v>
      </c>
      <c r="F8" s="1" t="s">
        <v>21</v>
      </c>
      <c r="I8" s="1" t="s">
        <v>12</v>
      </c>
    </row>
    <row r="9">
      <c r="A9" s="1">
        <v>7.0</v>
      </c>
      <c r="B9" s="1">
        <v>5.0</v>
      </c>
      <c r="C9" s="1">
        <v>0.957136115904948</v>
      </c>
      <c r="D9" s="1" t="s">
        <v>23</v>
      </c>
      <c r="E9" s="1" t="s">
        <v>24</v>
      </c>
      <c r="F9" s="1" t="s">
        <v>25</v>
      </c>
      <c r="G9" s="1" t="s">
        <v>26</v>
      </c>
      <c r="H9" s="1">
        <v>2018.0</v>
      </c>
      <c r="I9" s="1" t="s">
        <v>12</v>
      </c>
    </row>
    <row r="10">
      <c r="A10" s="1">
        <v>8.0</v>
      </c>
      <c r="B10" s="1">
        <v>5.0</v>
      </c>
      <c r="C10" s="1">
        <v>0.935707501598388</v>
      </c>
      <c r="D10" s="1" t="s">
        <v>27</v>
      </c>
      <c r="E10" s="1" t="s">
        <v>24</v>
      </c>
      <c r="F10" s="1" t="s">
        <v>25</v>
      </c>
      <c r="G10" s="1" t="s">
        <v>26</v>
      </c>
      <c r="H10" s="1">
        <v>2018.0</v>
      </c>
      <c r="I10" s="1" t="s">
        <v>12</v>
      </c>
    </row>
    <row r="11">
      <c r="A11" s="1">
        <v>9.0</v>
      </c>
      <c r="B11" s="1">
        <v>10.0</v>
      </c>
      <c r="C11" s="1">
        <v>0.477041544496746</v>
      </c>
      <c r="D11" s="1" t="s">
        <v>28</v>
      </c>
      <c r="E11" s="1" t="s">
        <v>24</v>
      </c>
      <c r="F11" s="1" t="s">
        <v>25</v>
      </c>
      <c r="G11" s="1" t="s">
        <v>26</v>
      </c>
      <c r="H11" s="1">
        <v>2018.0</v>
      </c>
      <c r="I11" s="1" t="s">
        <v>12</v>
      </c>
    </row>
    <row r="12">
      <c r="A12" s="1">
        <v>10.0</v>
      </c>
      <c r="B12" s="1">
        <v>2.0</v>
      </c>
      <c r="C12" s="1">
        <v>0.384948556307281</v>
      </c>
      <c r="D12" s="1" t="s">
        <v>29</v>
      </c>
      <c r="H12" s="1">
        <v>2006.0</v>
      </c>
      <c r="I12" s="1" t="s">
        <v>12</v>
      </c>
    </row>
    <row r="13">
      <c r="A13" s="1">
        <v>11.0</v>
      </c>
      <c r="B13" s="1">
        <v>5.0</v>
      </c>
      <c r="C13" s="1">
        <v>0.959081176841831</v>
      </c>
      <c r="D13" s="1" t="s">
        <v>30</v>
      </c>
      <c r="H13" s="1">
        <v>2006.0</v>
      </c>
      <c r="I13" s="1" t="s">
        <v>12</v>
      </c>
    </row>
    <row r="14">
      <c r="A14" s="1">
        <v>12.0</v>
      </c>
      <c r="B14" s="1">
        <v>5.0</v>
      </c>
      <c r="C14" s="1">
        <v>0.960866323806462</v>
      </c>
      <c r="D14" s="1" t="s">
        <v>31</v>
      </c>
      <c r="H14" s="1">
        <v>2006.0</v>
      </c>
      <c r="I14" s="1" t="s">
        <v>12</v>
      </c>
    </row>
    <row r="15">
      <c r="A15" s="1">
        <v>13.0</v>
      </c>
      <c r="B15" s="1">
        <v>5.0</v>
      </c>
      <c r="C15" s="1">
        <v>0.959088441924341</v>
      </c>
      <c r="D15" s="1" t="s">
        <v>32</v>
      </c>
      <c r="H15" s="1">
        <v>2006.0</v>
      </c>
      <c r="I15" s="1" t="s">
        <v>12</v>
      </c>
    </row>
    <row r="16">
      <c r="A16" s="1">
        <v>14.0</v>
      </c>
      <c r="B16" s="1">
        <v>5.0</v>
      </c>
      <c r="C16" s="1">
        <v>0.939997643384185</v>
      </c>
      <c r="D16" s="1" t="s">
        <v>33</v>
      </c>
      <c r="H16" s="1">
        <v>2006.0</v>
      </c>
      <c r="I16" s="1" t="s">
        <v>12</v>
      </c>
    </row>
    <row r="17">
      <c r="A17" s="1">
        <v>15.0</v>
      </c>
      <c r="B17" s="1">
        <v>5.0</v>
      </c>
      <c r="C17" s="1">
        <v>0.943743897410805</v>
      </c>
      <c r="D17" s="1" t="s">
        <v>34</v>
      </c>
      <c r="H17" s="1">
        <v>2006.0</v>
      </c>
      <c r="I17" s="1" t="s">
        <v>12</v>
      </c>
    </row>
    <row r="18">
      <c r="A18" s="1">
        <v>16.0</v>
      </c>
      <c r="B18" s="1">
        <v>5.0</v>
      </c>
      <c r="C18" s="1">
        <v>0.930757257771156</v>
      </c>
      <c r="D18" s="1" t="s">
        <v>35</v>
      </c>
      <c r="H18" s="1">
        <v>2006.0</v>
      </c>
      <c r="I18" s="1" t="s">
        <v>12</v>
      </c>
    </row>
    <row r="19">
      <c r="A19" s="1">
        <v>17.0</v>
      </c>
      <c r="B19" s="1">
        <v>3.0</v>
      </c>
      <c r="C19" s="1">
        <v>0.863881776210884</v>
      </c>
      <c r="D19" s="1" t="s">
        <v>36</v>
      </c>
      <c r="H19" s="1">
        <v>2006.0</v>
      </c>
      <c r="I19" s="1" t="s">
        <v>12</v>
      </c>
    </row>
    <row r="20">
      <c r="A20" s="1">
        <v>18.0</v>
      </c>
      <c r="B20" s="1">
        <v>5.0</v>
      </c>
      <c r="C20" s="1">
        <v>0.960867001431188</v>
      </c>
      <c r="D20" s="1" t="s">
        <v>37</v>
      </c>
      <c r="H20" s="1">
        <v>2006.0</v>
      </c>
      <c r="I20" s="1" t="s">
        <v>12</v>
      </c>
    </row>
    <row r="21">
      <c r="A21" s="1">
        <v>19.0</v>
      </c>
      <c r="B21" s="1">
        <v>5.0</v>
      </c>
      <c r="C21" s="1">
        <v>0.957140626942366</v>
      </c>
      <c r="D21" s="1" t="s">
        <v>38</v>
      </c>
      <c r="H21" s="1">
        <v>2006.0</v>
      </c>
      <c r="I21" s="1" t="s">
        <v>12</v>
      </c>
    </row>
    <row r="22">
      <c r="A22" s="1">
        <v>20.0</v>
      </c>
      <c r="B22" s="1">
        <v>5.0</v>
      </c>
      <c r="C22" s="1">
        <v>0.407422604868874</v>
      </c>
      <c r="D22" s="1" t="s">
        <v>39</v>
      </c>
      <c r="H22" s="1">
        <v>2006.0</v>
      </c>
      <c r="I22" s="1" t="s">
        <v>12</v>
      </c>
    </row>
    <row r="23">
      <c r="A23" s="1">
        <v>21.0</v>
      </c>
      <c r="B23" s="1">
        <v>2.0</v>
      </c>
      <c r="C23" s="1">
        <v>0.55428805615777</v>
      </c>
      <c r="D23" s="1" t="s">
        <v>40</v>
      </c>
      <c r="E23" s="1" t="s">
        <v>41</v>
      </c>
      <c r="F23" s="1" t="s">
        <v>18</v>
      </c>
      <c r="G23" s="1" t="s">
        <v>42</v>
      </c>
      <c r="H23" s="1">
        <v>2024.0</v>
      </c>
      <c r="I23" s="1" t="s">
        <v>12</v>
      </c>
    </row>
    <row r="24">
      <c r="A24" s="1">
        <v>22.0</v>
      </c>
      <c r="B24" s="1">
        <v>2.0</v>
      </c>
      <c r="C24" s="1">
        <v>0.801622043182212</v>
      </c>
      <c r="D24" s="1" t="s">
        <v>43</v>
      </c>
      <c r="E24" s="1" t="s">
        <v>41</v>
      </c>
      <c r="F24" s="1" t="s">
        <v>18</v>
      </c>
      <c r="G24" s="1" t="s">
        <v>42</v>
      </c>
      <c r="H24" s="1">
        <v>2024.0</v>
      </c>
      <c r="I24" s="1" t="s">
        <v>12</v>
      </c>
    </row>
    <row r="25">
      <c r="A25" s="1">
        <v>23.0</v>
      </c>
      <c r="B25" s="1">
        <v>2.0</v>
      </c>
      <c r="C25" s="1">
        <v>0.75379221372426</v>
      </c>
      <c r="D25" s="1" t="s">
        <v>44</v>
      </c>
      <c r="E25" s="1" t="s">
        <v>45</v>
      </c>
      <c r="F25" s="1" t="s">
        <v>18</v>
      </c>
      <c r="H25" s="1">
        <v>2019.0</v>
      </c>
      <c r="I25" s="1" t="s">
        <v>12</v>
      </c>
    </row>
    <row r="26">
      <c r="A26" s="1">
        <v>24.0</v>
      </c>
      <c r="B26" s="1">
        <v>3.0</v>
      </c>
      <c r="C26" s="1">
        <v>0.310823287025724</v>
      </c>
      <c r="D26" s="1" t="s">
        <v>46</v>
      </c>
      <c r="E26" s="1" t="s">
        <v>47</v>
      </c>
      <c r="F26" s="1" t="s">
        <v>18</v>
      </c>
      <c r="H26" s="1">
        <v>2016.0</v>
      </c>
      <c r="I26" s="1" t="s">
        <v>12</v>
      </c>
    </row>
    <row r="27">
      <c r="A27" s="1">
        <v>25.0</v>
      </c>
      <c r="B27" s="1">
        <v>2.0</v>
      </c>
      <c r="C27" s="1">
        <v>0.963995987376217</v>
      </c>
      <c r="D27" s="1" t="s">
        <v>48</v>
      </c>
      <c r="E27" s="1" t="s">
        <v>47</v>
      </c>
      <c r="F27" s="1" t="s">
        <v>18</v>
      </c>
      <c r="H27" s="1">
        <v>2016.0</v>
      </c>
      <c r="I27" s="1" t="s">
        <v>12</v>
      </c>
    </row>
    <row r="28">
      <c r="A28" s="1">
        <v>26.0</v>
      </c>
      <c r="B28" s="1">
        <v>5.0</v>
      </c>
      <c r="C28" s="1">
        <v>0.957136405472064</v>
      </c>
      <c r="D28" s="1" t="s">
        <v>49</v>
      </c>
      <c r="E28" s="1" t="s">
        <v>50</v>
      </c>
      <c r="G28" s="2">
        <v>46148.0</v>
      </c>
      <c r="I28" s="1" t="s">
        <v>12</v>
      </c>
    </row>
    <row r="29">
      <c r="A29" s="1">
        <v>27.0</v>
      </c>
      <c r="B29" s="1">
        <v>5.0</v>
      </c>
      <c r="C29" s="1">
        <v>0.957137584364547</v>
      </c>
      <c r="D29" s="1" t="s">
        <v>51</v>
      </c>
      <c r="E29" s="1" t="s">
        <v>50</v>
      </c>
      <c r="G29" s="2">
        <v>46148.0</v>
      </c>
      <c r="I29" s="1" t="s">
        <v>12</v>
      </c>
    </row>
    <row r="30">
      <c r="A30" s="1">
        <v>28.0</v>
      </c>
      <c r="B30" s="1">
        <v>2.0</v>
      </c>
      <c r="C30" s="1">
        <v>0.902387654388694</v>
      </c>
      <c r="D30" s="1" t="s">
        <v>52</v>
      </c>
      <c r="E30" s="1" t="s">
        <v>50</v>
      </c>
      <c r="G30" s="2">
        <v>46148.0</v>
      </c>
      <c r="I30" s="1" t="s">
        <v>12</v>
      </c>
    </row>
    <row r="31">
      <c r="A31" s="1">
        <v>29.0</v>
      </c>
      <c r="B31" s="1">
        <v>10.0</v>
      </c>
      <c r="C31" s="1">
        <v>0.683290801355512</v>
      </c>
      <c r="D31" s="1" t="s">
        <v>53</v>
      </c>
      <c r="E31" s="1" t="s">
        <v>50</v>
      </c>
      <c r="G31" s="2">
        <v>46148.0</v>
      </c>
      <c r="I31" s="1" t="s">
        <v>12</v>
      </c>
    </row>
    <row r="32">
      <c r="A32" s="1">
        <v>30.0</v>
      </c>
      <c r="B32" s="1">
        <v>5.0</v>
      </c>
      <c r="C32" s="1">
        <v>0.959084263341585</v>
      </c>
      <c r="D32" s="1" t="s">
        <v>54</v>
      </c>
      <c r="E32" s="1" t="s">
        <v>50</v>
      </c>
      <c r="G32" s="2">
        <v>46148.0</v>
      </c>
      <c r="I32" s="1" t="s">
        <v>12</v>
      </c>
    </row>
    <row r="33">
      <c r="A33" s="1">
        <v>31.0</v>
      </c>
      <c r="B33" s="1">
        <v>5.0</v>
      </c>
      <c r="C33" s="1">
        <v>0.957136071729368</v>
      </c>
      <c r="D33" s="1" t="s">
        <v>55</v>
      </c>
      <c r="E33" s="1" t="s">
        <v>50</v>
      </c>
      <c r="G33" s="2">
        <v>46148.0</v>
      </c>
      <c r="I33" s="1" t="s">
        <v>12</v>
      </c>
    </row>
    <row r="34">
      <c r="A34" s="1">
        <v>32.0</v>
      </c>
      <c r="B34" s="1">
        <v>10.0</v>
      </c>
      <c r="C34" s="1">
        <v>0.854644432561275</v>
      </c>
      <c r="D34" s="1" t="s">
        <v>56</v>
      </c>
      <c r="E34" s="1" t="s">
        <v>50</v>
      </c>
      <c r="G34" s="2">
        <v>46148.0</v>
      </c>
      <c r="I34" s="1" t="s">
        <v>12</v>
      </c>
    </row>
    <row r="35">
      <c r="A35" s="1">
        <v>33.0</v>
      </c>
      <c r="B35" s="1">
        <v>4.0</v>
      </c>
      <c r="C35" s="1">
        <v>0.967855668777459</v>
      </c>
      <c r="D35" s="1" t="s">
        <v>57</v>
      </c>
      <c r="E35" s="1" t="s">
        <v>58</v>
      </c>
      <c r="F35" s="1" t="s">
        <v>59</v>
      </c>
      <c r="G35" s="2">
        <v>46153.0</v>
      </c>
      <c r="H35" s="1">
        <v>2024.0</v>
      </c>
      <c r="I35" s="1" t="s">
        <v>12</v>
      </c>
    </row>
    <row r="36">
      <c r="A36" s="1">
        <v>34.0</v>
      </c>
      <c r="B36" s="1">
        <v>6.0</v>
      </c>
      <c r="C36" s="1">
        <v>0.970966539379796</v>
      </c>
      <c r="D36" s="1" t="s">
        <v>60</v>
      </c>
      <c r="E36" s="1" t="s">
        <v>58</v>
      </c>
      <c r="F36" s="1" t="s">
        <v>59</v>
      </c>
      <c r="G36" s="2">
        <v>46153.0</v>
      </c>
      <c r="H36" s="1">
        <v>2024.0</v>
      </c>
      <c r="I36" s="1" t="s">
        <v>12</v>
      </c>
    </row>
    <row r="37">
      <c r="A37" s="1">
        <v>35.0</v>
      </c>
      <c r="B37" s="1">
        <v>2.0</v>
      </c>
      <c r="C37" s="1">
        <v>0.949991611419948</v>
      </c>
      <c r="D37" s="1" t="s">
        <v>61</v>
      </c>
      <c r="E37" s="1" t="s">
        <v>58</v>
      </c>
      <c r="F37" s="1" t="s">
        <v>59</v>
      </c>
      <c r="G37" s="2">
        <v>46153.0</v>
      </c>
      <c r="H37" s="1">
        <v>2024.0</v>
      </c>
      <c r="I37" s="1" t="s">
        <v>12</v>
      </c>
    </row>
    <row r="38">
      <c r="A38" s="1">
        <v>36.0</v>
      </c>
      <c r="B38" s="1">
        <v>6.0</v>
      </c>
      <c r="C38" s="1">
        <v>0.895827771309348</v>
      </c>
      <c r="D38" s="1" t="s">
        <v>62</v>
      </c>
      <c r="E38" s="1" t="s">
        <v>58</v>
      </c>
      <c r="F38" s="1" t="s">
        <v>59</v>
      </c>
      <c r="G38" s="2">
        <v>46153.0</v>
      </c>
      <c r="H38" s="1">
        <v>2024.0</v>
      </c>
      <c r="I38" s="1" t="s">
        <v>12</v>
      </c>
    </row>
    <row r="39">
      <c r="A39" s="1">
        <v>37.0</v>
      </c>
      <c r="B39" s="1">
        <v>3.0</v>
      </c>
      <c r="C39" s="1">
        <v>0.613256712715435</v>
      </c>
      <c r="D39" s="1" t="s">
        <v>63</v>
      </c>
      <c r="E39" s="1" t="s">
        <v>20</v>
      </c>
      <c r="F39" s="1" t="s">
        <v>18</v>
      </c>
      <c r="G39" s="1" t="s">
        <v>42</v>
      </c>
      <c r="H39" s="1">
        <v>2018.0</v>
      </c>
      <c r="I39" s="1" t="s">
        <v>12</v>
      </c>
    </row>
    <row r="40">
      <c r="A40" s="1">
        <v>38.0</v>
      </c>
      <c r="B40" s="1">
        <v>5.0</v>
      </c>
      <c r="C40" s="1">
        <v>0.957136115904948</v>
      </c>
      <c r="D40" s="1" t="s">
        <v>23</v>
      </c>
      <c r="E40" s="1" t="s">
        <v>24</v>
      </c>
      <c r="F40" s="1" t="s">
        <v>18</v>
      </c>
      <c r="G40" s="1" t="s">
        <v>26</v>
      </c>
      <c r="H40" s="1">
        <v>2018.0</v>
      </c>
      <c r="I40" s="1" t="s">
        <v>12</v>
      </c>
    </row>
    <row r="41">
      <c r="A41" s="1">
        <v>39.0</v>
      </c>
      <c r="B41" s="1">
        <v>5.0</v>
      </c>
      <c r="C41" s="1">
        <v>0.935707501598388</v>
      </c>
      <c r="D41" s="1" t="s">
        <v>27</v>
      </c>
      <c r="E41" s="1" t="s">
        <v>24</v>
      </c>
      <c r="F41" s="1" t="s">
        <v>18</v>
      </c>
      <c r="G41" s="1" t="s">
        <v>26</v>
      </c>
      <c r="H41" s="1">
        <v>2018.0</v>
      </c>
      <c r="I41" s="1" t="s">
        <v>12</v>
      </c>
    </row>
    <row r="42">
      <c r="A42" s="1">
        <v>40.0</v>
      </c>
      <c r="B42" s="1">
        <v>10.0</v>
      </c>
      <c r="C42" s="1">
        <v>0.477041544496746</v>
      </c>
      <c r="D42" s="1" t="s">
        <v>28</v>
      </c>
      <c r="E42" s="1" t="s">
        <v>24</v>
      </c>
      <c r="F42" s="1" t="s">
        <v>18</v>
      </c>
      <c r="G42" s="1" t="s">
        <v>26</v>
      </c>
      <c r="H42" s="1">
        <v>2018.0</v>
      </c>
      <c r="I42" s="1" t="s">
        <v>12</v>
      </c>
    </row>
    <row r="43">
      <c r="A43" s="1">
        <v>41.0</v>
      </c>
      <c r="B43" s="1">
        <v>7.0</v>
      </c>
      <c r="C43" s="1">
        <v>0.490211681184904</v>
      </c>
      <c r="D43" s="1" t="s">
        <v>64</v>
      </c>
      <c r="E43" s="1" t="s">
        <v>45</v>
      </c>
      <c r="F43" s="1" t="s">
        <v>65</v>
      </c>
      <c r="H43" s="1">
        <v>2019.0</v>
      </c>
      <c r="I43" s="1" t="s">
        <v>12</v>
      </c>
    </row>
    <row r="44">
      <c r="A44" s="1">
        <v>42.0</v>
      </c>
      <c r="B44" s="1">
        <v>7.0</v>
      </c>
      <c r="C44" s="1">
        <v>0.952621119124794</v>
      </c>
      <c r="D44" s="1" t="s">
        <v>66</v>
      </c>
      <c r="E44" s="1" t="s">
        <v>45</v>
      </c>
      <c r="F44" s="1" t="s">
        <v>65</v>
      </c>
      <c r="H44" s="1">
        <v>2019.0</v>
      </c>
      <c r="I44" s="1" t="s">
        <v>12</v>
      </c>
    </row>
    <row r="45">
      <c r="A45" s="1">
        <v>43.0</v>
      </c>
      <c r="B45" s="1">
        <v>2.0</v>
      </c>
      <c r="C45" s="1">
        <v>0.55336260077346</v>
      </c>
      <c r="D45" s="1" t="s">
        <v>67</v>
      </c>
      <c r="E45" s="1" t="s">
        <v>45</v>
      </c>
      <c r="F45" s="1" t="s">
        <v>65</v>
      </c>
      <c r="H45" s="1">
        <v>2019.0</v>
      </c>
      <c r="I45" s="1" t="s">
        <v>12</v>
      </c>
    </row>
    <row r="46">
      <c r="A46" s="1">
        <v>44.0</v>
      </c>
      <c r="B46" s="1">
        <v>2.0</v>
      </c>
      <c r="C46" s="1">
        <v>0.837991736042021</v>
      </c>
      <c r="D46" s="1" t="s">
        <v>68</v>
      </c>
      <c r="E46" s="1" t="s">
        <v>45</v>
      </c>
      <c r="F46" s="1" t="s">
        <v>65</v>
      </c>
      <c r="H46" s="1">
        <v>2019.0</v>
      </c>
      <c r="I46" s="1" t="s">
        <v>12</v>
      </c>
    </row>
    <row r="47">
      <c r="A47" s="1">
        <v>45.0</v>
      </c>
      <c r="B47" s="1">
        <v>2.0</v>
      </c>
      <c r="C47" s="1">
        <v>0.74936241942598</v>
      </c>
      <c r="D47" s="1" t="s">
        <v>69</v>
      </c>
      <c r="E47" s="1" t="s">
        <v>45</v>
      </c>
      <c r="F47" s="1" t="s">
        <v>65</v>
      </c>
      <c r="H47" s="1">
        <v>2019.0</v>
      </c>
      <c r="I47" s="1" t="s">
        <v>12</v>
      </c>
    </row>
    <row r="48">
      <c r="A48" s="1">
        <v>46.0</v>
      </c>
      <c r="B48" s="1">
        <v>10.0</v>
      </c>
      <c r="C48" s="1">
        <v>0.489850314690794</v>
      </c>
      <c r="D48" s="1" t="s">
        <v>70</v>
      </c>
      <c r="E48" s="1" t="s">
        <v>45</v>
      </c>
      <c r="F48" s="1" t="s">
        <v>65</v>
      </c>
      <c r="H48" s="1">
        <v>2019.0</v>
      </c>
      <c r="I48" s="1" t="s">
        <v>12</v>
      </c>
    </row>
    <row r="49">
      <c r="A49" s="1">
        <v>47.0</v>
      </c>
      <c r="B49" s="1">
        <v>9.0</v>
      </c>
      <c r="C49" s="1">
        <v>0.792307724381994</v>
      </c>
      <c r="D49" s="1" t="s">
        <v>71</v>
      </c>
      <c r="E49" s="1" t="s">
        <v>45</v>
      </c>
      <c r="F49" s="1" t="s">
        <v>65</v>
      </c>
      <c r="H49" s="1">
        <v>2019.0</v>
      </c>
      <c r="I49" s="1" t="s">
        <v>12</v>
      </c>
    </row>
    <row r="50">
      <c r="A50" s="1">
        <v>48.0</v>
      </c>
      <c r="B50" s="1">
        <v>3.0</v>
      </c>
      <c r="C50" s="1">
        <v>0.965381258337581</v>
      </c>
      <c r="D50" s="1" t="s">
        <v>72</v>
      </c>
      <c r="E50" s="1" t="s">
        <v>45</v>
      </c>
      <c r="F50" s="1" t="s">
        <v>65</v>
      </c>
      <c r="H50" s="1">
        <v>2019.0</v>
      </c>
      <c r="I50" s="1" t="s">
        <v>12</v>
      </c>
    </row>
    <row r="51">
      <c r="A51" s="1">
        <v>49.0</v>
      </c>
      <c r="B51" s="1">
        <v>2.0</v>
      </c>
      <c r="C51" s="1">
        <v>0.343903038864572</v>
      </c>
      <c r="D51" s="1" t="s">
        <v>73</v>
      </c>
      <c r="E51" s="1" t="s">
        <v>45</v>
      </c>
      <c r="F51" s="1" t="s">
        <v>65</v>
      </c>
      <c r="H51" s="1">
        <v>2019.0</v>
      </c>
      <c r="I51" s="1" t="s">
        <v>12</v>
      </c>
    </row>
    <row r="52">
      <c r="A52" s="1">
        <v>50.0</v>
      </c>
      <c r="B52" s="1">
        <v>10.0</v>
      </c>
      <c r="C52" s="1">
        <v>0.962495079343291</v>
      </c>
      <c r="D52" s="1" t="s">
        <v>74</v>
      </c>
      <c r="E52" s="1" t="s">
        <v>45</v>
      </c>
      <c r="F52" s="1" t="s">
        <v>65</v>
      </c>
      <c r="H52" s="1">
        <v>2019.0</v>
      </c>
      <c r="I52" s="1" t="s">
        <v>12</v>
      </c>
    </row>
    <row r="53">
      <c r="A53" s="1">
        <v>51.0</v>
      </c>
      <c r="B53" s="1">
        <v>4.0</v>
      </c>
      <c r="C53" s="1">
        <v>0.418690526454933</v>
      </c>
      <c r="D53" s="1" t="s">
        <v>75</v>
      </c>
      <c r="E53" s="1" t="s">
        <v>45</v>
      </c>
      <c r="F53" s="1" t="s">
        <v>65</v>
      </c>
      <c r="H53" s="1">
        <v>2019.0</v>
      </c>
      <c r="I53" s="1" t="s">
        <v>12</v>
      </c>
    </row>
    <row r="54">
      <c r="A54" s="1">
        <v>52.0</v>
      </c>
      <c r="B54" s="1">
        <v>2.0</v>
      </c>
      <c r="C54" s="1">
        <v>0.717718971129921</v>
      </c>
      <c r="D54" s="1" t="s">
        <v>76</v>
      </c>
      <c r="E54" s="1" t="s">
        <v>45</v>
      </c>
      <c r="F54" s="1" t="s">
        <v>65</v>
      </c>
      <c r="H54" s="1">
        <v>2019.0</v>
      </c>
      <c r="I54" s="1" t="s">
        <v>12</v>
      </c>
    </row>
    <row r="55">
      <c r="A55" s="1">
        <v>53.0</v>
      </c>
      <c r="B55" s="1">
        <v>2.0</v>
      </c>
      <c r="C55" s="1">
        <v>0.587534626801259</v>
      </c>
      <c r="D55" s="1" t="s">
        <v>77</v>
      </c>
      <c r="E55" s="1" t="s">
        <v>45</v>
      </c>
      <c r="F55" s="1" t="s">
        <v>65</v>
      </c>
      <c r="H55" s="1">
        <v>2019.0</v>
      </c>
      <c r="I55" s="1" t="s">
        <v>12</v>
      </c>
    </row>
    <row r="56">
      <c r="A56" s="1">
        <v>54.0</v>
      </c>
      <c r="B56" s="1">
        <v>10.0</v>
      </c>
      <c r="C56" s="1">
        <v>0.346397308122331</v>
      </c>
      <c r="D56" s="1" t="s">
        <v>78</v>
      </c>
      <c r="E56" s="1" t="s">
        <v>45</v>
      </c>
      <c r="F56" s="1" t="s">
        <v>65</v>
      </c>
      <c r="H56" s="1">
        <v>2019.0</v>
      </c>
      <c r="I56" s="1" t="s">
        <v>12</v>
      </c>
    </row>
    <row r="57">
      <c r="A57" s="1">
        <v>55.0</v>
      </c>
      <c r="B57" s="1">
        <v>5.0</v>
      </c>
      <c r="C57" s="1">
        <v>0.511501662199676</v>
      </c>
      <c r="D57" s="1" t="s">
        <v>79</v>
      </c>
      <c r="E57" s="1" t="s">
        <v>45</v>
      </c>
      <c r="F57" s="1" t="s">
        <v>65</v>
      </c>
      <c r="H57" s="1">
        <v>2019.0</v>
      </c>
      <c r="I57" s="1" t="s">
        <v>12</v>
      </c>
    </row>
    <row r="58">
      <c r="A58" s="1">
        <v>56.0</v>
      </c>
      <c r="B58" s="1">
        <v>3.0</v>
      </c>
      <c r="C58" s="1">
        <v>0.310823287025724</v>
      </c>
      <c r="D58" s="1" t="s">
        <v>46</v>
      </c>
      <c r="E58" s="1" t="s">
        <v>47</v>
      </c>
      <c r="G58" s="1" t="s">
        <v>11</v>
      </c>
      <c r="H58" s="1">
        <v>2016.0</v>
      </c>
      <c r="I58" s="1" t="s">
        <v>12</v>
      </c>
    </row>
    <row r="59">
      <c r="A59" s="1">
        <v>57.0</v>
      </c>
      <c r="B59" s="1">
        <v>2.0</v>
      </c>
      <c r="C59" s="1">
        <v>0.962495508734927</v>
      </c>
      <c r="D59" s="1" t="s">
        <v>80</v>
      </c>
      <c r="E59" s="1" t="s">
        <v>47</v>
      </c>
      <c r="G59" s="1" t="s">
        <v>11</v>
      </c>
      <c r="H59" s="1">
        <v>2016.0</v>
      </c>
      <c r="I59" s="1" t="s">
        <v>12</v>
      </c>
    </row>
    <row r="60">
      <c r="A60" s="1">
        <v>58.0</v>
      </c>
      <c r="B60" s="1">
        <v>10.0</v>
      </c>
      <c r="C60" s="1">
        <v>0.970967022980637</v>
      </c>
      <c r="D60" s="1" t="s">
        <v>81</v>
      </c>
      <c r="E60" s="1" t="s">
        <v>47</v>
      </c>
      <c r="G60" s="1" t="s">
        <v>11</v>
      </c>
      <c r="H60" s="1">
        <v>2016.0</v>
      </c>
      <c r="I60" s="1" t="s">
        <v>12</v>
      </c>
    </row>
    <row r="61">
      <c r="A61" s="1">
        <v>59.0</v>
      </c>
      <c r="B61" s="1">
        <v>10.0</v>
      </c>
      <c r="C61" s="1">
        <v>0.97096703982222</v>
      </c>
      <c r="D61" s="1" t="s">
        <v>82</v>
      </c>
      <c r="E61" s="1" t="s">
        <v>47</v>
      </c>
      <c r="G61" s="1" t="s">
        <v>11</v>
      </c>
      <c r="H61" s="1">
        <v>2016.0</v>
      </c>
      <c r="I61" s="1" t="s">
        <v>12</v>
      </c>
    </row>
    <row r="62">
      <c r="A62" s="1">
        <v>60.0</v>
      </c>
      <c r="B62" s="1">
        <v>10.0</v>
      </c>
      <c r="C62" s="1">
        <v>0.970967089324326</v>
      </c>
      <c r="D62" s="1" t="s">
        <v>83</v>
      </c>
      <c r="E62" s="1" t="s">
        <v>47</v>
      </c>
      <c r="G62" s="1" t="s">
        <v>11</v>
      </c>
      <c r="H62" s="1">
        <v>2016.0</v>
      </c>
      <c r="I62" s="1" t="s">
        <v>12</v>
      </c>
    </row>
    <row r="63">
      <c r="A63" s="1">
        <v>61.0</v>
      </c>
      <c r="B63" s="1">
        <v>10.0</v>
      </c>
      <c r="C63" s="1">
        <v>0.971874237792835</v>
      </c>
      <c r="D63" s="1" t="s">
        <v>84</v>
      </c>
      <c r="E63" s="1" t="s">
        <v>47</v>
      </c>
      <c r="G63" s="1" t="s">
        <v>11</v>
      </c>
      <c r="H63" s="1">
        <v>2016.0</v>
      </c>
      <c r="I63" s="1" t="s">
        <v>12</v>
      </c>
    </row>
    <row r="64">
      <c r="A64" s="1">
        <v>62.0</v>
      </c>
      <c r="B64" s="1">
        <v>10.0</v>
      </c>
      <c r="C64" s="1">
        <v>0.974285126358288</v>
      </c>
      <c r="D64" s="1" t="s">
        <v>85</v>
      </c>
      <c r="E64" s="1" t="s">
        <v>47</v>
      </c>
      <c r="G64" s="1" t="s">
        <v>11</v>
      </c>
      <c r="H64" s="1">
        <v>2016.0</v>
      </c>
      <c r="I64" s="1" t="s">
        <v>12</v>
      </c>
    </row>
    <row r="65">
      <c r="A65" s="1">
        <v>63.0</v>
      </c>
      <c r="B65" s="1">
        <v>10.0</v>
      </c>
      <c r="C65" s="1">
        <v>0.97428512266631</v>
      </c>
      <c r="D65" s="1" t="s">
        <v>86</v>
      </c>
      <c r="E65" s="1" t="s">
        <v>47</v>
      </c>
      <c r="G65" s="1" t="s">
        <v>11</v>
      </c>
      <c r="H65" s="1">
        <v>2016.0</v>
      </c>
      <c r="I65" s="1" t="s">
        <v>12</v>
      </c>
    </row>
    <row r="66">
      <c r="A66" s="1">
        <v>64.0</v>
      </c>
      <c r="B66" s="1">
        <v>2.0</v>
      </c>
      <c r="C66" s="1">
        <v>0.756420637539719</v>
      </c>
      <c r="D66" s="1" t="s">
        <v>87</v>
      </c>
      <c r="E66" s="1" t="s">
        <v>45</v>
      </c>
      <c r="F66" s="1" t="s">
        <v>18</v>
      </c>
      <c r="H66" s="1">
        <v>2019.0</v>
      </c>
      <c r="I66" s="1" t="s">
        <v>12</v>
      </c>
    </row>
    <row r="67">
      <c r="A67" s="1">
        <v>65.0</v>
      </c>
      <c r="B67" s="1">
        <v>10.0</v>
      </c>
      <c r="C67" s="1">
        <v>0.833435131552789</v>
      </c>
      <c r="D67" s="1" t="s">
        <v>88</v>
      </c>
      <c r="E67" s="1" t="s">
        <v>45</v>
      </c>
      <c r="F67" s="1" t="s">
        <v>18</v>
      </c>
      <c r="H67" s="1">
        <v>2019.0</v>
      </c>
      <c r="I67" s="1" t="s">
        <v>12</v>
      </c>
    </row>
    <row r="68">
      <c r="A68" s="1">
        <v>66.0</v>
      </c>
      <c r="B68" s="1">
        <v>10.0</v>
      </c>
      <c r="C68" s="1">
        <v>0.836113976262915</v>
      </c>
      <c r="D68" s="1" t="s">
        <v>89</v>
      </c>
      <c r="E68" s="1" t="s">
        <v>45</v>
      </c>
      <c r="F68" s="1" t="s">
        <v>18</v>
      </c>
      <c r="H68" s="1">
        <v>2019.0</v>
      </c>
      <c r="I68" s="1" t="s">
        <v>12</v>
      </c>
    </row>
    <row r="69">
      <c r="A69" s="1">
        <v>67.0</v>
      </c>
      <c r="B69" s="1">
        <v>2.0</v>
      </c>
      <c r="C69" s="1">
        <v>0.954991497797251</v>
      </c>
      <c r="D69" s="1" t="s">
        <v>90</v>
      </c>
      <c r="E69" s="1" t="s">
        <v>45</v>
      </c>
      <c r="F69" s="1" t="s">
        <v>18</v>
      </c>
      <c r="H69" s="1">
        <v>2019.0</v>
      </c>
      <c r="I69" s="1" t="s">
        <v>12</v>
      </c>
    </row>
    <row r="70">
      <c r="A70" s="1">
        <v>68.0</v>
      </c>
      <c r="B70" s="1">
        <v>2.0</v>
      </c>
      <c r="C70" s="1">
        <v>0.762728508810071</v>
      </c>
      <c r="D70" s="1" t="s">
        <v>91</v>
      </c>
      <c r="E70" s="1" t="s">
        <v>45</v>
      </c>
      <c r="F70" s="1" t="s">
        <v>18</v>
      </c>
      <c r="H70" s="1">
        <v>2019.0</v>
      </c>
      <c r="I70" s="1" t="s">
        <v>12</v>
      </c>
    </row>
    <row r="71">
      <c r="A71" s="1">
        <v>69.0</v>
      </c>
      <c r="B71" s="1">
        <v>9.0</v>
      </c>
      <c r="C71" s="1">
        <v>0.566659299557177</v>
      </c>
      <c r="D71" s="1" t="s">
        <v>92</v>
      </c>
      <c r="E71" s="1" t="s">
        <v>17</v>
      </c>
      <c r="F71" s="1" t="s">
        <v>18</v>
      </c>
      <c r="G71" s="1">
        <v>10.0</v>
      </c>
      <c r="I71" s="1" t="s">
        <v>12</v>
      </c>
    </row>
    <row r="72">
      <c r="A72" s="1">
        <v>70.0</v>
      </c>
      <c r="B72" s="1">
        <v>2.0</v>
      </c>
      <c r="C72" s="1">
        <v>0.320093863388115</v>
      </c>
      <c r="D72" s="1" t="s">
        <v>93</v>
      </c>
      <c r="E72" s="1" t="s">
        <v>50</v>
      </c>
      <c r="F72" s="1" t="s">
        <v>18</v>
      </c>
      <c r="G72" s="1" t="s">
        <v>42</v>
      </c>
      <c r="H72" s="1">
        <v>2019.0</v>
      </c>
      <c r="I72" s="1" t="s">
        <v>12</v>
      </c>
    </row>
    <row r="73">
      <c r="A73" s="1">
        <v>71.0</v>
      </c>
      <c r="B73" s="1">
        <v>2.0</v>
      </c>
      <c r="C73" s="1">
        <v>0.791649125217567</v>
      </c>
      <c r="D73" s="1" t="s">
        <v>94</v>
      </c>
      <c r="E73" s="1" t="s">
        <v>17</v>
      </c>
      <c r="F73" s="1" t="s">
        <v>18</v>
      </c>
      <c r="G73" s="1">
        <v>11.0</v>
      </c>
      <c r="I73" s="1" t="s">
        <v>12</v>
      </c>
    </row>
    <row r="74">
      <c r="A74" s="1">
        <v>72.0</v>
      </c>
      <c r="B74" s="1">
        <v>10.0</v>
      </c>
      <c r="C74" s="1">
        <v>0.963996242484174</v>
      </c>
      <c r="D74" s="1" t="s">
        <v>95</v>
      </c>
      <c r="E74" s="1" t="s">
        <v>17</v>
      </c>
      <c r="F74" s="1" t="s">
        <v>18</v>
      </c>
      <c r="G74" s="1">
        <v>13.0</v>
      </c>
      <c r="I74" s="1" t="s">
        <v>12</v>
      </c>
    </row>
    <row r="75">
      <c r="A75" s="1">
        <v>73.0</v>
      </c>
      <c r="B75" s="1">
        <v>6.0</v>
      </c>
      <c r="C75" s="1">
        <v>0.974280793291071</v>
      </c>
      <c r="D75" s="1" t="s">
        <v>96</v>
      </c>
      <c r="E75" s="1" t="s">
        <v>20</v>
      </c>
      <c r="F75" s="1" t="s">
        <v>97</v>
      </c>
      <c r="H75" s="1">
        <v>2017.0</v>
      </c>
      <c r="I75" s="1" t="s">
        <v>12</v>
      </c>
    </row>
    <row r="76">
      <c r="A76" s="1">
        <v>74.0</v>
      </c>
      <c r="B76" s="1">
        <v>10.0</v>
      </c>
      <c r="C76" s="1">
        <v>0.976312420584107</v>
      </c>
      <c r="D76" s="1" t="s">
        <v>98</v>
      </c>
      <c r="E76" s="1" t="s">
        <v>20</v>
      </c>
      <c r="F76" s="1" t="s">
        <v>97</v>
      </c>
      <c r="H76" s="1">
        <v>2017.0</v>
      </c>
      <c r="I76" s="1" t="s">
        <v>12</v>
      </c>
    </row>
    <row r="77">
      <c r="A77" s="1">
        <v>75.0</v>
      </c>
      <c r="B77" s="1">
        <v>9.0</v>
      </c>
      <c r="C77" s="1">
        <v>0.975674068497898</v>
      </c>
      <c r="D77" s="1" t="s">
        <v>99</v>
      </c>
      <c r="E77" s="1" t="s">
        <v>20</v>
      </c>
      <c r="F77" s="1" t="s">
        <v>97</v>
      </c>
      <c r="H77" s="1">
        <v>2017.0</v>
      </c>
      <c r="I77" s="1" t="s">
        <v>12</v>
      </c>
    </row>
    <row r="78">
      <c r="A78" s="1">
        <v>76.0</v>
      </c>
      <c r="B78" s="1">
        <v>10.0</v>
      </c>
      <c r="C78" s="1">
        <v>0.963996242484174</v>
      </c>
      <c r="D78" s="1" t="s">
        <v>95</v>
      </c>
      <c r="E78" s="1" t="s">
        <v>17</v>
      </c>
      <c r="F78" s="1" t="s">
        <v>18</v>
      </c>
      <c r="G78" s="1">
        <v>12.0</v>
      </c>
      <c r="I78" s="1" t="s">
        <v>12</v>
      </c>
    </row>
    <row r="79">
      <c r="A79" s="1">
        <v>77.0</v>
      </c>
      <c r="B79" s="1">
        <v>3.0</v>
      </c>
      <c r="C79" s="1">
        <v>0.966662705210945</v>
      </c>
      <c r="D79" s="1" t="s">
        <v>100</v>
      </c>
      <c r="E79" s="1" t="s">
        <v>24</v>
      </c>
      <c r="F79" s="1" t="s">
        <v>25</v>
      </c>
      <c r="H79" s="1">
        <v>2018.0</v>
      </c>
      <c r="I79" s="1" t="s">
        <v>12</v>
      </c>
    </row>
    <row r="80">
      <c r="A80" s="1">
        <v>78.0</v>
      </c>
      <c r="B80" s="1">
        <v>5.0</v>
      </c>
      <c r="C80" s="1">
        <v>0.970966593073344</v>
      </c>
      <c r="D80" s="1" t="s">
        <v>101</v>
      </c>
      <c r="E80" s="1" t="s">
        <v>102</v>
      </c>
      <c r="F80" s="1" t="s">
        <v>65</v>
      </c>
      <c r="H80" s="1">
        <v>2017.0</v>
      </c>
      <c r="I80" s="1" t="s">
        <v>12</v>
      </c>
    </row>
    <row r="81">
      <c r="A81" s="1">
        <v>79.0</v>
      </c>
      <c r="B81" s="1">
        <v>5.0</v>
      </c>
      <c r="C81" s="1">
        <v>0.967856152757846</v>
      </c>
      <c r="D81" s="1" t="s">
        <v>103</v>
      </c>
      <c r="E81" s="1" t="s">
        <v>102</v>
      </c>
      <c r="F81" s="1" t="s">
        <v>65</v>
      </c>
      <c r="H81" s="1">
        <v>2017.0</v>
      </c>
      <c r="I81" s="1" t="s">
        <v>12</v>
      </c>
    </row>
    <row r="82">
      <c r="A82" s="1">
        <v>80.0</v>
      </c>
      <c r="B82" s="1">
        <v>5.0</v>
      </c>
      <c r="C82" s="1">
        <v>0.966665328370801</v>
      </c>
      <c r="D82" s="1" t="s">
        <v>104</v>
      </c>
      <c r="E82" s="1" t="s">
        <v>102</v>
      </c>
      <c r="F82" s="1" t="s">
        <v>65</v>
      </c>
      <c r="H82" s="1">
        <v>2017.0</v>
      </c>
      <c r="I82" s="1" t="s">
        <v>12</v>
      </c>
    </row>
    <row r="83">
      <c r="A83" s="1">
        <v>81.0</v>
      </c>
      <c r="B83" s="1">
        <v>2.0</v>
      </c>
      <c r="C83" s="1">
        <v>0.470525730838854</v>
      </c>
      <c r="D83" s="1" t="s">
        <v>105</v>
      </c>
      <c r="E83" s="1" t="s">
        <v>17</v>
      </c>
      <c r="F83" s="1" t="s">
        <v>18</v>
      </c>
      <c r="I83" s="1" t="s">
        <v>12</v>
      </c>
    </row>
    <row r="84">
      <c r="A84" s="1">
        <v>82.0</v>
      </c>
      <c r="B84" s="1">
        <v>10.0</v>
      </c>
      <c r="C84" s="1">
        <v>0.779613080911308</v>
      </c>
      <c r="D84" s="1" t="s">
        <v>106</v>
      </c>
      <c r="E84" s="1" t="s">
        <v>107</v>
      </c>
      <c r="F84" s="1" t="s">
        <v>18</v>
      </c>
      <c r="H84" s="1">
        <v>2022.0</v>
      </c>
      <c r="I84" s="1" t="s">
        <v>12</v>
      </c>
    </row>
    <row r="85">
      <c r="A85" s="1">
        <v>83.0</v>
      </c>
      <c r="B85" s="1">
        <v>10.0</v>
      </c>
      <c r="C85" s="1">
        <v>0.772852949260703</v>
      </c>
      <c r="D85" s="1" t="s">
        <v>108</v>
      </c>
      <c r="E85" s="1" t="s">
        <v>107</v>
      </c>
      <c r="F85" s="1" t="s">
        <v>18</v>
      </c>
      <c r="H85" s="1">
        <v>2022.0</v>
      </c>
      <c r="I85" s="1" t="s">
        <v>12</v>
      </c>
    </row>
    <row r="86">
      <c r="A86" s="1">
        <v>84.0</v>
      </c>
      <c r="B86" s="1">
        <v>6.0</v>
      </c>
      <c r="C86" s="1">
        <v>0.841486047461599</v>
      </c>
      <c r="D86" s="1" t="s">
        <v>109</v>
      </c>
      <c r="E86" s="1" t="s">
        <v>107</v>
      </c>
      <c r="F86" s="1" t="s">
        <v>18</v>
      </c>
      <c r="H86" s="1">
        <v>2022.0</v>
      </c>
      <c r="I86" s="1" t="s">
        <v>12</v>
      </c>
    </row>
    <row r="87">
      <c r="A87" s="1">
        <v>85.0</v>
      </c>
      <c r="B87" s="1">
        <v>3.0</v>
      </c>
      <c r="C87" s="1">
        <v>0.966662705210945</v>
      </c>
      <c r="D87" s="1" t="s">
        <v>100</v>
      </c>
      <c r="E87" s="1" t="s">
        <v>24</v>
      </c>
      <c r="F87" s="1" t="s">
        <v>18</v>
      </c>
      <c r="H87" s="1">
        <v>2018.0</v>
      </c>
      <c r="I87" s="1" t="s">
        <v>12</v>
      </c>
    </row>
    <row r="88">
      <c r="A88" s="1">
        <v>86.0</v>
      </c>
      <c r="B88" s="1">
        <v>10.0</v>
      </c>
      <c r="C88" s="1">
        <v>0.963996242484174</v>
      </c>
      <c r="D88" s="1" t="s">
        <v>95</v>
      </c>
      <c r="E88" s="1" t="s">
        <v>17</v>
      </c>
      <c r="F88" s="1" t="s">
        <v>18</v>
      </c>
      <c r="I88" s="1" t="s">
        <v>12</v>
      </c>
    </row>
    <row r="89">
      <c r="A89" s="1">
        <v>87.0</v>
      </c>
      <c r="B89" s="1">
        <v>6.0</v>
      </c>
      <c r="C89" s="1">
        <v>0.974280793291071</v>
      </c>
      <c r="D89" s="1" t="s">
        <v>96</v>
      </c>
      <c r="E89" s="1" t="s">
        <v>20</v>
      </c>
      <c r="F89" s="1" t="s">
        <v>18</v>
      </c>
      <c r="G89" s="1" t="s">
        <v>11</v>
      </c>
      <c r="H89" s="1">
        <v>2017.0</v>
      </c>
      <c r="I89" s="1" t="s">
        <v>12</v>
      </c>
    </row>
    <row r="90">
      <c r="A90" s="1">
        <v>88.0</v>
      </c>
      <c r="B90" s="1">
        <v>10.0</v>
      </c>
      <c r="C90" s="1">
        <v>0.976312420584107</v>
      </c>
      <c r="D90" s="1" t="s">
        <v>98</v>
      </c>
      <c r="E90" s="1" t="s">
        <v>20</v>
      </c>
      <c r="F90" s="1" t="s">
        <v>18</v>
      </c>
      <c r="G90" s="1" t="s">
        <v>11</v>
      </c>
      <c r="H90" s="1">
        <v>2017.0</v>
      </c>
      <c r="I90" s="1" t="s">
        <v>12</v>
      </c>
    </row>
    <row r="91">
      <c r="A91" s="1">
        <v>89.0</v>
      </c>
      <c r="B91" s="1">
        <v>9.0</v>
      </c>
      <c r="C91" s="1">
        <v>0.975674068497898</v>
      </c>
      <c r="D91" s="1" t="s">
        <v>99</v>
      </c>
      <c r="E91" s="1" t="s">
        <v>20</v>
      </c>
      <c r="F91" s="1" t="s">
        <v>18</v>
      </c>
      <c r="G91" s="1" t="s">
        <v>11</v>
      </c>
      <c r="H91" s="1">
        <v>2017.0</v>
      </c>
      <c r="I91" s="1" t="s">
        <v>12</v>
      </c>
    </row>
    <row r="92">
      <c r="A92" s="1">
        <v>90.0</v>
      </c>
      <c r="B92" s="1">
        <v>2.0</v>
      </c>
      <c r="C92" s="1">
        <v>0.294654329078386</v>
      </c>
      <c r="D92" s="1" t="s">
        <v>110</v>
      </c>
      <c r="E92" s="1" t="s">
        <v>111</v>
      </c>
      <c r="G92" s="1" t="s">
        <v>11</v>
      </c>
      <c r="H92" s="1">
        <v>2021.0</v>
      </c>
      <c r="I92" s="1" t="s">
        <v>12</v>
      </c>
    </row>
    <row r="93">
      <c r="A93" s="1">
        <v>91.0</v>
      </c>
      <c r="B93" s="1">
        <v>2.0</v>
      </c>
      <c r="C93" s="1">
        <v>0.409241045746512</v>
      </c>
      <c r="D93" s="1" t="s">
        <v>112</v>
      </c>
      <c r="E93" s="1" t="s">
        <v>111</v>
      </c>
      <c r="G93" s="1" t="s">
        <v>11</v>
      </c>
      <c r="H93" s="1">
        <v>2021.0</v>
      </c>
      <c r="I93" s="1" t="s">
        <v>12</v>
      </c>
    </row>
    <row r="94">
      <c r="A94" s="1">
        <v>92.0</v>
      </c>
      <c r="B94" s="1">
        <v>9.0</v>
      </c>
      <c r="C94" s="1">
        <v>0.624968411048737</v>
      </c>
      <c r="D94" s="1" t="s">
        <v>113</v>
      </c>
      <c r="E94" s="1" t="s">
        <v>111</v>
      </c>
      <c r="G94" s="1" t="s">
        <v>11</v>
      </c>
      <c r="H94" s="1">
        <v>2021.0</v>
      </c>
      <c r="I94" s="1" t="s">
        <v>12</v>
      </c>
    </row>
    <row r="95">
      <c r="A95" s="1">
        <v>93.0</v>
      </c>
      <c r="B95" s="1">
        <v>2.0</v>
      </c>
      <c r="C95" s="1">
        <v>0.525157521680387</v>
      </c>
      <c r="D95" s="1" t="s">
        <v>114</v>
      </c>
      <c r="E95" s="1" t="s">
        <v>111</v>
      </c>
      <c r="G95" s="1" t="s">
        <v>11</v>
      </c>
      <c r="H95" s="1">
        <v>2021.0</v>
      </c>
      <c r="I95" s="1" t="s">
        <v>12</v>
      </c>
    </row>
    <row r="96">
      <c r="A96" s="1">
        <v>94.0</v>
      </c>
      <c r="B96" s="1">
        <v>2.0</v>
      </c>
      <c r="C96" s="1">
        <v>0.763963629066764</v>
      </c>
      <c r="D96" s="1" t="s">
        <v>115</v>
      </c>
      <c r="E96" s="1" t="s">
        <v>111</v>
      </c>
      <c r="G96" s="1" t="s">
        <v>11</v>
      </c>
      <c r="H96" s="1">
        <v>2021.0</v>
      </c>
      <c r="I96" s="1" t="s">
        <v>12</v>
      </c>
    </row>
    <row r="97">
      <c r="A97" s="1">
        <v>95.0</v>
      </c>
      <c r="B97" s="1">
        <v>2.0</v>
      </c>
      <c r="C97" s="1">
        <v>0.758558602564137</v>
      </c>
      <c r="D97" s="1" t="s">
        <v>116</v>
      </c>
      <c r="E97" s="1" t="s">
        <v>41</v>
      </c>
      <c r="G97" s="1" t="s">
        <v>11</v>
      </c>
      <c r="I97" s="1" t="s">
        <v>12</v>
      </c>
    </row>
    <row r="98">
      <c r="A98" s="1">
        <v>96.0</v>
      </c>
      <c r="B98" s="1">
        <v>2.0</v>
      </c>
      <c r="C98" s="1">
        <v>0.644938999803438</v>
      </c>
      <c r="D98" s="1" t="s">
        <v>117</v>
      </c>
      <c r="E98" s="1" t="s">
        <v>41</v>
      </c>
      <c r="G98" s="1" t="s">
        <v>11</v>
      </c>
      <c r="I98" s="1" t="s">
        <v>12</v>
      </c>
    </row>
    <row r="99">
      <c r="A99" s="1">
        <v>97.0</v>
      </c>
      <c r="B99" s="1">
        <v>10.0</v>
      </c>
      <c r="C99" s="1">
        <v>0.975672369817048</v>
      </c>
      <c r="D99" s="1" t="s">
        <v>19</v>
      </c>
      <c r="E99" s="1" t="s">
        <v>20</v>
      </c>
      <c r="F99" s="1" t="s">
        <v>118</v>
      </c>
      <c r="H99" s="1">
        <v>2018.0</v>
      </c>
      <c r="I99" s="1" t="s">
        <v>12</v>
      </c>
    </row>
    <row r="100">
      <c r="A100" s="1">
        <v>98.0</v>
      </c>
      <c r="B100" s="1">
        <v>9.0</v>
      </c>
      <c r="C100" s="1">
        <v>0.976314244709096</v>
      </c>
      <c r="D100" s="1" t="s">
        <v>22</v>
      </c>
      <c r="E100" s="1" t="s">
        <v>20</v>
      </c>
      <c r="F100" s="1" t="s">
        <v>118</v>
      </c>
      <c r="H100" s="1">
        <v>2018.0</v>
      </c>
      <c r="I100" s="1" t="s">
        <v>12</v>
      </c>
    </row>
    <row r="101">
      <c r="A101" s="1">
        <v>99.0</v>
      </c>
      <c r="B101" s="1">
        <v>10.0</v>
      </c>
      <c r="C101" s="1">
        <v>0.69128441056873</v>
      </c>
      <c r="D101" s="1" t="s">
        <v>119</v>
      </c>
      <c r="E101" s="1" t="s">
        <v>17</v>
      </c>
      <c r="F101" s="1" t="s">
        <v>118</v>
      </c>
      <c r="H101" s="1">
        <v>2023.0</v>
      </c>
      <c r="I101" s="1" t="s">
        <v>12</v>
      </c>
    </row>
    <row r="102">
      <c r="A102" s="1">
        <v>100.0</v>
      </c>
      <c r="B102" s="1">
        <v>10.0</v>
      </c>
      <c r="C102" s="1">
        <v>0.893312673600542</v>
      </c>
      <c r="D102" s="1" t="s">
        <v>120</v>
      </c>
      <c r="E102" s="1" t="s">
        <v>17</v>
      </c>
      <c r="F102" s="1" t="s">
        <v>118</v>
      </c>
      <c r="H102" s="1">
        <v>2023.0</v>
      </c>
      <c r="I102" s="1" t="s">
        <v>12</v>
      </c>
    </row>
    <row r="103">
      <c r="A103" s="1">
        <v>101.0</v>
      </c>
      <c r="B103" s="1">
        <v>2.0</v>
      </c>
      <c r="C103" s="1">
        <v>0.553091249874401</v>
      </c>
      <c r="D103" s="1" t="s">
        <v>121</v>
      </c>
      <c r="E103" s="1" t="s">
        <v>17</v>
      </c>
      <c r="F103" s="1" t="s">
        <v>118</v>
      </c>
      <c r="H103" s="1">
        <v>2023.0</v>
      </c>
      <c r="I103" s="1" t="s">
        <v>12</v>
      </c>
    </row>
    <row r="104">
      <c r="A104" s="1">
        <v>102.0</v>
      </c>
      <c r="B104" s="1">
        <v>9.0</v>
      </c>
      <c r="C104" s="1">
        <v>0.821081865532134</v>
      </c>
      <c r="D104" s="1" t="s">
        <v>122</v>
      </c>
      <c r="E104" s="1" t="s">
        <v>17</v>
      </c>
      <c r="F104" s="1" t="s">
        <v>118</v>
      </c>
      <c r="H104" s="1">
        <v>2023.0</v>
      </c>
      <c r="I104" s="1" t="s">
        <v>12</v>
      </c>
    </row>
    <row r="105">
      <c r="A105" s="1">
        <v>103.0</v>
      </c>
      <c r="B105" s="1">
        <v>5.0</v>
      </c>
      <c r="C105" s="1">
        <v>0.790074625113936</v>
      </c>
      <c r="D105" s="1" t="s">
        <v>123</v>
      </c>
      <c r="E105" s="1" t="s">
        <v>124</v>
      </c>
      <c r="F105" s="1" t="s">
        <v>18</v>
      </c>
      <c r="H105" s="1">
        <v>2012.0</v>
      </c>
      <c r="I105" s="1" t="s">
        <v>12</v>
      </c>
    </row>
    <row r="106">
      <c r="A106" s="1">
        <v>104.0</v>
      </c>
      <c r="B106" s="1">
        <v>5.0</v>
      </c>
      <c r="C106" s="1">
        <v>0.968963376777945</v>
      </c>
      <c r="D106" s="1" t="s">
        <v>125</v>
      </c>
      <c r="E106" s="1" t="s">
        <v>24</v>
      </c>
      <c r="F106" s="1" t="s">
        <v>25</v>
      </c>
      <c r="G106" s="1" t="s">
        <v>126</v>
      </c>
      <c r="H106" s="1">
        <v>2018.0</v>
      </c>
      <c r="I106" s="1" t="s">
        <v>12</v>
      </c>
    </row>
    <row r="107">
      <c r="A107" s="1">
        <v>105.0</v>
      </c>
      <c r="B107" s="1">
        <v>5.0</v>
      </c>
      <c r="C107" s="1">
        <v>0.963998379829837</v>
      </c>
      <c r="D107" s="1" t="s">
        <v>127</v>
      </c>
      <c r="E107" s="1" t="s">
        <v>24</v>
      </c>
      <c r="F107" s="1" t="s">
        <v>25</v>
      </c>
      <c r="G107" s="1" t="s">
        <v>126</v>
      </c>
      <c r="H107" s="1">
        <v>2018.0</v>
      </c>
      <c r="I107" s="1" t="s">
        <v>12</v>
      </c>
    </row>
    <row r="108">
      <c r="A108" s="1">
        <v>106.0</v>
      </c>
      <c r="B108" s="1">
        <v>8.0</v>
      </c>
      <c r="C108" s="1">
        <v>0.656064731171514</v>
      </c>
      <c r="D108" s="1" t="s">
        <v>128</v>
      </c>
      <c r="E108" s="1" t="s">
        <v>24</v>
      </c>
      <c r="F108" s="1" t="s">
        <v>25</v>
      </c>
      <c r="G108" s="1" t="s">
        <v>126</v>
      </c>
      <c r="H108" s="1">
        <v>2018.0</v>
      </c>
      <c r="I108" s="1" t="s">
        <v>12</v>
      </c>
    </row>
    <row r="109">
      <c r="A109" s="1">
        <v>107.0</v>
      </c>
      <c r="B109" s="1">
        <v>2.0</v>
      </c>
      <c r="C109" s="1">
        <v>0.542783937638792</v>
      </c>
      <c r="D109" s="1" t="s">
        <v>129</v>
      </c>
      <c r="E109" s="1" t="s">
        <v>50</v>
      </c>
      <c r="G109" s="2">
        <v>46213.0</v>
      </c>
      <c r="H109" s="1">
        <v>2002.0</v>
      </c>
      <c r="I109" s="1" t="s">
        <v>12</v>
      </c>
    </row>
    <row r="110">
      <c r="A110" s="1">
        <v>108.0</v>
      </c>
      <c r="B110" s="1">
        <v>9.0</v>
      </c>
      <c r="C110" s="1">
        <v>0.727521405057833</v>
      </c>
      <c r="D110" s="1" t="s">
        <v>130</v>
      </c>
      <c r="E110" s="1" t="s">
        <v>50</v>
      </c>
      <c r="G110" s="2">
        <v>46213.0</v>
      </c>
      <c r="H110" s="1">
        <v>2002.0</v>
      </c>
      <c r="I110" s="1" t="s">
        <v>12</v>
      </c>
    </row>
    <row r="111">
      <c r="A111" s="1">
        <v>109.0</v>
      </c>
      <c r="B111" s="1">
        <v>3.0</v>
      </c>
      <c r="C111" s="1">
        <v>0.777420202779175</v>
      </c>
      <c r="D111" s="1" t="s">
        <v>131</v>
      </c>
      <c r="E111" s="1" t="s">
        <v>50</v>
      </c>
      <c r="G111" s="2">
        <v>46213.0</v>
      </c>
      <c r="H111" s="1">
        <v>2002.0</v>
      </c>
      <c r="I111" s="1" t="s">
        <v>12</v>
      </c>
    </row>
    <row r="112">
      <c r="A112" s="1">
        <v>110.0</v>
      </c>
      <c r="B112" s="1">
        <v>2.0</v>
      </c>
      <c r="C112" s="1">
        <v>0.633776844096067</v>
      </c>
      <c r="D112" s="1" t="s">
        <v>132</v>
      </c>
      <c r="E112" s="1" t="s">
        <v>50</v>
      </c>
      <c r="G112" s="2">
        <v>46213.0</v>
      </c>
      <c r="H112" s="1">
        <v>2002.0</v>
      </c>
      <c r="I112" s="1" t="s">
        <v>12</v>
      </c>
    </row>
    <row r="113">
      <c r="A113" s="1">
        <v>111.0</v>
      </c>
      <c r="B113" s="1">
        <v>2.0</v>
      </c>
      <c r="C113" s="1">
        <v>0.535400113865661</v>
      </c>
      <c r="D113" s="1" t="s">
        <v>133</v>
      </c>
      <c r="E113" s="1" t="s">
        <v>50</v>
      </c>
      <c r="G113" s="2">
        <v>46213.0</v>
      </c>
      <c r="H113" s="1">
        <v>2002.0</v>
      </c>
      <c r="I113" s="1" t="s">
        <v>12</v>
      </c>
    </row>
    <row r="114">
      <c r="A114" s="1">
        <v>112.0</v>
      </c>
      <c r="B114" s="1">
        <v>7.0</v>
      </c>
      <c r="C114" s="1">
        <v>0.969993030487687</v>
      </c>
      <c r="D114" s="1" t="s">
        <v>134</v>
      </c>
      <c r="E114" s="1" t="s">
        <v>50</v>
      </c>
      <c r="G114" s="2">
        <v>46213.0</v>
      </c>
      <c r="H114" s="1">
        <v>2002.0</v>
      </c>
      <c r="I114" s="1" t="s">
        <v>12</v>
      </c>
    </row>
    <row r="115">
      <c r="A115" s="1">
        <v>113.0</v>
      </c>
      <c r="B115" s="1">
        <v>7.0</v>
      </c>
      <c r="C115" s="1">
        <v>0.590527857888934</v>
      </c>
      <c r="D115" s="1" t="s">
        <v>135</v>
      </c>
      <c r="E115" s="1" t="s">
        <v>50</v>
      </c>
      <c r="G115" s="2">
        <v>46213.0</v>
      </c>
      <c r="H115" s="1">
        <v>2002.0</v>
      </c>
      <c r="I115" s="1" t="s">
        <v>12</v>
      </c>
    </row>
    <row r="116">
      <c r="A116" s="1">
        <v>114.0</v>
      </c>
      <c r="B116" s="1">
        <v>2.0</v>
      </c>
      <c r="C116" s="1">
        <v>0.772082439729404</v>
      </c>
      <c r="D116" s="1" t="s">
        <v>136</v>
      </c>
      <c r="E116" s="1" t="s">
        <v>50</v>
      </c>
      <c r="G116" s="2">
        <v>46213.0</v>
      </c>
      <c r="H116" s="1">
        <v>2002.0</v>
      </c>
      <c r="I116" s="1" t="s">
        <v>12</v>
      </c>
    </row>
    <row r="117">
      <c r="A117" s="1">
        <v>115.0</v>
      </c>
      <c r="B117" s="1">
        <v>2.0</v>
      </c>
      <c r="C117" s="1">
        <v>0.574420295897772</v>
      </c>
      <c r="D117" s="1" t="s">
        <v>137</v>
      </c>
      <c r="E117" s="1" t="s">
        <v>50</v>
      </c>
      <c r="G117" s="2">
        <v>46213.0</v>
      </c>
      <c r="H117" s="1">
        <v>2002.0</v>
      </c>
      <c r="I117" s="1" t="s">
        <v>12</v>
      </c>
    </row>
    <row r="118">
      <c r="A118" s="1">
        <v>116.0</v>
      </c>
      <c r="B118" s="1">
        <v>2.0</v>
      </c>
      <c r="C118" s="1">
        <v>0.456577370734914</v>
      </c>
      <c r="D118" s="1" t="s">
        <v>138</v>
      </c>
      <c r="E118" s="1" t="s">
        <v>50</v>
      </c>
      <c r="G118" s="2">
        <v>46213.0</v>
      </c>
      <c r="H118" s="1">
        <v>2002.0</v>
      </c>
      <c r="I118" s="1" t="s">
        <v>12</v>
      </c>
    </row>
    <row r="119">
      <c r="A119" s="1">
        <v>117.0</v>
      </c>
      <c r="B119" s="1">
        <v>2.0</v>
      </c>
      <c r="C119" s="1">
        <v>0.605575285861206</v>
      </c>
      <c r="D119" s="1" t="s">
        <v>139</v>
      </c>
      <c r="E119" s="1" t="s">
        <v>50</v>
      </c>
      <c r="G119" s="2">
        <v>46213.0</v>
      </c>
      <c r="H119" s="1">
        <v>2002.0</v>
      </c>
      <c r="I119" s="1" t="s">
        <v>12</v>
      </c>
    </row>
    <row r="120">
      <c r="A120" s="1">
        <v>118.0</v>
      </c>
      <c r="B120" s="1">
        <v>7.0</v>
      </c>
      <c r="C120" s="1">
        <v>0.559805542146877</v>
      </c>
      <c r="D120" s="1" t="s">
        <v>140</v>
      </c>
      <c r="E120" s="1" t="s">
        <v>50</v>
      </c>
      <c r="G120" s="2">
        <v>46213.0</v>
      </c>
      <c r="H120" s="1">
        <v>2002.0</v>
      </c>
      <c r="I120" s="1" t="s">
        <v>12</v>
      </c>
    </row>
    <row r="121">
      <c r="A121" s="1">
        <v>119.0</v>
      </c>
      <c r="B121" s="1">
        <v>9.0</v>
      </c>
      <c r="C121" s="1">
        <v>0.801533957740018</v>
      </c>
      <c r="D121" s="1" t="s">
        <v>141</v>
      </c>
      <c r="E121" s="1" t="s">
        <v>20</v>
      </c>
      <c r="F121" s="1" t="s">
        <v>142</v>
      </c>
      <c r="H121" s="1">
        <v>2018.0</v>
      </c>
      <c r="I121" s="1" t="s">
        <v>12</v>
      </c>
    </row>
    <row r="122">
      <c r="A122" s="1">
        <v>120.0</v>
      </c>
      <c r="B122" s="1">
        <v>5.0</v>
      </c>
      <c r="C122" s="1">
        <v>0.970966593073344</v>
      </c>
      <c r="D122" s="1" t="s">
        <v>101</v>
      </c>
      <c r="E122" s="1" t="s">
        <v>102</v>
      </c>
      <c r="F122" s="1" t="s">
        <v>18</v>
      </c>
      <c r="G122" s="2">
        <v>46151.0</v>
      </c>
      <c r="H122" s="1">
        <v>2017.0</v>
      </c>
      <c r="I122" s="1" t="s">
        <v>12</v>
      </c>
    </row>
    <row r="123">
      <c r="A123" s="1">
        <v>121.0</v>
      </c>
      <c r="B123" s="1">
        <v>5.0</v>
      </c>
      <c r="C123" s="1">
        <v>0.967856152757846</v>
      </c>
      <c r="D123" s="1" t="s">
        <v>103</v>
      </c>
      <c r="E123" s="1" t="s">
        <v>102</v>
      </c>
      <c r="F123" s="1" t="s">
        <v>18</v>
      </c>
      <c r="G123" s="2">
        <v>46151.0</v>
      </c>
      <c r="H123" s="1">
        <v>2017.0</v>
      </c>
      <c r="I123" s="1" t="s">
        <v>12</v>
      </c>
    </row>
    <row r="124">
      <c r="A124" s="1">
        <v>122.0</v>
      </c>
      <c r="B124" s="1">
        <v>5.0</v>
      </c>
      <c r="C124" s="1">
        <v>0.966665328370801</v>
      </c>
      <c r="D124" s="1" t="s">
        <v>104</v>
      </c>
      <c r="E124" s="1" t="s">
        <v>102</v>
      </c>
      <c r="F124" s="1" t="s">
        <v>18</v>
      </c>
      <c r="G124" s="2">
        <v>46151.0</v>
      </c>
      <c r="H124" s="1">
        <v>2017.0</v>
      </c>
      <c r="I124" s="1" t="s">
        <v>12</v>
      </c>
    </row>
    <row r="125">
      <c r="A125" s="1">
        <v>123.0</v>
      </c>
      <c r="B125" s="1">
        <v>7.0</v>
      </c>
      <c r="C125" s="1">
        <v>0.60846902341261</v>
      </c>
      <c r="D125" s="1" t="s">
        <v>143</v>
      </c>
      <c r="E125" s="1" t="s">
        <v>111</v>
      </c>
      <c r="F125" s="1" t="s">
        <v>18</v>
      </c>
      <c r="G125" s="1" t="s">
        <v>42</v>
      </c>
      <c r="H125" s="1">
        <v>2011.0</v>
      </c>
      <c r="I125" s="1" t="s">
        <v>12</v>
      </c>
    </row>
    <row r="126">
      <c r="A126" s="1">
        <v>124.0</v>
      </c>
      <c r="B126" s="1">
        <v>2.0</v>
      </c>
      <c r="C126" s="1">
        <v>0.781358414193044</v>
      </c>
      <c r="D126" s="1" t="s">
        <v>144</v>
      </c>
      <c r="E126" s="1" t="s">
        <v>111</v>
      </c>
      <c r="F126" s="1" t="s">
        <v>18</v>
      </c>
      <c r="G126" s="1" t="s">
        <v>42</v>
      </c>
      <c r="I126" s="1" t="s">
        <v>12</v>
      </c>
    </row>
    <row r="127">
      <c r="A127" s="1">
        <v>125.0</v>
      </c>
      <c r="B127" s="1">
        <v>2.0</v>
      </c>
      <c r="C127" s="1">
        <v>0.752134508527972</v>
      </c>
      <c r="D127" s="1" t="s">
        <v>145</v>
      </c>
      <c r="E127" s="1" t="s">
        <v>111</v>
      </c>
      <c r="F127" s="1" t="s">
        <v>18</v>
      </c>
      <c r="G127" s="1" t="s">
        <v>42</v>
      </c>
      <c r="I127" s="1" t="s">
        <v>12</v>
      </c>
    </row>
    <row r="128">
      <c r="A128" s="1">
        <v>126.0</v>
      </c>
      <c r="B128" s="1">
        <v>7.0</v>
      </c>
      <c r="C128" s="1">
        <v>0.96399802177323</v>
      </c>
      <c r="D128" s="1" t="s">
        <v>146</v>
      </c>
      <c r="E128" s="1" t="s">
        <v>111</v>
      </c>
      <c r="F128" s="1" t="s">
        <v>18</v>
      </c>
      <c r="G128" s="1" t="s">
        <v>42</v>
      </c>
      <c r="I128" s="1" t="s">
        <v>12</v>
      </c>
    </row>
    <row r="129">
      <c r="A129" s="1">
        <v>127.0</v>
      </c>
      <c r="B129" s="1">
        <v>7.0</v>
      </c>
      <c r="C129" s="1">
        <v>0.458296769127949</v>
      </c>
      <c r="D129" s="1" t="s">
        <v>147</v>
      </c>
      <c r="E129" s="1" t="s">
        <v>111</v>
      </c>
      <c r="F129" s="1" t="s">
        <v>18</v>
      </c>
      <c r="G129" s="1" t="s">
        <v>42</v>
      </c>
      <c r="I129" s="1" t="s">
        <v>12</v>
      </c>
    </row>
    <row r="130">
      <c r="A130" s="1">
        <v>128.0</v>
      </c>
      <c r="B130" s="1">
        <v>2.0</v>
      </c>
      <c r="C130" s="1">
        <v>0.688674171870719</v>
      </c>
      <c r="D130" s="1" t="s">
        <v>148</v>
      </c>
      <c r="E130" s="1" t="s">
        <v>111</v>
      </c>
      <c r="F130" s="1" t="s">
        <v>18</v>
      </c>
      <c r="G130" s="1" t="s">
        <v>42</v>
      </c>
      <c r="I130" s="1" t="s">
        <v>12</v>
      </c>
    </row>
    <row r="131">
      <c r="A131" s="1">
        <v>129.0</v>
      </c>
      <c r="B131" s="1">
        <v>2.0</v>
      </c>
      <c r="C131" s="1">
        <v>0.488836741122409</v>
      </c>
      <c r="D131" s="1" t="s">
        <v>149</v>
      </c>
      <c r="E131" s="1" t="s">
        <v>111</v>
      </c>
      <c r="F131" s="1" t="s">
        <v>18</v>
      </c>
      <c r="G131" s="1" t="s">
        <v>42</v>
      </c>
      <c r="I131" s="1" t="s">
        <v>12</v>
      </c>
    </row>
    <row r="132">
      <c r="A132" s="1">
        <v>130.0</v>
      </c>
      <c r="B132" s="1">
        <v>10.0</v>
      </c>
      <c r="C132" s="1">
        <v>0.305936895472864</v>
      </c>
      <c r="D132" s="1" t="s">
        <v>150</v>
      </c>
      <c r="E132" s="1" t="s">
        <v>111</v>
      </c>
      <c r="F132" s="1" t="s">
        <v>18</v>
      </c>
      <c r="G132" s="1" t="s">
        <v>42</v>
      </c>
      <c r="I132" s="1" t="s">
        <v>12</v>
      </c>
    </row>
    <row r="133">
      <c r="A133" s="1">
        <v>131.0</v>
      </c>
      <c r="B133" s="1">
        <v>5.0</v>
      </c>
      <c r="C133" s="1">
        <v>0.344893367790974</v>
      </c>
      <c r="D133" s="1" t="s">
        <v>151</v>
      </c>
      <c r="E133" s="1" t="s">
        <v>111</v>
      </c>
      <c r="F133" s="1" t="s">
        <v>18</v>
      </c>
      <c r="G133" s="1" t="s">
        <v>42</v>
      </c>
      <c r="I133" s="1" t="s">
        <v>12</v>
      </c>
    </row>
    <row r="134">
      <c r="A134" s="1">
        <v>132.0</v>
      </c>
      <c r="B134" s="1">
        <v>5.0</v>
      </c>
      <c r="C134" s="1">
        <v>0.968963376777945</v>
      </c>
      <c r="D134" s="1" t="s">
        <v>125</v>
      </c>
      <c r="E134" s="1" t="s">
        <v>24</v>
      </c>
      <c r="F134" s="1" t="s">
        <v>18</v>
      </c>
      <c r="G134" s="1" t="s">
        <v>126</v>
      </c>
      <c r="H134" s="1">
        <v>2018.0</v>
      </c>
      <c r="I134" s="1" t="s">
        <v>12</v>
      </c>
    </row>
    <row r="135">
      <c r="A135" s="1">
        <v>133.0</v>
      </c>
      <c r="B135" s="1">
        <v>5.0</v>
      </c>
      <c r="C135" s="1">
        <v>0.963998379829837</v>
      </c>
      <c r="D135" s="1" t="s">
        <v>127</v>
      </c>
      <c r="E135" s="1" t="s">
        <v>24</v>
      </c>
      <c r="F135" s="1" t="s">
        <v>18</v>
      </c>
      <c r="G135" s="1" t="s">
        <v>126</v>
      </c>
      <c r="H135" s="1">
        <v>2018.0</v>
      </c>
      <c r="I135" s="1" t="s">
        <v>12</v>
      </c>
    </row>
    <row r="136">
      <c r="A136" s="1">
        <v>134.0</v>
      </c>
      <c r="B136" s="1">
        <v>8.0</v>
      </c>
      <c r="C136" s="1">
        <v>0.656064731171514</v>
      </c>
      <c r="D136" s="1" t="s">
        <v>128</v>
      </c>
      <c r="E136" s="1" t="s">
        <v>24</v>
      </c>
      <c r="F136" s="1" t="s">
        <v>18</v>
      </c>
      <c r="G136" s="1" t="s">
        <v>126</v>
      </c>
      <c r="H136" s="1">
        <v>2018.0</v>
      </c>
      <c r="I136" s="1" t="s">
        <v>12</v>
      </c>
    </row>
    <row r="137">
      <c r="A137" s="1">
        <v>135.0</v>
      </c>
      <c r="B137" s="1">
        <v>2.0</v>
      </c>
      <c r="C137" s="1">
        <v>0.962495327666122</v>
      </c>
      <c r="D137" s="1" t="s">
        <v>152</v>
      </c>
      <c r="E137" s="1" t="s">
        <v>111</v>
      </c>
      <c r="G137" s="1" t="s">
        <v>42</v>
      </c>
      <c r="H137" s="1">
        <v>1983.0</v>
      </c>
      <c r="I137" s="1" t="s">
        <v>12</v>
      </c>
    </row>
    <row r="138">
      <c r="A138" s="1">
        <v>136.0</v>
      </c>
      <c r="B138" s="1">
        <v>2.0</v>
      </c>
      <c r="C138" s="1">
        <v>0.966659623131175</v>
      </c>
      <c r="D138" s="1" t="s">
        <v>153</v>
      </c>
      <c r="E138" s="1" t="s">
        <v>111</v>
      </c>
      <c r="G138" s="1" t="s">
        <v>42</v>
      </c>
      <c r="H138" s="1">
        <v>1983.0</v>
      </c>
      <c r="I138" s="1" t="s">
        <v>12</v>
      </c>
    </row>
    <row r="139">
      <c r="A139" s="1">
        <v>137.0</v>
      </c>
      <c r="B139" s="1">
        <v>9.0</v>
      </c>
      <c r="C139" s="1">
        <v>0.456888018259565</v>
      </c>
      <c r="D139" s="1" t="s">
        <v>154</v>
      </c>
      <c r="E139" s="1" t="s">
        <v>111</v>
      </c>
      <c r="G139" s="1" t="s">
        <v>42</v>
      </c>
      <c r="H139" s="1">
        <v>1983.0</v>
      </c>
      <c r="I139" s="1" t="s">
        <v>12</v>
      </c>
    </row>
    <row r="140">
      <c r="A140" s="1">
        <v>138.0</v>
      </c>
      <c r="B140" s="1">
        <v>7.0</v>
      </c>
      <c r="C140" s="1">
        <v>0.688729410142947</v>
      </c>
      <c r="D140" s="1" t="s">
        <v>155</v>
      </c>
      <c r="E140" s="1" t="s">
        <v>111</v>
      </c>
      <c r="G140" s="1" t="s">
        <v>42</v>
      </c>
      <c r="H140" s="1">
        <v>1983.0</v>
      </c>
      <c r="I140" s="1" t="s">
        <v>12</v>
      </c>
    </row>
    <row r="141">
      <c r="A141" s="1">
        <v>139.0</v>
      </c>
      <c r="B141" s="1">
        <v>3.0</v>
      </c>
      <c r="C141" s="1">
        <v>0.506832998137244</v>
      </c>
      <c r="D141" s="1" t="s">
        <v>156</v>
      </c>
      <c r="E141" s="1" t="s">
        <v>111</v>
      </c>
      <c r="G141" s="1" t="s">
        <v>42</v>
      </c>
      <c r="H141" s="1">
        <v>1983.0</v>
      </c>
      <c r="I141" s="1" t="s">
        <v>12</v>
      </c>
    </row>
    <row r="142">
      <c r="A142" s="1">
        <v>140.0</v>
      </c>
      <c r="B142" s="1">
        <v>9.0</v>
      </c>
      <c r="C142" s="1">
        <v>0.422691006861613</v>
      </c>
      <c r="D142" s="1" t="s">
        <v>157</v>
      </c>
      <c r="E142" s="1" t="s">
        <v>111</v>
      </c>
      <c r="G142" s="1" t="s">
        <v>42</v>
      </c>
      <c r="H142" s="1">
        <v>1983.0</v>
      </c>
      <c r="I142" s="1" t="s">
        <v>12</v>
      </c>
    </row>
    <row r="143">
      <c r="A143" s="1">
        <v>141.0</v>
      </c>
      <c r="B143" s="1">
        <v>7.0</v>
      </c>
      <c r="C143" s="1">
        <v>0.45956213301557</v>
      </c>
      <c r="D143" s="1" t="s">
        <v>158</v>
      </c>
      <c r="E143" s="1" t="s">
        <v>111</v>
      </c>
      <c r="G143" s="1" t="s">
        <v>42</v>
      </c>
      <c r="H143" s="1">
        <v>1983.0</v>
      </c>
      <c r="I143" s="1" t="s">
        <v>12</v>
      </c>
    </row>
    <row r="144">
      <c r="A144" s="1">
        <v>142.0</v>
      </c>
      <c r="B144" s="1">
        <v>7.0</v>
      </c>
      <c r="C144" s="1">
        <v>0.569312766379053</v>
      </c>
      <c r="D144" s="1" t="s">
        <v>159</v>
      </c>
      <c r="E144" s="1" t="s">
        <v>111</v>
      </c>
      <c r="G144" s="1" t="s">
        <v>42</v>
      </c>
      <c r="H144" s="1">
        <v>1983.0</v>
      </c>
      <c r="I144" s="1" t="s">
        <v>12</v>
      </c>
    </row>
    <row r="145">
      <c r="A145" s="1">
        <v>143.0</v>
      </c>
      <c r="B145" s="1">
        <v>4.0</v>
      </c>
      <c r="C145" s="1">
        <v>0.974998723698592</v>
      </c>
      <c r="D145" s="1" t="s">
        <v>160</v>
      </c>
      <c r="E145" s="1" t="s">
        <v>41</v>
      </c>
      <c r="F145" s="1" t="s">
        <v>18</v>
      </c>
      <c r="G145" s="1" t="s">
        <v>11</v>
      </c>
      <c r="I145" s="1" t="s">
        <v>12</v>
      </c>
    </row>
    <row r="146">
      <c r="A146" s="1">
        <v>144.0</v>
      </c>
      <c r="B146" s="1">
        <v>2.0</v>
      </c>
      <c r="C146" s="1">
        <v>0.743476453423693</v>
      </c>
      <c r="D146" s="1" t="s">
        <v>161</v>
      </c>
      <c r="E146" s="1" t="s">
        <v>41</v>
      </c>
      <c r="F146" s="1" t="s">
        <v>18</v>
      </c>
      <c r="G146" s="1" t="s">
        <v>11</v>
      </c>
      <c r="I146" s="1" t="s">
        <v>12</v>
      </c>
    </row>
    <row r="147">
      <c r="A147" s="1">
        <v>145.0</v>
      </c>
      <c r="B147" s="1">
        <v>4.0</v>
      </c>
      <c r="C147" s="1">
        <v>0.973528364203671</v>
      </c>
      <c r="D147" s="1" t="s">
        <v>162</v>
      </c>
      <c r="E147" s="1" t="s">
        <v>41</v>
      </c>
      <c r="F147" s="1" t="s">
        <v>18</v>
      </c>
      <c r="G147" s="1" t="s">
        <v>11</v>
      </c>
      <c r="I147" s="1" t="s">
        <v>12</v>
      </c>
    </row>
    <row r="148">
      <c r="A148" s="1">
        <v>146.0</v>
      </c>
      <c r="B148" s="1">
        <v>2.0</v>
      </c>
      <c r="C148" s="1">
        <v>0.342675785282065</v>
      </c>
      <c r="D148" s="1" t="s">
        <v>163</v>
      </c>
      <c r="E148" s="1" t="s">
        <v>107</v>
      </c>
      <c r="H148" s="1">
        <v>2019.0</v>
      </c>
      <c r="I148" s="1" t="s">
        <v>12</v>
      </c>
    </row>
    <row r="149">
      <c r="A149" s="1">
        <v>147.0</v>
      </c>
      <c r="B149" s="1">
        <v>2.0</v>
      </c>
      <c r="C149" s="1">
        <v>0.760732819463132</v>
      </c>
      <c r="D149" s="1" t="s">
        <v>164</v>
      </c>
      <c r="E149" s="1" t="s">
        <v>107</v>
      </c>
      <c r="H149" s="1">
        <v>2019.0</v>
      </c>
      <c r="I149" s="1" t="s">
        <v>12</v>
      </c>
    </row>
    <row r="150">
      <c r="A150" s="1">
        <v>148.0</v>
      </c>
      <c r="B150" s="1">
        <v>4.0</v>
      </c>
      <c r="C150" s="1">
        <v>0.974998723698592</v>
      </c>
      <c r="D150" s="1" t="s">
        <v>160</v>
      </c>
      <c r="E150" s="1" t="s">
        <v>41</v>
      </c>
      <c r="F150" s="1" t="s">
        <v>165</v>
      </c>
      <c r="I150" s="1" t="s">
        <v>12</v>
      </c>
    </row>
    <row r="151">
      <c r="A151" s="1">
        <v>149.0</v>
      </c>
      <c r="B151" s="1">
        <v>2.0</v>
      </c>
      <c r="C151" s="1">
        <v>0.736699476371786</v>
      </c>
      <c r="D151" s="1" t="s">
        <v>166</v>
      </c>
      <c r="E151" s="1" t="s">
        <v>41</v>
      </c>
      <c r="F151" s="1" t="s">
        <v>165</v>
      </c>
      <c r="I151" s="1" t="s">
        <v>12</v>
      </c>
    </row>
    <row r="152">
      <c r="A152" s="1">
        <v>150.0</v>
      </c>
      <c r="B152" s="1">
        <v>4.0</v>
      </c>
      <c r="C152" s="1">
        <v>0.973528364203671</v>
      </c>
      <c r="D152" s="1" t="s">
        <v>162</v>
      </c>
      <c r="E152" s="1" t="s">
        <v>41</v>
      </c>
      <c r="F152" s="1" t="s">
        <v>165</v>
      </c>
      <c r="I152" s="1" t="s">
        <v>12</v>
      </c>
    </row>
    <row r="153">
      <c r="A153" s="1">
        <v>151.0</v>
      </c>
      <c r="B153" s="1">
        <v>4.0</v>
      </c>
      <c r="C153" s="1">
        <v>0.967855668777459</v>
      </c>
      <c r="D153" s="1" t="s">
        <v>57</v>
      </c>
      <c r="E153" s="1" t="s">
        <v>58</v>
      </c>
      <c r="G153" s="1" t="s">
        <v>167</v>
      </c>
      <c r="H153" s="1">
        <v>2022.0</v>
      </c>
      <c r="I153" s="1" t="s">
        <v>12</v>
      </c>
    </row>
    <row r="154">
      <c r="A154" s="1">
        <v>152.0</v>
      </c>
      <c r="B154" s="1">
        <v>6.0</v>
      </c>
      <c r="C154" s="1">
        <v>0.970966539379796</v>
      </c>
      <c r="D154" s="1" t="s">
        <v>60</v>
      </c>
      <c r="E154" s="1" t="s">
        <v>58</v>
      </c>
      <c r="G154" s="1" t="s">
        <v>167</v>
      </c>
      <c r="H154" s="1">
        <v>2022.0</v>
      </c>
      <c r="I154" s="1" t="s">
        <v>12</v>
      </c>
    </row>
    <row r="155">
      <c r="A155" s="1">
        <v>153.0</v>
      </c>
      <c r="B155" s="1">
        <v>5.0</v>
      </c>
      <c r="C155" s="1">
        <v>0.339008613605702</v>
      </c>
      <c r="D155" s="1" t="s">
        <v>168</v>
      </c>
      <c r="E155" s="1" t="s">
        <v>58</v>
      </c>
      <c r="G155" s="1" t="s">
        <v>167</v>
      </c>
      <c r="H155" s="1">
        <v>2022.0</v>
      </c>
      <c r="I155" s="1" t="s">
        <v>12</v>
      </c>
    </row>
    <row r="156">
      <c r="A156" s="1">
        <v>154.0</v>
      </c>
      <c r="B156" s="1">
        <v>10.0</v>
      </c>
      <c r="C156" s="1">
        <v>0.696250347266141</v>
      </c>
      <c r="D156" s="1" t="s">
        <v>169</v>
      </c>
      <c r="E156" s="1" t="s">
        <v>58</v>
      </c>
      <c r="G156" s="1" t="s">
        <v>167</v>
      </c>
      <c r="H156" s="1">
        <v>2022.0</v>
      </c>
      <c r="I156" s="1" t="s">
        <v>12</v>
      </c>
    </row>
    <row r="157">
      <c r="A157" s="1">
        <v>155.0</v>
      </c>
      <c r="B157" s="1">
        <v>5.0</v>
      </c>
      <c r="C157" s="1">
        <v>0.369703809230172</v>
      </c>
      <c r="D157" s="1" t="s">
        <v>170</v>
      </c>
      <c r="E157" s="1" t="s">
        <v>58</v>
      </c>
      <c r="G157" s="1" t="s">
        <v>167</v>
      </c>
      <c r="H157" s="1">
        <v>2022.0</v>
      </c>
      <c r="I157" s="1" t="s">
        <v>12</v>
      </c>
    </row>
    <row r="158">
      <c r="A158" s="1">
        <v>156.0</v>
      </c>
      <c r="B158" s="1">
        <v>5.0</v>
      </c>
      <c r="C158" s="1">
        <v>0.436854880915124</v>
      </c>
      <c r="D158" s="1" t="s">
        <v>171</v>
      </c>
      <c r="E158" s="1" t="s">
        <v>58</v>
      </c>
      <c r="G158" s="1" t="s">
        <v>167</v>
      </c>
      <c r="H158" s="1">
        <v>2022.0</v>
      </c>
      <c r="I158" s="1" t="s">
        <v>12</v>
      </c>
    </row>
    <row r="159">
      <c r="A159" s="1">
        <v>157.0</v>
      </c>
      <c r="B159" s="1">
        <v>2.0</v>
      </c>
      <c r="C159" s="1">
        <v>0.703389261636296</v>
      </c>
      <c r="D159" s="1" t="s">
        <v>172</v>
      </c>
      <c r="E159" s="1" t="s">
        <v>173</v>
      </c>
      <c r="G159" s="2">
        <v>46213.0</v>
      </c>
      <c r="H159" s="1">
        <v>2015.0</v>
      </c>
      <c r="I159" s="1" t="s">
        <v>12</v>
      </c>
    </row>
    <row r="160">
      <c r="A160" s="1">
        <v>158.0</v>
      </c>
      <c r="B160" s="1">
        <v>7.0</v>
      </c>
      <c r="C160" s="1">
        <v>0.267535047495378</v>
      </c>
      <c r="D160" s="1" t="s">
        <v>174</v>
      </c>
      <c r="E160" s="1" t="s">
        <v>173</v>
      </c>
      <c r="G160" s="2">
        <v>46213.0</v>
      </c>
      <c r="H160" s="1">
        <v>2015.0</v>
      </c>
      <c r="I160" s="1" t="s">
        <v>12</v>
      </c>
    </row>
    <row r="161">
      <c r="A161" s="1">
        <v>159.0</v>
      </c>
      <c r="B161" s="1">
        <v>2.0</v>
      </c>
      <c r="C161" s="1">
        <v>0.461008430973161</v>
      </c>
      <c r="D161" s="1" t="s">
        <v>175</v>
      </c>
      <c r="E161" s="1" t="s">
        <v>173</v>
      </c>
      <c r="G161" s="2">
        <v>46213.0</v>
      </c>
      <c r="H161" s="1">
        <v>2015.0</v>
      </c>
      <c r="I161" s="1" t="s">
        <v>12</v>
      </c>
    </row>
    <row r="162">
      <c r="A162" s="1">
        <v>160.0</v>
      </c>
      <c r="B162" s="1">
        <v>2.0</v>
      </c>
      <c r="C162" s="1">
        <v>0.73341064780617</v>
      </c>
      <c r="D162" s="1" t="s">
        <v>176</v>
      </c>
      <c r="E162" s="1" t="s">
        <v>173</v>
      </c>
      <c r="G162" s="2">
        <v>46213.0</v>
      </c>
      <c r="H162" s="1">
        <v>2015.0</v>
      </c>
      <c r="I162" s="1" t="s">
        <v>12</v>
      </c>
    </row>
    <row r="163">
      <c r="A163" s="1">
        <v>161.0</v>
      </c>
      <c r="B163" s="1">
        <v>7.0</v>
      </c>
      <c r="C163" s="1">
        <v>0.660621977900954</v>
      </c>
      <c r="D163" s="1" t="s">
        <v>177</v>
      </c>
      <c r="E163" s="1" t="s">
        <v>173</v>
      </c>
      <c r="G163" s="2">
        <v>46213.0</v>
      </c>
      <c r="H163" s="1">
        <v>2015.0</v>
      </c>
      <c r="I163" s="1" t="s">
        <v>12</v>
      </c>
    </row>
    <row r="164">
      <c r="A164" s="1">
        <v>162.0</v>
      </c>
      <c r="B164" s="1">
        <v>5.0</v>
      </c>
      <c r="C164" s="1">
        <v>0.790074625113936</v>
      </c>
      <c r="D164" s="1" t="s">
        <v>123</v>
      </c>
      <c r="E164" s="1" t="s">
        <v>124</v>
      </c>
      <c r="F164" s="1" t="s">
        <v>178</v>
      </c>
      <c r="H164" s="1">
        <v>2012.0</v>
      </c>
      <c r="I164" s="1" t="s">
        <v>12</v>
      </c>
    </row>
    <row r="165">
      <c r="A165" s="1">
        <v>163.0</v>
      </c>
      <c r="B165" s="1">
        <v>3.0</v>
      </c>
      <c r="C165" s="1">
        <v>0.97187256624189</v>
      </c>
      <c r="D165" s="1" t="s">
        <v>179</v>
      </c>
      <c r="E165" s="1" t="s">
        <v>24</v>
      </c>
      <c r="F165" s="1" t="s">
        <v>18</v>
      </c>
      <c r="G165" s="1" t="s">
        <v>42</v>
      </c>
      <c r="H165" s="1">
        <v>2019.0</v>
      </c>
      <c r="I165" s="1" t="s">
        <v>12</v>
      </c>
    </row>
    <row r="166">
      <c r="A166" s="1">
        <v>164.0</v>
      </c>
      <c r="B166" s="1">
        <v>4.0</v>
      </c>
      <c r="C166" s="1">
        <v>0.974998723698592</v>
      </c>
      <c r="D166" s="1" t="s">
        <v>160</v>
      </c>
      <c r="E166" s="1" t="s">
        <v>41</v>
      </c>
      <c r="F166" s="1" t="s">
        <v>180</v>
      </c>
      <c r="I166" s="1" t="s">
        <v>12</v>
      </c>
    </row>
    <row r="167">
      <c r="A167" s="1">
        <v>165.0</v>
      </c>
      <c r="B167" s="1">
        <v>2.0</v>
      </c>
      <c r="C167" s="1">
        <v>0.826189450212853</v>
      </c>
      <c r="D167" s="1" t="s">
        <v>181</v>
      </c>
      <c r="E167" s="1" t="s">
        <v>41</v>
      </c>
      <c r="F167" s="1" t="s">
        <v>180</v>
      </c>
      <c r="I167" s="1" t="s">
        <v>12</v>
      </c>
    </row>
    <row r="168">
      <c r="A168" s="1">
        <v>166.0</v>
      </c>
      <c r="B168" s="1">
        <v>4.0</v>
      </c>
      <c r="C168" s="1">
        <v>0.973528364203671</v>
      </c>
      <c r="D168" s="1" t="s">
        <v>162</v>
      </c>
      <c r="E168" s="1" t="s">
        <v>41</v>
      </c>
      <c r="F168" s="1" t="s">
        <v>180</v>
      </c>
      <c r="I168" s="1" t="s">
        <v>12</v>
      </c>
    </row>
    <row r="169">
      <c r="A169" s="1">
        <v>167.0</v>
      </c>
      <c r="B169" s="1">
        <v>2.0</v>
      </c>
      <c r="C169" s="1">
        <v>0.834035197752059</v>
      </c>
      <c r="D169" s="1" t="s">
        <v>182</v>
      </c>
      <c r="E169" s="1" t="s">
        <v>24</v>
      </c>
      <c r="F169" s="1" t="s">
        <v>18</v>
      </c>
      <c r="G169" s="1" t="s">
        <v>42</v>
      </c>
      <c r="H169" s="1">
        <v>2020.0</v>
      </c>
      <c r="I169" s="1" t="s">
        <v>12</v>
      </c>
    </row>
    <row r="170">
      <c r="A170" s="1">
        <v>168.0</v>
      </c>
      <c r="B170" s="1">
        <v>2.0</v>
      </c>
      <c r="C170" s="1">
        <v>0.352607115338834</v>
      </c>
      <c r="D170" s="1" t="s">
        <v>183</v>
      </c>
      <c r="E170" s="1" t="s">
        <v>24</v>
      </c>
      <c r="F170" s="1" t="s">
        <v>18</v>
      </c>
      <c r="G170" s="1" t="s">
        <v>42</v>
      </c>
      <c r="H170" s="1">
        <v>2020.0</v>
      </c>
      <c r="I170" s="1" t="s">
        <v>12</v>
      </c>
    </row>
    <row r="171">
      <c r="A171" s="1">
        <v>169.0</v>
      </c>
      <c r="B171" s="1">
        <v>3.0</v>
      </c>
      <c r="C171" s="1">
        <v>0.97187256624189</v>
      </c>
      <c r="D171" s="1" t="s">
        <v>184</v>
      </c>
      <c r="E171" s="1" t="s">
        <v>24</v>
      </c>
      <c r="F171" s="1" t="s">
        <v>18</v>
      </c>
      <c r="G171" s="1" t="s">
        <v>42</v>
      </c>
      <c r="H171" s="1">
        <v>2020.0</v>
      </c>
      <c r="I171" s="1" t="s">
        <v>12</v>
      </c>
    </row>
    <row r="172">
      <c r="A172" s="1">
        <v>170.0</v>
      </c>
      <c r="B172" s="1">
        <v>3.0</v>
      </c>
      <c r="C172" s="1">
        <v>0.301544708729062</v>
      </c>
      <c r="D172" s="1" t="s">
        <v>185</v>
      </c>
      <c r="E172" s="1" t="s">
        <v>17</v>
      </c>
      <c r="F172" s="1" t="s">
        <v>18</v>
      </c>
      <c r="G172" s="1">
        <v>9.0</v>
      </c>
      <c r="I172" s="1" t="s">
        <v>12</v>
      </c>
    </row>
    <row r="173">
      <c r="A173" s="1">
        <v>171.0</v>
      </c>
      <c r="B173" s="1">
        <v>5.0</v>
      </c>
      <c r="C173" s="1">
        <v>0.523309577578949</v>
      </c>
      <c r="D173" s="1" t="s">
        <v>186</v>
      </c>
      <c r="E173" s="1" t="s">
        <v>187</v>
      </c>
      <c r="H173" s="1">
        <v>2016.0</v>
      </c>
      <c r="I173" s="1" t="s">
        <v>12</v>
      </c>
    </row>
    <row r="174">
      <c r="A174" s="1">
        <v>172.0</v>
      </c>
      <c r="B174" s="1">
        <v>3.0</v>
      </c>
      <c r="C174" s="1">
        <v>0.435053430099587</v>
      </c>
      <c r="D174" s="1" t="s">
        <v>188</v>
      </c>
      <c r="E174" s="1" t="s">
        <v>187</v>
      </c>
      <c r="H174" s="1">
        <v>2016.0</v>
      </c>
      <c r="I174" s="1" t="s">
        <v>12</v>
      </c>
    </row>
    <row r="175">
      <c r="A175" s="1">
        <v>173.0</v>
      </c>
      <c r="B175" s="1">
        <v>5.0</v>
      </c>
      <c r="C175" s="1">
        <v>0.723681593558037</v>
      </c>
      <c r="D175" s="1" t="s">
        <v>189</v>
      </c>
      <c r="E175" s="1" t="s">
        <v>187</v>
      </c>
      <c r="H175" s="1">
        <v>2016.0</v>
      </c>
      <c r="I175" s="1" t="s">
        <v>12</v>
      </c>
    </row>
    <row r="176">
      <c r="A176" s="1">
        <v>174.0</v>
      </c>
      <c r="B176" s="1">
        <v>2.0</v>
      </c>
      <c r="C176" s="1">
        <v>0.354105823115768</v>
      </c>
      <c r="D176" s="1" t="s">
        <v>190</v>
      </c>
      <c r="E176" s="1" t="s">
        <v>187</v>
      </c>
      <c r="H176" s="1">
        <v>2016.0</v>
      </c>
      <c r="I176" s="1" t="s">
        <v>12</v>
      </c>
    </row>
    <row r="177">
      <c r="A177" s="1">
        <v>175.0</v>
      </c>
      <c r="B177" s="1">
        <v>2.0</v>
      </c>
      <c r="C177" s="1">
        <v>0.639118501658186</v>
      </c>
      <c r="D177" s="1" t="s">
        <v>191</v>
      </c>
      <c r="E177" s="1" t="s">
        <v>187</v>
      </c>
      <c r="H177" s="1">
        <v>2016.0</v>
      </c>
      <c r="I177" s="1" t="s">
        <v>12</v>
      </c>
    </row>
    <row r="178">
      <c r="A178" s="1">
        <v>176.0</v>
      </c>
      <c r="B178" s="1">
        <v>10.0</v>
      </c>
      <c r="C178" s="1">
        <v>0.611125082691517</v>
      </c>
      <c r="D178" s="1" t="s">
        <v>192</v>
      </c>
      <c r="E178" s="1" t="s">
        <v>187</v>
      </c>
      <c r="H178" s="1">
        <v>2016.0</v>
      </c>
      <c r="I178" s="1" t="s">
        <v>12</v>
      </c>
    </row>
    <row r="179">
      <c r="A179" s="1">
        <v>177.0</v>
      </c>
      <c r="B179" s="1">
        <v>3.0</v>
      </c>
      <c r="C179" s="1">
        <v>0.381762085739836</v>
      </c>
      <c r="D179" s="1" t="s">
        <v>193</v>
      </c>
      <c r="E179" s="1" t="s">
        <v>187</v>
      </c>
      <c r="H179" s="1">
        <v>2016.0</v>
      </c>
      <c r="I179" s="1" t="s">
        <v>12</v>
      </c>
    </row>
    <row r="180">
      <c r="A180" s="1">
        <v>178.0</v>
      </c>
      <c r="B180" s="1">
        <v>2.0</v>
      </c>
      <c r="C180" s="1">
        <v>0.776321237287231</v>
      </c>
      <c r="D180" s="1" t="s">
        <v>194</v>
      </c>
      <c r="E180" s="1" t="s">
        <v>17</v>
      </c>
      <c r="F180" s="1" t="s">
        <v>18</v>
      </c>
      <c r="G180" s="1">
        <v>8.0</v>
      </c>
      <c r="I180" s="1" t="s">
        <v>12</v>
      </c>
    </row>
    <row r="181">
      <c r="A181" s="1">
        <v>179.0</v>
      </c>
      <c r="B181" s="1">
        <v>4.0</v>
      </c>
      <c r="C181" s="1">
        <v>0.967855668777459</v>
      </c>
      <c r="D181" s="1" t="s">
        <v>57</v>
      </c>
      <c r="E181" s="1" t="s">
        <v>58</v>
      </c>
      <c r="F181" s="1" t="s">
        <v>18</v>
      </c>
      <c r="G181" s="1" t="s">
        <v>11</v>
      </c>
      <c r="H181" s="1">
        <v>2024.0</v>
      </c>
      <c r="I181" s="1" t="s">
        <v>12</v>
      </c>
    </row>
    <row r="182">
      <c r="A182" s="1">
        <v>180.0</v>
      </c>
      <c r="B182" s="1">
        <v>6.0</v>
      </c>
      <c r="C182" s="1">
        <v>0.970966539379796</v>
      </c>
      <c r="D182" s="1" t="s">
        <v>60</v>
      </c>
      <c r="E182" s="1" t="s">
        <v>58</v>
      </c>
      <c r="F182" s="1" t="s">
        <v>18</v>
      </c>
      <c r="G182" s="1" t="s">
        <v>11</v>
      </c>
      <c r="H182" s="1">
        <v>2024.0</v>
      </c>
      <c r="I182" s="1" t="s">
        <v>12</v>
      </c>
    </row>
    <row r="183">
      <c r="A183" s="1">
        <v>181.0</v>
      </c>
      <c r="B183" s="1">
        <v>2.0</v>
      </c>
      <c r="C183" s="1">
        <v>0.952623908509076</v>
      </c>
      <c r="D183" s="1" t="s">
        <v>195</v>
      </c>
      <c r="E183" s="1" t="s">
        <v>58</v>
      </c>
      <c r="F183" s="1" t="s">
        <v>18</v>
      </c>
      <c r="G183" s="1" t="s">
        <v>11</v>
      </c>
      <c r="H183" s="1">
        <v>2024.0</v>
      </c>
      <c r="I183" s="1" t="s">
        <v>12</v>
      </c>
    </row>
    <row r="184">
      <c r="A184" s="1">
        <v>182.0</v>
      </c>
      <c r="B184" s="1">
        <v>6.0</v>
      </c>
      <c r="C184" s="1">
        <v>0.895827771309348</v>
      </c>
      <c r="D184" s="1" t="s">
        <v>62</v>
      </c>
      <c r="E184" s="1" t="s">
        <v>58</v>
      </c>
      <c r="F184" s="1" t="s">
        <v>18</v>
      </c>
      <c r="G184" s="1" t="s">
        <v>11</v>
      </c>
      <c r="H184" s="1">
        <v>2024.0</v>
      </c>
      <c r="I184" s="1" t="s">
        <v>12</v>
      </c>
    </row>
    <row r="185">
      <c r="A185" s="1">
        <v>183.0</v>
      </c>
      <c r="B185" s="1">
        <v>3.0</v>
      </c>
      <c r="C185" s="1">
        <v>0.97187256624189</v>
      </c>
      <c r="D185" s="1" t="s">
        <v>179</v>
      </c>
      <c r="E185" s="1" t="s">
        <v>24</v>
      </c>
      <c r="F185" s="1" t="s">
        <v>18</v>
      </c>
      <c r="G185" s="1" t="s">
        <v>42</v>
      </c>
      <c r="H185" s="1">
        <v>2024.0</v>
      </c>
      <c r="I185" s="1" t="s">
        <v>12</v>
      </c>
    </row>
    <row r="186">
      <c r="A186" s="1">
        <v>184.0</v>
      </c>
      <c r="B186" s="1">
        <v>10.0</v>
      </c>
      <c r="C186" s="1">
        <v>0.852595844552741</v>
      </c>
      <c r="D186" s="1" t="s">
        <v>196</v>
      </c>
      <c r="E186" s="1" t="s">
        <v>47</v>
      </c>
      <c r="F186" s="1" t="s">
        <v>197</v>
      </c>
      <c r="G186" s="1" t="s">
        <v>42</v>
      </c>
      <c r="H186" s="1">
        <v>2016.0</v>
      </c>
      <c r="I186" s="1" t="s">
        <v>198</v>
      </c>
    </row>
    <row r="187">
      <c r="A187" s="1">
        <v>185.0</v>
      </c>
      <c r="B187" s="1">
        <v>10.0</v>
      </c>
      <c r="C187" s="1">
        <v>0.864455522215468</v>
      </c>
      <c r="D187" s="1" t="s">
        <v>199</v>
      </c>
      <c r="E187" s="1" t="s">
        <v>47</v>
      </c>
      <c r="F187" s="1" t="s">
        <v>197</v>
      </c>
      <c r="G187" s="1" t="s">
        <v>42</v>
      </c>
      <c r="H187" s="1">
        <v>2016.0</v>
      </c>
      <c r="I187" s="1" t="s">
        <v>198</v>
      </c>
    </row>
    <row r="188">
      <c r="A188" s="1">
        <v>186.0</v>
      </c>
      <c r="B188" s="1">
        <v>5.0</v>
      </c>
      <c r="C188" s="1">
        <v>0.774975754618167</v>
      </c>
      <c r="D188" s="1" t="s">
        <v>200</v>
      </c>
      <c r="H188" s="1">
        <v>2005.0</v>
      </c>
      <c r="I188" s="1" t="s">
        <v>198</v>
      </c>
    </row>
    <row r="189">
      <c r="A189" s="1">
        <v>187.0</v>
      </c>
      <c r="B189" s="1">
        <v>2.0</v>
      </c>
      <c r="C189" s="1">
        <v>0.505413205500221</v>
      </c>
      <c r="D189" s="1" t="s">
        <v>201</v>
      </c>
      <c r="H189" s="1">
        <v>2005.0</v>
      </c>
      <c r="I189" s="1" t="s">
        <v>198</v>
      </c>
    </row>
    <row r="190">
      <c r="A190" s="1">
        <v>188.0</v>
      </c>
      <c r="B190" s="1">
        <v>5.0</v>
      </c>
      <c r="C190" s="1">
        <v>0.887493053557129</v>
      </c>
      <c r="D190" s="1" t="s">
        <v>202</v>
      </c>
      <c r="H190" s="1">
        <v>2005.0</v>
      </c>
      <c r="I190" s="1" t="s">
        <v>198</v>
      </c>
    </row>
    <row r="191">
      <c r="A191" s="1">
        <v>189.0</v>
      </c>
      <c r="B191" s="1">
        <v>2.0</v>
      </c>
      <c r="C191" s="1">
        <v>0.78979691358216</v>
      </c>
      <c r="D191" s="1" t="s">
        <v>203</v>
      </c>
      <c r="H191" s="1">
        <v>2005.0</v>
      </c>
      <c r="I191" s="1" t="s">
        <v>198</v>
      </c>
    </row>
    <row r="192">
      <c r="A192" s="1">
        <v>190.0</v>
      </c>
      <c r="B192" s="1">
        <v>4.0</v>
      </c>
      <c r="C192" s="1">
        <v>0.35968232425578</v>
      </c>
      <c r="D192" s="1" t="s">
        <v>204</v>
      </c>
      <c r="H192" s="1">
        <v>2005.0</v>
      </c>
      <c r="I192" s="1" t="s">
        <v>198</v>
      </c>
    </row>
    <row r="193">
      <c r="A193" s="1">
        <v>191.0</v>
      </c>
      <c r="B193" s="1">
        <v>8.0</v>
      </c>
      <c r="C193" s="1">
        <v>0.868960033553439</v>
      </c>
      <c r="D193" s="1" t="s">
        <v>205</v>
      </c>
      <c r="E193" s="1" t="s">
        <v>50</v>
      </c>
      <c r="F193" s="1" t="s">
        <v>206</v>
      </c>
      <c r="G193" s="2">
        <v>46213.0</v>
      </c>
      <c r="H193" s="1">
        <v>2023.0</v>
      </c>
      <c r="I193" s="1" t="s">
        <v>198</v>
      </c>
    </row>
    <row r="194">
      <c r="A194" s="1">
        <v>192.0</v>
      </c>
      <c r="B194" s="1">
        <v>6.0</v>
      </c>
      <c r="C194" s="1">
        <v>0.737671392249879</v>
      </c>
      <c r="D194" s="1" t="s">
        <v>207</v>
      </c>
      <c r="E194" s="1" t="s">
        <v>50</v>
      </c>
      <c r="F194" s="1" t="s">
        <v>206</v>
      </c>
      <c r="G194" s="2">
        <v>46213.0</v>
      </c>
      <c r="H194" s="1">
        <v>2023.0</v>
      </c>
      <c r="I194" s="1" t="s">
        <v>198</v>
      </c>
    </row>
    <row r="195">
      <c r="A195" s="1">
        <v>193.0</v>
      </c>
      <c r="B195" s="1">
        <v>10.0</v>
      </c>
      <c r="C195" s="1">
        <v>0.780470118279535</v>
      </c>
      <c r="D195" s="1" t="s">
        <v>208</v>
      </c>
      <c r="E195" s="1" t="s">
        <v>50</v>
      </c>
      <c r="F195" s="1" t="s">
        <v>206</v>
      </c>
      <c r="G195" s="2">
        <v>46213.0</v>
      </c>
      <c r="H195" s="1">
        <v>2023.0</v>
      </c>
      <c r="I195" s="1" t="s">
        <v>198</v>
      </c>
    </row>
    <row r="196">
      <c r="A196" s="1">
        <v>194.0</v>
      </c>
      <c r="B196" s="1">
        <v>8.0</v>
      </c>
      <c r="C196" s="1">
        <v>0.868960033553439</v>
      </c>
      <c r="D196" s="1" t="s">
        <v>205</v>
      </c>
      <c r="E196" s="1" t="s">
        <v>50</v>
      </c>
      <c r="F196" s="1" t="s">
        <v>18</v>
      </c>
      <c r="G196" s="2">
        <v>46213.0</v>
      </c>
      <c r="H196" s="1">
        <v>2023.0</v>
      </c>
      <c r="I196" s="1" t="s">
        <v>198</v>
      </c>
    </row>
    <row r="197">
      <c r="A197" s="1">
        <v>195.0</v>
      </c>
      <c r="B197" s="1">
        <v>6.0</v>
      </c>
      <c r="C197" s="1">
        <v>0.737671392249879</v>
      </c>
      <c r="D197" s="1" t="s">
        <v>207</v>
      </c>
      <c r="E197" s="1" t="s">
        <v>50</v>
      </c>
      <c r="F197" s="1" t="s">
        <v>18</v>
      </c>
      <c r="G197" s="2">
        <v>46213.0</v>
      </c>
      <c r="H197" s="1">
        <v>2023.0</v>
      </c>
      <c r="I197" s="1" t="s">
        <v>198</v>
      </c>
    </row>
    <row r="198">
      <c r="A198" s="1">
        <v>196.0</v>
      </c>
      <c r="B198" s="1">
        <v>10.0</v>
      </c>
      <c r="C198" s="1">
        <v>0.780470118279535</v>
      </c>
      <c r="D198" s="1" t="s">
        <v>208</v>
      </c>
      <c r="E198" s="1" t="s">
        <v>50</v>
      </c>
      <c r="F198" s="1" t="s">
        <v>18</v>
      </c>
      <c r="G198" s="2">
        <v>46213.0</v>
      </c>
      <c r="H198" s="1">
        <v>2023.0</v>
      </c>
      <c r="I198" s="1" t="s">
        <v>198</v>
      </c>
    </row>
    <row r="199">
      <c r="A199" s="1">
        <v>197.0</v>
      </c>
      <c r="B199" s="1">
        <v>7.0</v>
      </c>
      <c r="C199" s="1">
        <v>0.845640347251178</v>
      </c>
      <c r="D199" s="1" t="s">
        <v>209</v>
      </c>
      <c r="E199" s="1" t="s">
        <v>50</v>
      </c>
      <c r="F199" s="1" t="s">
        <v>18</v>
      </c>
      <c r="G199" s="2">
        <v>46213.0</v>
      </c>
      <c r="H199" s="1">
        <v>2023.0</v>
      </c>
      <c r="I199" s="1" t="s">
        <v>198</v>
      </c>
    </row>
    <row r="200">
      <c r="A200" s="1">
        <v>198.0</v>
      </c>
      <c r="B200" s="1">
        <v>4.0</v>
      </c>
      <c r="C200" s="1">
        <v>0.967855668777459</v>
      </c>
      <c r="D200" s="1" t="s">
        <v>57</v>
      </c>
      <c r="E200" s="1" t="s">
        <v>58</v>
      </c>
      <c r="F200" s="1" t="s">
        <v>18</v>
      </c>
      <c r="G200" s="1" t="s">
        <v>42</v>
      </c>
      <c r="H200" s="1">
        <v>2024.0</v>
      </c>
      <c r="I200" s="1" t="s">
        <v>198</v>
      </c>
    </row>
    <row r="201">
      <c r="A201" s="1">
        <v>199.0</v>
      </c>
      <c r="B201" s="1">
        <v>6.0</v>
      </c>
      <c r="C201" s="1">
        <v>0.970966539379796</v>
      </c>
      <c r="D201" s="1" t="s">
        <v>60</v>
      </c>
      <c r="E201" s="1" t="s">
        <v>58</v>
      </c>
      <c r="F201" s="1" t="s">
        <v>18</v>
      </c>
      <c r="G201" s="1" t="s">
        <v>42</v>
      </c>
      <c r="H201" s="1">
        <v>2024.0</v>
      </c>
      <c r="I201" s="1" t="s">
        <v>198</v>
      </c>
    </row>
    <row r="202">
      <c r="A202" s="1">
        <v>200.0</v>
      </c>
      <c r="B202" s="1">
        <v>10.0</v>
      </c>
      <c r="C202" s="1">
        <v>0.590166937314542</v>
      </c>
      <c r="D202" s="1" t="s">
        <v>210</v>
      </c>
      <c r="E202" s="1" t="s">
        <v>58</v>
      </c>
      <c r="F202" s="1" t="s">
        <v>18</v>
      </c>
      <c r="G202" s="1" t="s">
        <v>42</v>
      </c>
      <c r="H202" s="1">
        <v>2024.0</v>
      </c>
      <c r="I202" s="1" t="s">
        <v>198</v>
      </c>
    </row>
    <row r="203">
      <c r="A203" s="1">
        <v>201.0</v>
      </c>
      <c r="B203" s="1">
        <v>4.0</v>
      </c>
      <c r="C203" s="1">
        <v>0.974998723698592</v>
      </c>
      <c r="D203" s="1" t="s">
        <v>160</v>
      </c>
      <c r="E203" s="1" t="s">
        <v>41</v>
      </c>
      <c r="F203" s="1" t="s">
        <v>18</v>
      </c>
      <c r="G203" s="1" t="s">
        <v>11</v>
      </c>
      <c r="H203" s="1">
        <v>2021.0</v>
      </c>
      <c r="I203" s="1" t="s">
        <v>198</v>
      </c>
    </row>
    <row r="204">
      <c r="A204" s="1">
        <v>202.0</v>
      </c>
      <c r="B204" s="1">
        <v>4.0</v>
      </c>
      <c r="C204" s="1">
        <v>0.973528364203671</v>
      </c>
      <c r="D204" s="1" t="s">
        <v>162</v>
      </c>
      <c r="E204" s="1" t="s">
        <v>41</v>
      </c>
      <c r="F204" s="1" t="s">
        <v>18</v>
      </c>
      <c r="G204" s="1" t="s">
        <v>11</v>
      </c>
      <c r="H204" s="1">
        <v>2021.0</v>
      </c>
      <c r="I204" s="1" t="s">
        <v>198</v>
      </c>
    </row>
    <row r="205">
      <c r="A205" s="1">
        <v>203.0</v>
      </c>
      <c r="B205" s="1">
        <v>2.0</v>
      </c>
      <c r="C205" s="1">
        <v>0.685737367195946</v>
      </c>
      <c r="D205" s="1" t="s">
        <v>211</v>
      </c>
      <c r="E205" s="1" t="s">
        <v>20</v>
      </c>
      <c r="F205" s="1" t="s">
        <v>18</v>
      </c>
      <c r="G205" s="1" t="s">
        <v>11</v>
      </c>
      <c r="H205" s="1">
        <v>2015.0</v>
      </c>
      <c r="I205" s="1" t="s">
        <v>198</v>
      </c>
    </row>
    <row r="206">
      <c r="A206" s="1">
        <v>204.0</v>
      </c>
      <c r="B206" s="1">
        <v>2.0</v>
      </c>
      <c r="C206" s="1">
        <v>0.711016559359152</v>
      </c>
      <c r="D206" s="1" t="s">
        <v>212</v>
      </c>
      <c r="E206" s="1" t="s">
        <v>20</v>
      </c>
      <c r="F206" s="1" t="s">
        <v>18</v>
      </c>
      <c r="G206" s="1" t="s">
        <v>11</v>
      </c>
      <c r="H206" s="1">
        <v>2015.0</v>
      </c>
      <c r="I206" s="1" t="s">
        <v>198</v>
      </c>
    </row>
    <row r="207">
      <c r="A207" s="1">
        <v>205.0</v>
      </c>
      <c r="B207" s="1">
        <v>6.0</v>
      </c>
      <c r="C207" s="1">
        <v>0.722612846643765</v>
      </c>
      <c r="D207" s="1" t="s">
        <v>213</v>
      </c>
      <c r="E207" s="1" t="s">
        <v>107</v>
      </c>
      <c r="F207" s="1" t="s">
        <v>214</v>
      </c>
      <c r="H207" s="1">
        <v>2019.0</v>
      </c>
      <c r="I207" s="1" t="s">
        <v>198</v>
      </c>
    </row>
    <row r="208">
      <c r="A208" s="1">
        <v>206.0</v>
      </c>
      <c r="B208" s="1">
        <v>4.0</v>
      </c>
      <c r="C208" s="1">
        <v>0.974998723698592</v>
      </c>
      <c r="D208" s="1" t="s">
        <v>160</v>
      </c>
      <c r="E208" s="1" t="s">
        <v>41</v>
      </c>
      <c r="F208" s="1" t="s">
        <v>118</v>
      </c>
      <c r="H208" s="1">
        <v>2021.0</v>
      </c>
      <c r="I208" s="1" t="s">
        <v>198</v>
      </c>
    </row>
    <row r="209">
      <c r="A209" s="1">
        <v>207.0</v>
      </c>
      <c r="B209" s="1">
        <v>4.0</v>
      </c>
      <c r="C209" s="1">
        <v>0.973528364203671</v>
      </c>
      <c r="D209" s="1" t="s">
        <v>162</v>
      </c>
      <c r="E209" s="1" t="s">
        <v>41</v>
      </c>
      <c r="F209" s="1" t="s">
        <v>118</v>
      </c>
      <c r="H209" s="1">
        <v>2021.0</v>
      </c>
      <c r="I209" s="1" t="s">
        <v>198</v>
      </c>
    </row>
    <row r="210">
      <c r="A210" s="1">
        <v>208.0</v>
      </c>
      <c r="B210" s="1">
        <v>4.0</v>
      </c>
      <c r="C210" s="1">
        <v>0.967855668777459</v>
      </c>
      <c r="D210" s="1" t="s">
        <v>57</v>
      </c>
      <c r="E210" s="1" t="s">
        <v>58</v>
      </c>
      <c r="F210" s="1" t="s">
        <v>18</v>
      </c>
      <c r="G210" s="1" t="s">
        <v>11</v>
      </c>
      <c r="H210" s="1">
        <v>2024.0</v>
      </c>
      <c r="I210" s="1" t="s">
        <v>198</v>
      </c>
    </row>
    <row r="211">
      <c r="A211" s="1">
        <v>209.0</v>
      </c>
      <c r="B211" s="1">
        <v>6.0</v>
      </c>
      <c r="C211" s="1">
        <v>0.970966539379796</v>
      </c>
      <c r="D211" s="1" t="s">
        <v>60</v>
      </c>
      <c r="E211" s="1" t="s">
        <v>58</v>
      </c>
      <c r="F211" s="1" t="s">
        <v>18</v>
      </c>
      <c r="G211" s="1" t="s">
        <v>11</v>
      </c>
      <c r="H211" s="1">
        <v>2024.0</v>
      </c>
      <c r="I211" s="1" t="s">
        <v>198</v>
      </c>
    </row>
    <row r="212">
      <c r="A212" s="1">
        <v>210.0</v>
      </c>
      <c r="B212" s="1">
        <v>10.0</v>
      </c>
      <c r="C212" s="1">
        <v>0.300075267953225</v>
      </c>
      <c r="D212" s="1" t="s">
        <v>215</v>
      </c>
      <c r="E212" s="1" t="s">
        <v>58</v>
      </c>
      <c r="F212" s="1" t="s">
        <v>18</v>
      </c>
      <c r="G212" s="1" t="s">
        <v>11</v>
      </c>
      <c r="H212" s="1">
        <v>2024.0</v>
      </c>
      <c r="I212" s="1" t="s">
        <v>198</v>
      </c>
    </row>
    <row r="213">
      <c r="A213" s="1">
        <v>211.0</v>
      </c>
      <c r="B213" s="1">
        <v>10.0</v>
      </c>
      <c r="C213" s="1">
        <v>0.631698688823349</v>
      </c>
      <c r="D213" s="1" t="s">
        <v>216</v>
      </c>
      <c r="E213" s="1" t="s">
        <v>58</v>
      </c>
      <c r="F213" s="1" t="s">
        <v>18</v>
      </c>
      <c r="G213" s="1" t="s">
        <v>11</v>
      </c>
      <c r="H213" s="1">
        <v>2024.0</v>
      </c>
      <c r="I213" s="1" t="s">
        <v>198</v>
      </c>
    </row>
    <row r="214">
      <c r="A214" s="1">
        <v>212.0</v>
      </c>
      <c r="B214" s="1">
        <v>4.0</v>
      </c>
      <c r="C214" s="1">
        <v>0.967855668777459</v>
      </c>
      <c r="D214" s="1" t="s">
        <v>57</v>
      </c>
      <c r="E214" s="1" t="s">
        <v>58</v>
      </c>
      <c r="F214" s="1" t="s">
        <v>59</v>
      </c>
      <c r="G214" s="2">
        <v>46153.0</v>
      </c>
      <c r="H214" s="1">
        <v>2024.0</v>
      </c>
      <c r="I214" s="1" t="s">
        <v>198</v>
      </c>
    </row>
    <row r="215">
      <c r="A215" s="1">
        <v>213.0</v>
      </c>
      <c r="B215" s="1">
        <v>6.0</v>
      </c>
      <c r="C215" s="1">
        <v>0.970966539379796</v>
      </c>
      <c r="D215" s="1" t="s">
        <v>60</v>
      </c>
      <c r="E215" s="1" t="s">
        <v>58</v>
      </c>
      <c r="F215" s="1" t="s">
        <v>59</v>
      </c>
      <c r="G215" s="2">
        <v>46153.0</v>
      </c>
      <c r="H215" s="1">
        <v>2024.0</v>
      </c>
      <c r="I215" s="1" t="s">
        <v>198</v>
      </c>
    </row>
    <row r="216">
      <c r="A216" s="1">
        <v>214.0</v>
      </c>
      <c r="B216" s="1">
        <v>10.0</v>
      </c>
      <c r="C216" s="1">
        <v>0.300075267953225</v>
      </c>
      <c r="D216" s="1" t="s">
        <v>215</v>
      </c>
      <c r="E216" s="1" t="s">
        <v>58</v>
      </c>
      <c r="F216" s="1" t="s">
        <v>59</v>
      </c>
      <c r="G216" s="2">
        <v>46153.0</v>
      </c>
      <c r="H216" s="1">
        <v>2024.0</v>
      </c>
      <c r="I216" s="1" t="s">
        <v>198</v>
      </c>
    </row>
    <row r="217">
      <c r="A217" s="1">
        <v>215.0</v>
      </c>
      <c r="B217" s="1">
        <v>10.0</v>
      </c>
      <c r="C217" s="1">
        <v>0.631698688823349</v>
      </c>
      <c r="D217" s="1" t="s">
        <v>216</v>
      </c>
      <c r="E217" s="1" t="s">
        <v>58</v>
      </c>
      <c r="F217" s="1" t="s">
        <v>59</v>
      </c>
      <c r="G217" s="2">
        <v>46153.0</v>
      </c>
      <c r="H217" s="1">
        <v>2024.0</v>
      </c>
      <c r="I217" s="1" t="s">
        <v>198</v>
      </c>
    </row>
    <row r="218">
      <c r="A218" s="1">
        <v>216.0</v>
      </c>
      <c r="B218" s="1">
        <v>10.0</v>
      </c>
      <c r="C218" s="1">
        <v>0.970967022980637</v>
      </c>
      <c r="D218" s="1" t="s">
        <v>81</v>
      </c>
      <c r="E218" s="1" t="s">
        <v>47</v>
      </c>
      <c r="G218" s="1" t="s">
        <v>11</v>
      </c>
      <c r="H218" s="1">
        <v>2016.0</v>
      </c>
      <c r="I218" s="1" t="s">
        <v>198</v>
      </c>
    </row>
    <row r="219">
      <c r="A219" s="1">
        <v>217.0</v>
      </c>
      <c r="B219" s="1">
        <v>10.0</v>
      </c>
      <c r="C219" s="1">
        <v>0.97096703982222</v>
      </c>
      <c r="D219" s="1" t="s">
        <v>82</v>
      </c>
      <c r="E219" s="1" t="s">
        <v>47</v>
      </c>
      <c r="G219" s="1" t="s">
        <v>11</v>
      </c>
      <c r="H219" s="1">
        <v>2016.0</v>
      </c>
      <c r="I219" s="1" t="s">
        <v>198</v>
      </c>
    </row>
    <row r="220">
      <c r="A220" s="1">
        <v>218.0</v>
      </c>
      <c r="B220" s="1">
        <v>10.0</v>
      </c>
      <c r="C220" s="1">
        <v>0.970967089324326</v>
      </c>
      <c r="D220" s="1" t="s">
        <v>83</v>
      </c>
      <c r="E220" s="1" t="s">
        <v>47</v>
      </c>
      <c r="G220" s="1" t="s">
        <v>11</v>
      </c>
      <c r="H220" s="1">
        <v>2016.0</v>
      </c>
      <c r="I220" s="1" t="s">
        <v>198</v>
      </c>
    </row>
    <row r="221">
      <c r="A221" s="1">
        <v>219.0</v>
      </c>
      <c r="B221" s="1">
        <v>10.0</v>
      </c>
      <c r="C221" s="1">
        <v>0.971874237792835</v>
      </c>
      <c r="D221" s="1" t="s">
        <v>84</v>
      </c>
      <c r="E221" s="1" t="s">
        <v>47</v>
      </c>
      <c r="G221" s="1" t="s">
        <v>11</v>
      </c>
      <c r="H221" s="1">
        <v>2016.0</v>
      </c>
      <c r="I221" s="1" t="s">
        <v>198</v>
      </c>
    </row>
    <row r="222">
      <c r="A222" s="1">
        <v>220.0</v>
      </c>
      <c r="B222" s="1">
        <v>10.0</v>
      </c>
      <c r="C222" s="1">
        <v>0.972726657928334</v>
      </c>
      <c r="D222" s="1" t="s">
        <v>217</v>
      </c>
      <c r="E222" s="1" t="s">
        <v>47</v>
      </c>
      <c r="G222" s="1" t="s">
        <v>11</v>
      </c>
      <c r="H222" s="1">
        <v>2016.0</v>
      </c>
      <c r="I222" s="1" t="s">
        <v>198</v>
      </c>
    </row>
    <row r="223">
      <c r="A223" s="1">
        <v>221.0</v>
      </c>
      <c r="B223" s="1">
        <v>10.0</v>
      </c>
      <c r="C223" s="1">
        <v>0.974285122665352</v>
      </c>
      <c r="D223" s="1" t="s">
        <v>218</v>
      </c>
      <c r="E223" s="1" t="s">
        <v>47</v>
      </c>
      <c r="G223" s="1" t="s">
        <v>11</v>
      </c>
      <c r="H223" s="1">
        <v>2016.0</v>
      </c>
      <c r="I223" s="1" t="s">
        <v>198</v>
      </c>
    </row>
    <row r="224">
      <c r="A224" s="1">
        <v>222.0</v>
      </c>
      <c r="B224" s="1">
        <v>2.0</v>
      </c>
      <c r="C224" s="1">
        <v>0.453378330048028</v>
      </c>
      <c r="D224" s="1" t="s">
        <v>219</v>
      </c>
      <c r="E224" s="1" t="s">
        <v>10</v>
      </c>
      <c r="F224" s="1" t="s">
        <v>97</v>
      </c>
      <c r="H224" s="1">
        <v>2020.0</v>
      </c>
      <c r="I224" s="1" t="s">
        <v>198</v>
      </c>
    </row>
    <row r="225">
      <c r="A225" s="1">
        <v>223.0</v>
      </c>
      <c r="B225" s="1">
        <v>2.0</v>
      </c>
      <c r="C225" s="1">
        <v>0.96086670114316</v>
      </c>
      <c r="D225" s="1" t="s">
        <v>220</v>
      </c>
      <c r="E225" s="1" t="s">
        <v>10</v>
      </c>
      <c r="F225" s="1" t="s">
        <v>97</v>
      </c>
      <c r="H225" s="1">
        <v>2020.0</v>
      </c>
      <c r="I225" s="1" t="s">
        <v>198</v>
      </c>
    </row>
    <row r="226">
      <c r="A226" s="1">
        <v>224.0</v>
      </c>
      <c r="B226" s="1">
        <v>2.0</v>
      </c>
      <c r="C226" s="1">
        <v>0.892587483732788</v>
      </c>
      <c r="D226" s="1" t="s">
        <v>221</v>
      </c>
      <c r="E226" s="1" t="s">
        <v>10</v>
      </c>
      <c r="F226" s="1" t="s">
        <v>97</v>
      </c>
      <c r="H226" s="1">
        <v>2020.0</v>
      </c>
      <c r="I226" s="1" t="s">
        <v>198</v>
      </c>
    </row>
    <row r="227">
      <c r="A227" s="1">
        <v>225.0</v>
      </c>
      <c r="B227" s="1">
        <v>7.0</v>
      </c>
      <c r="C227" s="1">
        <v>0.478056160105721</v>
      </c>
      <c r="D227" s="1" t="s">
        <v>222</v>
      </c>
      <c r="E227" s="1" t="s">
        <v>45</v>
      </c>
      <c r="F227" s="1" t="s">
        <v>18</v>
      </c>
      <c r="H227" s="1">
        <v>2019.0</v>
      </c>
      <c r="I227" s="1" t="s">
        <v>198</v>
      </c>
    </row>
    <row r="228">
      <c r="A228" s="1">
        <v>226.0</v>
      </c>
      <c r="B228" s="1">
        <v>7.0</v>
      </c>
      <c r="C228" s="1">
        <v>0.677680168987614</v>
      </c>
      <c r="D228" s="1" t="s">
        <v>223</v>
      </c>
      <c r="E228" s="1" t="s">
        <v>45</v>
      </c>
      <c r="F228" s="1" t="s">
        <v>18</v>
      </c>
      <c r="H228" s="1">
        <v>2019.0</v>
      </c>
      <c r="I228" s="1" t="s">
        <v>198</v>
      </c>
    </row>
    <row r="229">
      <c r="A229" s="1">
        <v>227.0</v>
      </c>
      <c r="B229" s="1">
        <v>2.0</v>
      </c>
      <c r="C229" s="1">
        <v>0.354885222710087</v>
      </c>
      <c r="D229" s="1" t="s">
        <v>224</v>
      </c>
      <c r="E229" s="1" t="s">
        <v>45</v>
      </c>
      <c r="F229" s="1" t="s">
        <v>18</v>
      </c>
      <c r="H229" s="1">
        <v>2019.0</v>
      </c>
      <c r="I229" s="1" t="s">
        <v>198</v>
      </c>
    </row>
    <row r="230">
      <c r="A230" s="1">
        <v>228.0</v>
      </c>
      <c r="B230" s="1">
        <v>2.0</v>
      </c>
      <c r="C230" s="1">
        <v>0.793192215657017</v>
      </c>
      <c r="D230" s="1" t="s">
        <v>225</v>
      </c>
      <c r="E230" s="1" t="s">
        <v>17</v>
      </c>
      <c r="F230" s="1" t="s">
        <v>165</v>
      </c>
      <c r="I230" s="1" t="s">
        <v>198</v>
      </c>
    </row>
    <row r="231">
      <c r="A231" s="1">
        <v>229.0</v>
      </c>
      <c r="B231" s="1">
        <v>10.0</v>
      </c>
      <c r="C231" s="1">
        <v>0.699352906594903</v>
      </c>
      <c r="D231" s="1" t="s">
        <v>226</v>
      </c>
      <c r="E231" s="1" t="s">
        <v>17</v>
      </c>
      <c r="F231" s="1" t="s">
        <v>165</v>
      </c>
      <c r="I231" s="1" t="s">
        <v>198</v>
      </c>
    </row>
    <row r="232">
      <c r="A232" s="1">
        <v>230.0</v>
      </c>
      <c r="B232" s="1">
        <v>10.0</v>
      </c>
      <c r="C232" s="1">
        <v>0.57607629309705</v>
      </c>
      <c r="D232" s="1" t="s">
        <v>227</v>
      </c>
      <c r="E232" s="1" t="s">
        <v>17</v>
      </c>
      <c r="F232" s="1" t="s">
        <v>165</v>
      </c>
      <c r="I232" s="1" t="s">
        <v>198</v>
      </c>
    </row>
    <row r="233">
      <c r="A233" s="1">
        <v>231.0</v>
      </c>
      <c r="B233" s="1">
        <v>10.0</v>
      </c>
      <c r="C233" s="1">
        <v>0.57607629309705</v>
      </c>
      <c r="D233" s="1" t="s">
        <v>227</v>
      </c>
      <c r="E233" s="1" t="s">
        <v>17</v>
      </c>
      <c r="F233" s="1" t="s">
        <v>118</v>
      </c>
      <c r="G233" s="1">
        <v>9.0</v>
      </c>
      <c r="I233" s="1" t="s">
        <v>198</v>
      </c>
    </row>
    <row r="234">
      <c r="A234" s="1">
        <v>232.0</v>
      </c>
      <c r="B234" s="1">
        <v>4.0</v>
      </c>
      <c r="C234" s="1">
        <v>0.974998723698592</v>
      </c>
      <c r="D234" s="1" t="s">
        <v>160</v>
      </c>
      <c r="E234" s="1" t="s">
        <v>41</v>
      </c>
      <c r="F234" s="1" t="s">
        <v>142</v>
      </c>
      <c r="H234" s="1">
        <v>2021.0</v>
      </c>
      <c r="I234" s="1" t="s">
        <v>198</v>
      </c>
    </row>
    <row r="235">
      <c r="A235" s="1">
        <v>233.0</v>
      </c>
      <c r="B235" s="1">
        <v>4.0</v>
      </c>
      <c r="C235" s="1">
        <v>0.973528364203671</v>
      </c>
      <c r="D235" s="1" t="s">
        <v>162</v>
      </c>
      <c r="E235" s="1" t="s">
        <v>41</v>
      </c>
      <c r="F235" s="1" t="s">
        <v>142</v>
      </c>
      <c r="H235" s="1">
        <v>2021.0</v>
      </c>
      <c r="I235" s="1" t="s">
        <v>198</v>
      </c>
    </row>
    <row r="236">
      <c r="A236" s="1">
        <v>234.0</v>
      </c>
      <c r="B236" s="1">
        <v>2.0</v>
      </c>
      <c r="C236" s="1">
        <v>0.785628088199911</v>
      </c>
      <c r="D236" s="1" t="s">
        <v>228</v>
      </c>
      <c r="E236" s="1" t="s">
        <v>102</v>
      </c>
      <c r="F236" s="1" t="s">
        <v>18</v>
      </c>
      <c r="G236" s="1" t="s">
        <v>11</v>
      </c>
      <c r="H236" s="1">
        <v>2006.0</v>
      </c>
      <c r="I236" s="1" t="s">
        <v>198</v>
      </c>
    </row>
    <row r="237">
      <c r="A237" s="1">
        <v>235.0</v>
      </c>
      <c r="B237" s="1">
        <v>2.0</v>
      </c>
      <c r="C237" s="1">
        <v>0.887589131709919</v>
      </c>
      <c r="D237" s="1" t="s">
        <v>229</v>
      </c>
      <c r="E237" s="1" t="s">
        <v>111</v>
      </c>
      <c r="G237" s="1" t="s">
        <v>11</v>
      </c>
      <c r="H237" s="1">
        <v>2021.0</v>
      </c>
      <c r="I237" s="1" t="s">
        <v>198</v>
      </c>
    </row>
    <row r="238">
      <c r="A238" s="1">
        <v>236.0</v>
      </c>
      <c r="B238" s="1">
        <v>7.0</v>
      </c>
      <c r="C238" s="1">
        <v>0.834135890240821</v>
      </c>
      <c r="D238" s="1" t="s">
        <v>230</v>
      </c>
      <c r="E238" s="1" t="s">
        <v>111</v>
      </c>
      <c r="G238" s="1" t="s">
        <v>11</v>
      </c>
      <c r="H238" s="1">
        <v>2021.0</v>
      </c>
      <c r="I238" s="1" t="s">
        <v>198</v>
      </c>
    </row>
    <row r="239">
      <c r="A239" s="1">
        <v>237.0</v>
      </c>
      <c r="B239" s="1">
        <v>7.0</v>
      </c>
      <c r="C239" s="1">
        <v>0.76843481239562</v>
      </c>
      <c r="D239" s="1" t="s">
        <v>231</v>
      </c>
      <c r="E239" s="1" t="s">
        <v>111</v>
      </c>
      <c r="G239" s="1" t="s">
        <v>11</v>
      </c>
      <c r="H239" s="1">
        <v>2021.0</v>
      </c>
      <c r="I239" s="1" t="s">
        <v>198</v>
      </c>
    </row>
    <row r="240">
      <c r="A240" s="1">
        <v>238.0</v>
      </c>
      <c r="B240" s="1">
        <v>7.0</v>
      </c>
      <c r="C240" s="1">
        <v>0.711748535488611</v>
      </c>
      <c r="D240" s="1" t="s">
        <v>232</v>
      </c>
      <c r="E240" s="1" t="s">
        <v>111</v>
      </c>
      <c r="G240" s="1" t="s">
        <v>11</v>
      </c>
      <c r="H240" s="1">
        <v>2021.0</v>
      </c>
      <c r="I240" s="1" t="s">
        <v>198</v>
      </c>
    </row>
    <row r="241">
      <c r="A241" s="1">
        <v>239.0</v>
      </c>
      <c r="B241" s="1">
        <v>2.0</v>
      </c>
      <c r="C241" s="1">
        <v>0.850272266143621</v>
      </c>
      <c r="D241" s="1" t="s">
        <v>233</v>
      </c>
      <c r="E241" s="1" t="s">
        <v>111</v>
      </c>
      <c r="G241" s="1" t="s">
        <v>11</v>
      </c>
      <c r="H241" s="1">
        <v>2021.0</v>
      </c>
      <c r="I241" s="1" t="s">
        <v>198</v>
      </c>
    </row>
    <row r="242">
      <c r="A242" s="1">
        <v>240.0</v>
      </c>
      <c r="B242" s="1">
        <v>2.0</v>
      </c>
      <c r="C242" s="1">
        <v>0.858953595382406</v>
      </c>
      <c r="D242" s="1" t="s">
        <v>234</v>
      </c>
      <c r="E242" s="1" t="s">
        <v>111</v>
      </c>
      <c r="G242" s="1" t="s">
        <v>11</v>
      </c>
      <c r="H242" s="1">
        <v>2021.0</v>
      </c>
      <c r="I242" s="1" t="s">
        <v>198</v>
      </c>
    </row>
    <row r="243">
      <c r="A243" s="1">
        <v>241.0</v>
      </c>
      <c r="B243" s="1">
        <v>7.0</v>
      </c>
      <c r="C243" s="1">
        <v>0.791507795590856</v>
      </c>
      <c r="D243" s="1" t="s">
        <v>235</v>
      </c>
      <c r="E243" s="1" t="s">
        <v>111</v>
      </c>
      <c r="G243" s="1" t="s">
        <v>11</v>
      </c>
      <c r="H243" s="1">
        <v>2021.0</v>
      </c>
      <c r="I243" s="1" t="s">
        <v>198</v>
      </c>
    </row>
    <row r="244">
      <c r="A244" s="1">
        <v>242.0</v>
      </c>
      <c r="B244" s="1">
        <v>2.0</v>
      </c>
      <c r="C244" s="1">
        <v>0.491262792323977</v>
      </c>
      <c r="D244" s="1" t="s">
        <v>236</v>
      </c>
      <c r="E244" s="1" t="s">
        <v>41</v>
      </c>
      <c r="F244" s="1" t="s">
        <v>18</v>
      </c>
      <c r="G244" s="1" t="s">
        <v>42</v>
      </c>
      <c r="H244" s="1">
        <v>2024.0</v>
      </c>
      <c r="I244" s="1" t="s">
        <v>198</v>
      </c>
    </row>
    <row r="245">
      <c r="A245" s="1">
        <v>243.0</v>
      </c>
      <c r="B245" s="1">
        <v>3.0</v>
      </c>
      <c r="C245" s="1">
        <v>0.965381258337581</v>
      </c>
      <c r="D245" s="1" t="s">
        <v>72</v>
      </c>
      <c r="E245" s="1" t="s">
        <v>45</v>
      </c>
      <c r="F245" s="1" t="s">
        <v>65</v>
      </c>
      <c r="H245" s="1">
        <v>2019.0</v>
      </c>
      <c r="I245" s="1" t="s">
        <v>198</v>
      </c>
    </row>
    <row r="246">
      <c r="A246" s="1">
        <v>244.0</v>
      </c>
      <c r="B246" s="1">
        <v>2.0</v>
      </c>
      <c r="C246" s="1">
        <v>0.343903038864572</v>
      </c>
      <c r="D246" s="1" t="s">
        <v>73</v>
      </c>
      <c r="E246" s="1" t="s">
        <v>45</v>
      </c>
      <c r="F246" s="1" t="s">
        <v>65</v>
      </c>
      <c r="H246" s="1">
        <v>2019.0</v>
      </c>
      <c r="I246" s="1" t="s">
        <v>198</v>
      </c>
    </row>
    <row r="247">
      <c r="A247" s="1">
        <v>245.0</v>
      </c>
      <c r="B247" s="1">
        <v>10.0</v>
      </c>
      <c r="C247" s="1">
        <v>0.87520988425513</v>
      </c>
      <c r="D247" s="1" t="s">
        <v>237</v>
      </c>
      <c r="E247" s="1" t="s">
        <v>17</v>
      </c>
      <c r="F247" s="1" t="s">
        <v>18</v>
      </c>
      <c r="I247" s="1" t="s">
        <v>198</v>
      </c>
    </row>
    <row r="248">
      <c r="A248" s="1">
        <v>246.0</v>
      </c>
      <c r="B248" s="1">
        <v>6.0</v>
      </c>
      <c r="C248" s="1">
        <v>0.957137776744818</v>
      </c>
      <c r="D248" s="1" t="s">
        <v>238</v>
      </c>
      <c r="E248" s="1" t="s">
        <v>107</v>
      </c>
      <c r="F248" s="1" t="s">
        <v>18</v>
      </c>
      <c r="H248" s="1">
        <v>2022.0</v>
      </c>
      <c r="I248" s="1" t="s">
        <v>198</v>
      </c>
    </row>
    <row r="249">
      <c r="A249" s="1">
        <v>247.0</v>
      </c>
      <c r="B249" s="1">
        <v>2.0</v>
      </c>
      <c r="C249" s="1">
        <v>0.900117952080096</v>
      </c>
      <c r="D249" s="1" t="s">
        <v>239</v>
      </c>
      <c r="E249" s="1" t="s">
        <v>24</v>
      </c>
      <c r="F249" s="1" t="s">
        <v>25</v>
      </c>
      <c r="G249" s="1" t="s">
        <v>26</v>
      </c>
      <c r="H249" s="1">
        <v>2014.0</v>
      </c>
      <c r="I249" s="1" t="s">
        <v>240</v>
      </c>
    </row>
    <row r="250">
      <c r="A250" s="1">
        <v>248.0</v>
      </c>
      <c r="B250" s="1">
        <v>2.0</v>
      </c>
      <c r="C250" s="1">
        <v>0.625485857451524</v>
      </c>
      <c r="D250" s="1" t="s">
        <v>241</v>
      </c>
      <c r="E250" s="1" t="s">
        <v>24</v>
      </c>
      <c r="F250" s="1" t="s">
        <v>25</v>
      </c>
      <c r="G250" s="1" t="s">
        <v>26</v>
      </c>
      <c r="H250" s="1">
        <v>2014.0</v>
      </c>
      <c r="I250" s="1" t="s">
        <v>240</v>
      </c>
    </row>
    <row r="251">
      <c r="A251" s="1">
        <v>249.0</v>
      </c>
      <c r="B251" s="1">
        <v>2.0</v>
      </c>
      <c r="C251" s="1">
        <v>0.619049607593193</v>
      </c>
      <c r="D251" s="1" t="s">
        <v>242</v>
      </c>
      <c r="E251" s="1" t="s">
        <v>24</v>
      </c>
      <c r="F251" s="1" t="s">
        <v>25</v>
      </c>
      <c r="G251" s="1" t="s">
        <v>26</v>
      </c>
      <c r="H251" s="1">
        <v>2014.0</v>
      </c>
      <c r="I251" s="1" t="s">
        <v>240</v>
      </c>
    </row>
    <row r="252">
      <c r="A252" s="1">
        <v>250.0</v>
      </c>
      <c r="B252" s="1">
        <v>9.0</v>
      </c>
      <c r="C252" s="1">
        <v>0.798633528997799</v>
      </c>
      <c r="D252" s="1" t="s">
        <v>243</v>
      </c>
      <c r="E252" s="1" t="s">
        <v>24</v>
      </c>
      <c r="F252" s="1" t="s">
        <v>25</v>
      </c>
      <c r="G252" s="1" t="s">
        <v>26</v>
      </c>
      <c r="H252" s="1">
        <v>2014.0</v>
      </c>
      <c r="I252" s="1" t="s">
        <v>240</v>
      </c>
    </row>
    <row r="253">
      <c r="A253" s="1">
        <v>251.0</v>
      </c>
      <c r="B253" s="1">
        <v>9.0</v>
      </c>
      <c r="C253" s="1">
        <v>0.49160848347969</v>
      </c>
      <c r="D253" s="1" t="s">
        <v>244</v>
      </c>
      <c r="E253" s="1" t="s">
        <v>24</v>
      </c>
      <c r="F253" s="1" t="s">
        <v>25</v>
      </c>
      <c r="G253" s="1" t="s">
        <v>26</v>
      </c>
      <c r="H253" s="1">
        <v>2014.0</v>
      </c>
      <c r="I253" s="1" t="s">
        <v>240</v>
      </c>
    </row>
    <row r="254">
      <c r="A254" s="1">
        <v>252.0</v>
      </c>
      <c r="B254" s="1">
        <v>4.0</v>
      </c>
      <c r="C254" s="1">
        <v>0.967855668777459</v>
      </c>
      <c r="D254" s="1" t="s">
        <v>245</v>
      </c>
      <c r="E254" s="1" t="s">
        <v>58</v>
      </c>
      <c r="G254" s="1" t="s">
        <v>26</v>
      </c>
      <c r="H254" s="1">
        <v>2023.0</v>
      </c>
      <c r="I254" s="1" t="s">
        <v>240</v>
      </c>
    </row>
    <row r="255">
      <c r="A255" s="1">
        <v>253.0</v>
      </c>
      <c r="B255" s="1">
        <v>6.0</v>
      </c>
      <c r="C255" s="1">
        <v>0.970966539379796</v>
      </c>
      <c r="D255" s="1" t="s">
        <v>246</v>
      </c>
      <c r="E255" s="1" t="s">
        <v>58</v>
      </c>
      <c r="G255" s="1" t="s">
        <v>26</v>
      </c>
      <c r="H255" s="1">
        <v>2023.0</v>
      </c>
      <c r="I255" s="1" t="s">
        <v>240</v>
      </c>
    </row>
    <row r="256">
      <c r="A256" s="1">
        <v>254.0</v>
      </c>
      <c r="B256" s="1">
        <v>2.0</v>
      </c>
      <c r="C256" s="1">
        <v>0.916440580085547</v>
      </c>
      <c r="D256" s="1" t="s">
        <v>247</v>
      </c>
      <c r="E256" s="1" t="s">
        <v>58</v>
      </c>
      <c r="G256" s="1" t="s">
        <v>26</v>
      </c>
      <c r="H256" s="1">
        <v>2023.0</v>
      </c>
      <c r="I256" s="1" t="s">
        <v>240</v>
      </c>
    </row>
    <row r="257">
      <c r="A257" s="1">
        <v>255.0</v>
      </c>
      <c r="B257" s="1">
        <v>2.0</v>
      </c>
      <c r="C257" s="1">
        <v>0.904178947291011</v>
      </c>
      <c r="D257" s="1" t="s">
        <v>248</v>
      </c>
      <c r="E257" s="1" t="s">
        <v>58</v>
      </c>
      <c r="G257" s="1" t="s">
        <v>26</v>
      </c>
      <c r="H257" s="1">
        <v>2023.0</v>
      </c>
      <c r="I257" s="1" t="s">
        <v>240</v>
      </c>
    </row>
    <row r="258">
      <c r="A258" s="1">
        <v>256.0</v>
      </c>
      <c r="B258" s="1">
        <v>9.0</v>
      </c>
      <c r="C258" s="1">
        <v>0.509107289429112</v>
      </c>
      <c r="D258" s="1" t="s">
        <v>249</v>
      </c>
      <c r="E258" s="1" t="s">
        <v>58</v>
      </c>
      <c r="G258" s="1" t="s">
        <v>26</v>
      </c>
      <c r="H258" s="1">
        <v>2023.0</v>
      </c>
      <c r="I258" s="1" t="s">
        <v>240</v>
      </c>
    </row>
    <row r="259">
      <c r="A259" s="1">
        <v>257.0</v>
      </c>
      <c r="B259" s="1">
        <v>2.0</v>
      </c>
      <c r="C259" s="1">
        <v>0.611153960949155</v>
      </c>
      <c r="D259" s="1" t="s">
        <v>250</v>
      </c>
      <c r="E259" s="1" t="s">
        <v>58</v>
      </c>
      <c r="G259" s="1" t="s">
        <v>26</v>
      </c>
      <c r="H259" s="1">
        <v>2023.0</v>
      </c>
      <c r="I259" s="1" t="s">
        <v>240</v>
      </c>
    </row>
    <row r="260">
      <c r="A260" s="1">
        <v>258.0</v>
      </c>
      <c r="B260" s="1">
        <v>2.0</v>
      </c>
      <c r="C260" s="1">
        <v>0.459094067897557</v>
      </c>
      <c r="D260" s="1" t="s">
        <v>251</v>
      </c>
      <c r="E260" s="1" t="s">
        <v>58</v>
      </c>
      <c r="G260" s="1" t="s">
        <v>26</v>
      </c>
      <c r="H260" s="1">
        <v>2023.0</v>
      </c>
      <c r="I260" s="1" t="s">
        <v>240</v>
      </c>
    </row>
    <row r="261">
      <c r="A261" s="1">
        <v>259.0</v>
      </c>
      <c r="B261" s="1">
        <v>2.0</v>
      </c>
      <c r="C261" s="1">
        <v>0.468953386941233</v>
      </c>
      <c r="D261" s="1" t="s">
        <v>252</v>
      </c>
      <c r="E261" s="1" t="s">
        <v>17</v>
      </c>
      <c r="F261" s="1" t="s">
        <v>118</v>
      </c>
      <c r="H261" s="1">
        <v>2023.0</v>
      </c>
      <c r="I261" s="1" t="s">
        <v>240</v>
      </c>
    </row>
    <row r="262">
      <c r="A262" s="1">
        <v>260.0</v>
      </c>
      <c r="B262" s="1">
        <v>4.0</v>
      </c>
      <c r="C262" s="1">
        <v>0.351727995748875</v>
      </c>
      <c r="D262" s="1" t="s">
        <v>253</v>
      </c>
      <c r="E262" s="1" t="s">
        <v>17</v>
      </c>
      <c r="F262" s="1" t="s">
        <v>118</v>
      </c>
      <c r="H262" s="1">
        <v>2023.0</v>
      </c>
      <c r="I262" s="1" t="s">
        <v>240</v>
      </c>
    </row>
    <row r="263">
      <c r="A263" s="1">
        <v>261.0</v>
      </c>
      <c r="B263" s="1">
        <v>2.0</v>
      </c>
      <c r="C263" s="1">
        <v>0.528763201014068</v>
      </c>
      <c r="D263" s="1" t="s">
        <v>254</v>
      </c>
      <c r="E263" s="1" t="s">
        <v>17</v>
      </c>
      <c r="F263" s="1" t="s">
        <v>118</v>
      </c>
      <c r="H263" s="1">
        <v>2023.0</v>
      </c>
      <c r="I263" s="1" t="s">
        <v>240</v>
      </c>
    </row>
    <row r="264">
      <c r="A264" s="1">
        <v>262.0</v>
      </c>
      <c r="B264" s="1">
        <v>2.0</v>
      </c>
      <c r="C264" s="1">
        <v>0.563075360730115</v>
      </c>
      <c r="D264" s="1" t="s">
        <v>255</v>
      </c>
      <c r="E264" s="1" t="s">
        <v>17</v>
      </c>
      <c r="F264" s="1" t="s">
        <v>118</v>
      </c>
      <c r="H264" s="1">
        <v>2023.0</v>
      </c>
      <c r="I264" s="1" t="s">
        <v>240</v>
      </c>
    </row>
    <row r="265">
      <c r="A265" s="1">
        <v>263.0</v>
      </c>
      <c r="B265" s="1">
        <v>2.0</v>
      </c>
      <c r="C265" s="1">
        <v>0.896855108599778</v>
      </c>
      <c r="D265" s="1" t="s">
        <v>256</v>
      </c>
      <c r="E265" s="1" t="s">
        <v>17</v>
      </c>
      <c r="F265" s="1" t="s">
        <v>118</v>
      </c>
      <c r="H265" s="1">
        <v>2023.0</v>
      </c>
      <c r="I265" s="1" t="s">
        <v>240</v>
      </c>
    </row>
    <row r="266">
      <c r="A266" s="1">
        <v>264.0</v>
      </c>
      <c r="B266" s="1">
        <v>2.0</v>
      </c>
      <c r="C266" s="1">
        <v>0.798501626367762</v>
      </c>
      <c r="D266" s="1" t="s">
        <v>257</v>
      </c>
      <c r="E266" s="1" t="s">
        <v>17</v>
      </c>
      <c r="F266" s="1" t="s">
        <v>118</v>
      </c>
      <c r="H266" s="1">
        <v>2023.0</v>
      </c>
      <c r="I266" s="1" t="s">
        <v>240</v>
      </c>
    </row>
    <row r="267">
      <c r="A267" s="1">
        <v>265.0</v>
      </c>
      <c r="B267" s="1">
        <v>2.0</v>
      </c>
      <c r="C267" s="1">
        <v>0.864823190813636</v>
      </c>
      <c r="D267" s="1" t="s">
        <v>258</v>
      </c>
      <c r="E267" s="1" t="s">
        <v>17</v>
      </c>
      <c r="F267" s="1" t="s">
        <v>118</v>
      </c>
      <c r="H267" s="1">
        <v>2023.0</v>
      </c>
      <c r="I267" s="1" t="s">
        <v>240</v>
      </c>
    </row>
    <row r="268">
      <c r="A268" s="1">
        <v>266.0</v>
      </c>
      <c r="B268" s="1">
        <v>9.0</v>
      </c>
      <c r="C268" s="1">
        <v>0.576295150596775</v>
      </c>
      <c r="D268" s="1" t="s">
        <v>259</v>
      </c>
      <c r="E268" s="1" t="s">
        <v>17</v>
      </c>
      <c r="F268" s="1" t="s">
        <v>118</v>
      </c>
      <c r="H268" s="1">
        <v>2023.0</v>
      </c>
      <c r="I268" s="1" t="s">
        <v>240</v>
      </c>
    </row>
    <row r="269">
      <c r="A269" s="1">
        <v>267.0</v>
      </c>
      <c r="B269" s="1">
        <v>2.0</v>
      </c>
      <c r="C269" s="1">
        <v>0.635515341855</v>
      </c>
      <c r="D269" s="1" t="s">
        <v>260</v>
      </c>
      <c r="E269" s="1" t="s">
        <v>17</v>
      </c>
      <c r="F269" s="1" t="s">
        <v>118</v>
      </c>
      <c r="H269" s="1">
        <v>2023.0</v>
      </c>
      <c r="I269" s="1" t="s">
        <v>240</v>
      </c>
    </row>
    <row r="270">
      <c r="A270" s="1">
        <v>268.0</v>
      </c>
      <c r="B270" s="1">
        <v>2.0</v>
      </c>
      <c r="C270" s="1">
        <v>0.456351603080385</v>
      </c>
      <c r="D270" s="1" t="s">
        <v>261</v>
      </c>
      <c r="E270" s="1" t="s">
        <v>17</v>
      </c>
      <c r="F270" s="1" t="s">
        <v>118</v>
      </c>
      <c r="H270" s="1">
        <v>2023.0</v>
      </c>
      <c r="I270" s="1" t="s">
        <v>240</v>
      </c>
    </row>
    <row r="271">
      <c r="A271" s="1">
        <v>269.0</v>
      </c>
      <c r="B271" s="1">
        <v>2.0</v>
      </c>
      <c r="C271" s="1">
        <v>0.91920039062588</v>
      </c>
      <c r="D271" s="1" t="s">
        <v>262</v>
      </c>
      <c r="F271" s="1" t="s">
        <v>178</v>
      </c>
      <c r="H271" s="1">
        <v>2024.0</v>
      </c>
      <c r="I271" s="1" t="s">
        <v>240</v>
      </c>
    </row>
    <row r="272">
      <c r="A272" s="1">
        <v>270.0</v>
      </c>
      <c r="B272" s="1">
        <v>2.0</v>
      </c>
      <c r="C272" s="1">
        <v>0.874480058466928</v>
      </c>
      <c r="D272" s="1" t="s">
        <v>263</v>
      </c>
      <c r="E272" s="1" t="s">
        <v>10</v>
      </c>
      <c r="F272" s="1" t="s">
        <v>18</v>
      </c>
      <c r="G272" s="1" t="s">
        <v>42</v>
      </c>
      <c r="H272" s="1">
        <v>2022.0</v>
      </c>
      <c r="I272" s="1" t="s">
        <v>240</v>
      </c>
    </row>
    <row r="273">
      <c r="A273" s="1">
        <v>271.0</v>
      </c>
      <c r="B273" s="1">
        <v>8.0</v>
      </c>
      <c r="C273" s="1">
        <v>0.939484838119331</v>
      </c>
      <c r="D273" s="1" t="s">
        <v>264</v>
      </c>
      <c r="E273" s="1" t="s">
        <v>10</v>
      </c>
      <c r="F273" s="1" t="s">
        <v>18</v>
      </c>
      <c r="G273" s="1" t="s">
        <v>42</v>
      </c>
      <c r="H273" s="1">
        <v>2022.0</v>
      </c>
      <c r="I273" s="1" t="s">
        <v>240</v>
      </c>
    </row>
    <row r="274">
      <c r="A274" s="1">
        <v>272.0</v>
      </c>
      <c r="B274" s="1">
        <v>8.0</v>
      </c>
      <c r="C274" s="1">
        <v>0.979068515527199</v>
      </c>
      <c r="D274" s="1" t="s">
        <v>265</v>
      </c>
      <c r="E274" s="1" t="s">
        <v>10</v>
      </c>
      <c r="F274" s="1" t="s">
        <v>18</v>
      </c>
      <c r="G274" s="1" t="s">
        <v>42</v>
      </c>
      <c r="H274" s="1">
        <v>2022.0</v>
      </c>
      <c r="I274" s="1" t="s">
        <v>240</v>
      </c>
    </row>
    <row r="275">
      <c r="A275" s="1">
        <v>273.0</v>
      </c>
      <c r="B275" s="1">
        <v>2.0</v>
      </c>
      <c r="C275" s="1">
        <v>0.478562855856381</v>
      </c>
      <c r="D275" s="1" t="s">
        <v>266</v>
      </c>
      <c r="E275" s="1" t="s">
        <v>124</v>
      </c>
      <c r="F275" s="1" t="s">
        <v>178</v>
      </c>
      <c r="H275" s="1">
        <v>2024.0</v>
      </c>
      <c r="I275" s="1" t="s">
        <v>240</v>
      </c>
    </row>
    <row r="276">
      <c r="A276" s="1">
        <v>274.0</v>
      </c>
      <c r="B276" s="1">
        <v>2.0</v>
      </c>
      <c r="C276" s="1">
        <v>0.477989613139156</v>
      </c>
      <c r="D276" s="1" t="s">
        <v>267</v>
      </c>
      <c r="E276" s="1" t="s">
        <v>124</v>
      </c>
      <c r="F276" s="1" t="s">
        <v>178</v>
      </c>
      <c r="H276" s="1">
        <v>2024.0</v>
      </c>
      <c r="I276" s="1" t="s">
        <v>240</v>
      </c>
    </row>
    <row r="277">
      <c r="A277" s="1">
        <v>275.0</v>
      </c>
      <c r="B277" s="1">
        <v>4.0</v>
      </c>
      <c r="C277" s="1">
        <v>0.520532862889008</v>
      </c>
      <c r="D277" s="1" t="s">
        <v>268</v>
      </c>
      <c r="E277" s="1" t="s">
        <v>124</v>
      </c>
      <c r="F277" s="1" t="s">
        <v>178</v>
      </c>
      <c r="H277" s="1">
        <v>2024.0</v>
      </c>
      <c r="I277" s="1" t="s">
        <v>240</v>
      </c>
    </row>
    <row r="278">
      <c r="A278" s="1">
        <v>276.0</v>
      </c>
      <c r="B278" s="1">
        <v>4.0</v>
      </c>
      <c r="C278" s="1">
        <v>0.542522707234367</v>
      </c>
      <c r="D278" s="1" t="s">
        <v>269</v>
      </c>
      <c r="E278" s="1" t="s">
        <v>124</v>
      </c>
      <c r="F278" s="1" t="s">
        <v>178</v>
      </c>
      <c r="H278" s="1">
        <v>2024.0</v>
      </c>
      <c r="I278" s="1" t="s">
        <v>240</v>
      </c>
    </row>
    <row r="279">
      <c r="A279" s="1">
        <v>277.0</v>
      </c>
      <c r="B279" s="1">
        <v>2.0</v>
      </c>
      <c r="C279" s="1">
        <v>0.840766718749943</v>
      </c>
      <c r="D279" s="1" t="s">
        <v>270</v>
      </c>
      <c r="E279" s="1" t="s">
        <v>124</v>
      </c>
      <c r="F279" s="1" t="s">
        <v>178</v>
      </c>
      <c r="H279" s="1">
        <v>2024.0</v>
      </c>
      <c r="I279" s="1" t="s">
        <v>240</v>
      </c>
    </row>
    <row r="280">
      <c r="A280" s="1">
        <v>278.0</v>
      </c>
      <c r="B280" s="1">
        <v>2.0</v>
      </c>
      <c r="C280" s="1">
        <v>0.596337845059369</v>
      </c>
      <c r="D280" s="1" t="s">
        <v>271</v>
      </c>
      <c r="E280" s="1" t="s">
        <v>124</v>
      </c>
      <c r="F280" s="1" t="s">
        <v>178</v>
      </c>
      <c r="H280" s="1">
        <v>2024.0</v>
      </c>
      <c r="I280" s="1" t="s">
        <v>240</v>
      </c>
    </row>
    <row r="281">
      <c r="A281" s="1">
        <v>279.0</v>
      </c>
      <c r="B281" s="1">
        <v>2.0</v>
      </c>
      <c r="C281" s="1">
        <v>0.973523918377113</v>
      </c>
      <c r="D281" s="1" t="s">
        <v>272</v>
      </c>
      <c r="E281" s="1" t="s">
        <v>124</v>
      </c>
      <c r="F281" s="1" t="s">
        <v>178</v>
      </c>
      <c r="H281" s="1">
        <v>2024.0</v>
      </c>
      <c r="I281" s="1" t="s">
        <v>240</v>
      </c>
    </row>
    <row r="282">
      <c r="A282" s="1">
        <v>280.0</v>
      </c>
      <c r="B282" s="1">
        <v>2.0</v>
      </c>
      <c r="C282" s="1">
        <v>0.810376021899805</v>
      </c>
      <c r="D282" s="1" t="s">
        <v>273</v>
      </c>
      <c r="E282" s="1" t="s">
        <v>124</v>
      </c>
      <c r="F282" s="1" t="s">
        <v>178</v>
      </c>
      <c r="H282" s="1">
        <v>2024.0</v>
      </c>
      <c r="I282" s="1" t="s">
        <v>240</v>
      </c>
    </row>
    <row r="283">
      <c r="A283" s="1">
        <v>281.0</v>
      </c>
      <c r="B283" s="1">
        <v>2.0</v>
      </c>
      <c r="C283" s="1">
        <v>0.547164361827672</v>
      </c>
      <c r="D283" s="1" t="s">
        <v>274</v>
      </c>
      <c r="E283" s="1" t="s">
        <v>107</v>
      </c>
      <c r="G283" s="1" t="s">
        <v>11</v>
      </c>
      <c r="H283" s="1">
        <v>2019.0</v>
      </c>
      <c r="I283" s="1" t="s">
        <v>240</v>
      </c>
    </row>
    <row r="284">
      <c r="A284" s="1">
        <v>282.0</v>
      </c>
      <c r="B284" s="1">
        <v>2.0</v>
      </c>
      <c r="C284" s="1">
        <v>0.651796095813986</v>
      </c>
      <c r="D284" s="1" t="s">
        <v>275</v>
      </c>
      <c r="E284" s="1" t="s">
        <v>107</v>
      </c>
      <c r="G284" s="1" t="s">
        <v>11</v>
      </c>
      <c r="H284" s="1">
        <v>2019.0</v>
      </c>
      <c r="I284" s="1" t="s">
        <v>240</v>
      </c>
    </row>
    <row r="285">
      <c r="A285" s="1">
        <v>283.0</v>
      </c>
      <c r="B285" s="1">
        <v>2.0</v>
      </c>
      <c r="C285" s="1">
        <v>0.679474292184907</v>
      </c>
      <c r="D285" s="1" t="s">
        <v>276</v>
      </c>
      <c r="E285" s="1" t="s">
        <v>107</v>
      </c>
      <c r="G285" s="1" t="s">
        <v>11</v>
      </c>
      <c r="H285" s="1">
        <v>2019.0</v>
      </c>
      <c r="I285" s="1" t="s">
        <v>240</v>
      </c>
    </row>
    <row r="286">
      <c r="A286" s="1">
        <v>284.0</v>
      </c>
      <c r="B286" s="1">
        <v>2.0</v>
      </c>
      <c r="C286" s="1">
        <v>0.534958447221302</v>
      </c>
      <c r="D286" s="1" t="s">
        <v>277</v>
      </c>
      <c r="E286" s="1" t="s">
        <v>107</v>
      </c>
      <c r="G286" s="1" t="s">
        <v>11</v>
      </c>
      <c r="H286" s="1">
        <v>2019.0</v>
      </c>
      <c r="I286" s="1" t="s">
        <v>240</v>
      </c>
    </row>
    <row r="287">
      <c r="A287" s="1">
        <v>285.0</v>
      </c>
      <c r="B287" s="1">
        <v>2.0</v>
      </c>
      <c r="C287" s="1">
        <v>0.884296723924459</v>
      </c>
      <c r="D287" s="1" t="s">
        <v>278</v>
      </c>
      <c r="E287" s="1" t="s">
        <v>107</v>
      </c>
      <c r="G287" s="1" t="s">
        <v>11</v>
      </c>
      <c r="H287" s="1">
        <v>2019.0</v>
      </c>
      <c r="I287" s="1" t="s">
        <v>240</v>
      </c>
    </row>
    <row r="288">
      <c r="A288" s="1">
        <v>286.0</v>
      </c>
      <c r="B288" s="1">
        <v>9.0</v>
      </c>
      <c r="C288" s="1">
        <v>0.334925309123353</v>
      </c>
      <c r="D288" s="1" t="s">
        <v>279</v>
      </c>
      <c r="E288" s="1" t="s">
        <v>107</v>
      </c>
      <c r="G288" s="1" t="s">
        <v>11</v>
      </c>
      <c r="H288" s="1">
        <v>2019.0</v>
      </c>
      <c r="I288" s="1" t="s">
        <v>240</v>
      </c>
    </row>
    <row r="289">
      <c r="A289" s="1">
        <v>287.0</v>
      </c>
      <c r="B289" s="1">
        <v>2.0</v>
      </c>
      <c r="C289" s="1">
        <v>0.558474576498082</v>
      </c>
      <c r="D289" s="1" t="s">
        <v>280</v>
      </c>
      <c r="E289" s="1" t="s">
        <v>107</v>
      </c>
      <c r="G289" s="1" t="s">
        <v>11</v>
      </c>
      <c r="H289" s="1">
        <v>2019.0</v>
      </c>
      <c r="I289" s="1" t="s">
        <v>240</v>
      </c>
    </row>
    <row r="290">
      <c r="A290" s="1">
        <v>288.0</v>
      </c>
      <c r="B290" s="1">
        <v>2.0</v>
      </c>
      <c r="C290" s="1">
        <v>0.723752614186093</v>
      </c>
      <c r="D290" s="1" t="s">
        <v>281</v>
      </c>
      <c r="E290" s="1" t="s">
        <v>107</v>
      </c>
      <c r="G290" s="1" t="s">
        <v>11</v>
      </c>
      <c r="H290" s="1">
        <v>2019.0</v>
      </c>
      <c r="I290" s="1" t="s">
        <v>240</v>
      </c>
    </row>
    <row r="291">
      <c r="A291" s="1">
        <v>289.0</v>
      </c>
      <c r="B291" s="1">
        <v>2.0</v>
      </c>
      <c r="C291" s="1">
        <v>0.656682880427706</v>
      </c>
      <c r="D291" s="1" t="s">
        <v>282</v>
      </c>
      <c r="E291" s="1" t="s">
        <v>107</v>
      </c>
      <c r="G291" s="1" t="s">
        <v>11</v>
      </c>
      <c r="H291" s="1">
        <v>2019.0</v>
      </c>
      <c r="I291" s="1" t="s">
        <v>240</v>
      </c>
    </row>
    <row r="292">
      <c r="A292" s="1">
        <v>290.0</v>
      </c>
      <c r="B292" s="1">
        <v>6.0</v>
      </c>
      <c r="C292" s="1">
        <v>0.604199729123705</v>
      </c>
      <c r="D292" s="1" t="s">
        <v>283</v>
      </c>
      <c r="E292" s="1" t="s">
        <v>47</v>
      </c>
      <c r="G292" s="1" t="s">
        <v>284</v>
      </c>
      <c r="H292" s="1">
        <v>2022.0</v>
      </c>
      <c r="I292" s="1" t="s">
        <v>240</v>
      </c>
    </row>
    <row r="293">
      <c r="A293" s="1">
        <v>291.0</v>
      </c>
      <c r="B293" s="1">
        <v>9.0</v>
      </c>
      <c r="C293" s="1">
        <v>0.963996577589059</v>
      </c>
      <c r="D293" s="1" t="s">
        <v>285</v>
      </c>
      <c r="E293" s="1" t="s">
        <v>47</v>
      </c>
      <c r="G293" s="1" t="s">
        <v>284</v>
      </c>
      <c r="H293" s="1">
        <v>2022.0</v>
      </c>
      <c r="I293" s="1" t="s">
        <v>240</v>
      </c>
    </row>
    <row r="294">
      <c r="A294" s="1">
        <v>292.0</v>
      </c>
      <c r="B294" s="1">
        <v>10.0</v>
      </c>
      <c r="C294" s="1">
        <v>0.970967022980637</v>
      </c>
      <c r="D294" s="1" t="s">
        <v>81</v>
      </c>
      <c r="E294" s="1" t="s">
        <v>47</v>
      </c>
      <c r="G294" s="1" t="s">
        <v>284</v>
      </c>
      <c r="H294" s="1">
        <v>2022.0</v>
      </c>
      <c r="I294" s="1" t="s">
        <v>240</v>
      </c>
    </row>
    <row r="295">
      <c r="A295" s="1">
        <v>293.0</v>
      </c>
      <c r="B295" s="1">
        <v>10.0</v>
      </c>
      <c r="C295" s="1">
        <v>0.97096703982222</v>
      </c>
      <c r="D295" s="1" t="s">
        <v>82</v>
      </c>
      <c r="E295" s="1" t="s">
        <v>47</v>
      </c>
      <c r="G295" s="1" t="s">
        <v>284</v>
      </c>
      <c r="H295" s="1">
        <v>2022.0</v>
      </c>
      <c r="I295" s="1" t="s">
        <v>240</v>
      </c>
    </row>
    <row r="296">
      <c r="A296" s="1">
        <v>294.0</v>
      </c>
      <c r="B296" s="1">
        <v>10.0</v>
      </c>
      <c r="C296" s="1">
        <v>0.970967089324326</v>
      </c>
      <c r="D296" s="1" t="s">
        <v>83</v>
      </c>
      <c r="E296" s="1" t="s">
        <v>47</v>
      </c>
      <c r="G296" s="1" t="s">
        <v>284</v>
      </c>
      <c r="H296" s="1">
        <v>2022.0</v>
      </c>
      <c r="I296" s="1" t="s">
        <v>240</v>
      </c>
    </row>
    <row r="297">
      <c r="A297" s="1">
        <v>295.0</v>
      </c>
      <c r="B297" s="1">
        <v>10.0</v>
      </c>
      <c r="C297" s="1">
        <v>0.971874237792835</v>
      </c>
      <c r="D297" s="1" t="s">
        <v>84</v>
      </c>
      <c r="E297" s="1" t="s">
        <v>47</v>
      </c>
      <c r="G297" s="1" t="s">
        <v>284</v>
      </c>
      <c r="H297" s="1">
        <v>2022.0</v>
      </c>
      <c r="I297" s="1" t="s">
        <v>240</v>
      </c>
    </row>
    <row r="298">
      <c r="A298" s="1">
        <v>296.0</v>
      </c>
      <c r="B298" s="1">
        <v>10.0</v>
      </c>
      <c r="C298" s="1">
        <v>0.972726657928334</v>
      </c>
      <c r="D298" s="1" t="s">
        <v>217</v>
      </c>
      <c r="E298" s="1" t="s">
        <v>47</v>
      </c>
      <c r="G298" s="1" t="s">
        <v>284</v>
      </c>
      <c r="H298" s="1">
        <v>2022.0</v>
      </c>
      <c r="I298" s="1" t="s">
        <v>240</v>
      </c>
    </row>
    <row r="299">
      <c r="A299" s="1">
        <v>297.0</v>
      </c>
      <c r="B299" s="1">
        <v>10.0</v>
      </c>
      <c r="C299" s="1">
        <v>0.974285122665352</v>
      </c>
      <c r="D299" s="1" t="s">
        <v>218</v>
      </c>
      <c r="E299" s="1" t="s">
        <v>47</v>
      </c>
      <c r="G299" s="1" t="s">
        <v>284</v>
      </c>
      <c r="H299" s="1">
        <v>2022.0</v>
      </c>
      <c r="I299" s="1" t="s">
        <v>240</v>
      </c>
    </row>
    <row r="300">
      <c r="A300" s="1">
        <v>298.0</v>
      </c>
      <c r="B300" s="1">
        <v>2.0</v>
      </c>
      <c r="C300" s="1">
        <v>0.818328732026731</v>
      </c>
      <c r="D300" s="1" t="s">
        <v>286</v>
      </c>
      <c r="E300" s="1" t="s">
        <v>41</v>
      </c>
      <c r="G300" s="1" t="s">
        <v>11</v>
      </c>
      <c r="I300" s="1" t="s">
        <v>240</v>
      </c>
    </row>
    <row r="301">
      <c r="A301" s="1">
        <v>299.0</v>
      </c>
      <c r="B301" s="1">
        <v>2.0</v>
      </c>
      <c r="C301" s="1">
        <v>0.839917067400399</v>
      </c>
      <c r="D301" s="1" t="s">
        <v>287</v>
      </c>
      <c r="E301" s="1" t="s">
        <v>41</v>
      </c>
      <c r="G301" s="1" t="s">
        <v>11</v>
      </c>
      <c r="I301" s="1" t="s">
        <v>240</v>
      </c>
    </row>
    <row r="302">
      <c r="A302" s="1">
        <v>300.0</v>
      </c>
      <c r="B302" s="1">
        <v>2.0</v>
      </c>
      <c r="C302" s="1">
        <v>0.761437689172622</v>
      </c>
      <c r="D302" s="1" t="s">
        <v>288</v>
      </c>
      <c r="E302" s="1" t="s">
        <v>17</v>
      </c>
      <c r="F302" s="1" t="s">
        <v>18</v>
      </c>
      <c r="I302" s="1" t="s">
        <v>240</v>
      </c>
    </row>
    <row r="303">
      <c r="A303" s="1">
        <v>301.0</v>
      </c>
      <c r="B303" s="1">
        <v>2.0</v>
      </c>
      <c r="C303" s="1">
        <v>0.61938713754693</v>
      </c>
      <c r="D303" s="1" t="s">
        <v>289</v>
      </c>
      <c r="E303" s="1" t="s">
        <v>17</v>
      </c>
      <c r="F303" s="1" t="s">
        <v>18</v>
      </c>
      <c r="I303" s="1" t="s">
        <v>240</v>
      </c>
    </row>
    <row r="304">
      <c r="A304" s="1">
        <v>302.0</v>
      </c>
      <c r="B304" s="1">
        <v>6.0</v>
      </c>
      <c r="C304" s="1">
        <v>0.907680476646591</v>
      </c>
      <c r="D304" s="1" t="s">
        <v>290</v>
      </c>
      <c r="E304" s="1" t="s">
        <v>24</v>
      </c>
      <c r="F304" s="1" t="s">
        <v>18</v>
      </c>
      <c r="G304" s="1" t="s">
        <v>42</v>
      </c>
      <c r="H304" s="1">
        <v>2024.0</v>
      </c>
      <c r="I304" s="1" t="s">
        <v>240</v>
      </c>
    </row>
    <row r="305">
      <c r="A305" s="1">
        <v>303.0</v>
      </c>
      <c r="B305" s="1">
        <v>8.0</v>
      </c>
      <c r="C305" s="1">
        <v>0.520620273020768</v>
      </c>
      <c r="D305" s="1" t="s">
        <v>291</v>
      </c>
      <c r="E305" s="1" t="s">
        <v>24</v>
      </c>
      <c r="F305" s="1" t="s">
        <v>18</v>
      </c>
      <c r="G305" s="1" t="s">
        <v>42</v>
      </c>
      <c r="H305" s="1">
        <v>2024.0</v>
      </c>
      <c r="I305" s="1" t="s">
        <v>240</v>
      </c>
    </row>
    <row r="306">
      <c r="A306" s="1">
        <v>304.0</v>
      </c>
      <c r="B306" s="1">
        <v>8.0</v>
      </c>
      <c r="C306" s="1">
        <v>0.749434270529358</v>
      </c>
      <c r="D306" s="1" t="s">
        <v>292</v>
      </c>
      <c r="E306" s="1" t="s">
        <v>24</v>
      </c>
      <c r="F306" s="1" t="s">
        <v>18</v>
      </c>
      <c r="G306" s="1" t="s">
        <v>42</v>
      </c>
      <c r="H306" s="1">
        <v>2024.0</v>
      </c>
      <c r="I306" s="1" t="s">
        <v>240</v>
      </c>
    </row>
    <row r="307">
      <c r="A307" s="1">
        <v>305.0</v>
      </c>
      <c r="B307" s="1">
        <v>8.0</v>
      </c>
      <c r="C307" s="1">
        <v>0.641789860320139</v>
      </c>
      <c r="D307" s="1" t="s">
        <v>293</v>
      </c>
      <c r="E307" s="1" t="s">
        <v>24</v>
      </c>
      <c r="F307" s="1" t="s">
        <v>18</v>
      </c>
      <c r="G307" s="1" t="s">
        <v>42</v>
      </c>
      <c r="H307" s="1">
        <v>2024.0</v>
      </c>
      <c r="I307" s="1" t="s">
        <v>240</v>
      </c>
    </row>
    <row r="308">
      <c r="A308" s="1">
        <v>306.0</v>
      </c>
      <c r="B308" s="1">
        <v>8.0</v>
      </c>
      <c r="C308" s="1">
        <v>0.530063336335486</v>
      </c>
      <c r="D308" s="1" t="s">
        <v>294</v>
      </c>
      <c r="E308" s="1" t="s">
        <v>24</v>
      </c>
      <c r="F308" s="1" t="s">
        <v>18</v>
      </c>
      <c r="G308" s="1" t="s">
        <v>42</v>
      </c>
      <c r="H308" s="1">
        <v>2024.0</v>
      </c>
      <c r="I308" s="1" t="s">
        <v>240</v>
      </c>
    </row>
    <row r="309">
      <c r="A309" s="1">
        <v>307.0</v>
      </c>
      <c r="B309" s="1">
        <v>10.0</v>
      </c>
      <c r="C309" s="1">
        <v>0.646303077019581</v>
      </c>
      <c r="D309" s="1" t="s">
        <v>295</v>
      </c>
      <c r="E309" s="1" t="s">
        <v>24</v>
      </c>
      <c r="F309" s="1" t="s">
        <v>18</v>
      </c>
      <c r="G309" s="1" t="s">
        <v>42</v>
      </c>
      <c r="H309" s="1">
        <v>2024.0</v>
      </c>
      <c r="I309" s="1" t="s">
        <v>240</v>
      </c>
    </row>
    <row r="310">
      <c r="A310" s="1">
        <v>308.0</v>
      </c>
      <c r="B310" s="1">
        <v>10.0</v>
      </c>
      <c r="C310" s="1">
        <v>0.971871346352641</v>
      </c>
      <c r="D310" s="1" t="s">
        <v>296</v>
      </c>
      <c r="E310" s="1" t="s">
        <v>24</v>
      </c>
      <c r="F310" s="1" t="s">
        <v>18</v>
      </c>
      <c r="G310" s="1" t="s">
        <v>42</v>
      </c>
      <c r="H310" s="1">
        <v>2024.0</v>
      </c>
      <c r="I310" s="1" t="s">
        <v>240</v>
      </c>
    </row>
    <row r="311">
      <c r="A311" s="1">
        <v>309.0</v>
      </c>
      <c r="B311" s="1">
        <v>2.0</v>
      </c>
      <c r="C311" s="1">
        <v>0.673713962412011</v>
      </c>
      <c r="D311" s="1" t="s">
        <v>297</v>
      </c>
      <c r="E311" s="1" t="s">
        <v>24</v>
      </c>
      <c r="F311" s="1" t="s">
        <v>18</v>
      </c>
      <c r="G311" s="1" t="s">
        <v>42</v>
      </c>
      <c r="H311" s="1">
        <v>2024.0</v>
      </c>
      <c r="I311" s="1" t="s">
        <v>240</v>
      </c>
    </row>
    <row r="312">
      <c r="A312" s="1">
        <v>310.0</v>
      </c>
      <c r="B312" s="1">
        <v>2.0</v>
      </c>
      <c r="C312" s="1">
        <v>0.91038882714742</v>
      </c>
      <c r="D312" s="1" t="s">
        <v>298</v>
      </c>
      <c r="E312" s="1" t="s">
        <v>24</v>
      </c>
      <c r="F312" s="1" t="s">
        <v>18</v>
      </c>
      <c r="G312" s="1" t="s">
        <v>42</v>
      </c>
      <c r="H312" s="1">
        <v>2024.0</v>
      </c>
      <c r="I312" s="1" t="s">
        <v>240</v>
      </c>
    </row>
    <row r="313">
      <c r="A313" s="1">
        <v>311.0</v>
      </c>
      <c r="B313" s="1">
        <v>2.0</v>
      </c>
      <c r="C313" s="1">
        <v>0.713274231492966</v>
      </c>
      <c r="D313" s="1" t="s">
        <v>299</v>
      </c>
      <c r="E313" s="1" t="s">
        <v>24</v>
      </c>
      <c r="F313" s="1" t="s">
        <v>18</v>
      </c>
      <c r="G313" s="1" t="s">
        <v>42</v>
      </c>
      <c r="H313" s="1">
        <v>2024.0</v>
      </c>
      <c r="I313" s="1" t="s">
        <v>240</v>
      </c>
    </row>
    <row r="314">
      <c r="A314" s="1">
        <v>312.0</v>
      </c>
      <c r="B314" s="1">
        <v>2.0</v>
      </c>
      <c r="C314" s="1">
        <v>0.744776963213684</v>
      </c>
      <c r="D314" s="1" t="s">
        <v>300</v>
      </c>
      <c r="E314" s="1" t="s">
        <v>24</v>
      </c>
      <c r="F314" s="1" t="s">
        <v>18</v>
      </c>
      <c r="G314" s="1" t="s">
        <v>42</v>
      </c>
      <c r="H314" s="1">
        <v>2024.0</v>
      </c>
      <c r="I314" s="1" t="s">
        <v>240</v>
      </c>
    </row>
    <row r="315">
      <c r="A315" s="1">
        <v>313.0</v>
      </c>
      <c r="B315" s="1">
        <v>2.0</v>
      </c>
      <c r="C315" s="1">
        <v>0.491084251973119</v>
      </c>
      <c r="D315" s="1" t="s">
        <v>301</v>
      </c>
      <c r="E315" s="1" t="s">
        <v>24</v>
      </c>
      <c r="F315" s="1" t="s">
        <v>18</v>
      </c>
      <c r="G315" s="1" t="s">
        <v>42</v>
      </c>
      <c r="H315" s="1">
        <v>2024.0</v>
      </c>
      <c r="I315" s="1" t="s">
        <v>240</v>
      </c>
    </row>
    <row r="316">
      <c r="A316" s="1">
        <v>314.0</v>
      </c>
      <c r="B316" s="1">
        <v>2.0</v>
      </c>
      <c r="C316" s="1">
        <v>0.695379567819875</v>
      </c>
      <c r="D316" s="1" t="s">
        <v>302</v>
      </c>
      <c r="E316" s="1" t="s">
        <v>17</v>
      </c>
      <c r="F316" s="1" t="s">
        <v>18</v>
      </c>
      <c r="G316" s="1">
        <v>10.0</v>
      </c>
      <c r="H316" s="1">
        <v>2024.0</v>
      </c>
      <c r="I316" s="1" t="s">
        <v>240</v>
      </c>
    </row>
    <row r="317">
      <c r="A317" s="1">
        <v>315.0</v>
      </c>
      <c r="B317" s="1">
        <v>2.0</v>
      </c>
      <c r="C317" s="1">
        <v>0.963995574825293</v>
      </c>
      <c r="D317" s="1" t="s">
        <v>303</v>
      </c>
      <c r="E317" s="1" t="s">
        <v>17</v>
      </c>
      <c r="F317" s="1" t="s">
        <v>18</v>
      </c>
      <c r="G317" s="1">
        <v>10.0</v>
      </c>
      <c r="H317" s="1">
        <v>2024.0</v>
      </c>
      <c r="I317" s="1" t="s">
        <v>240</v>
      </c>
    </row>
    <row r="318">
      <c r="A318" s="1">
        <v>316.0</v>
      </c>
      <c r="B318" s="1">
        <v>2.0</v>
      </c>
      <c r="C318" s="1">
        <v>0.819476594216477</v>
      </c>
      <c r="D318" s="1" t="s">
        <v>304</v>
      </c>
      <c r="E318" s="1" t="s">
        <v>17</v>
      </c>
      <c r="F318" s="1" t="s">
        <v>18</v>
      </c>
      <c r="G318" s="1">
        <v>10.0</v>
      </c>
      <c r="H318" s="1">
        <v>2024.0</v>
      </c>
      <c r="I318" s="1" t="s">
        <v>240</v>
      </c>
    </row>
    <row r="319">
      <c r="A319" s="1">
        <v>317.0</v>
      </c>
      <c r="B319" s="1">
        <v>2.0</v>
      </c>
      <c r="C319" s="1">
        <v>0.962495781357589</v>
      </c>
      <c r="D319" s="1" t="s">
        <v>305</v>
      </c>
      <c r="E319" s="1" t="s">
        <v>45</v>
      </c>
      <c r="F319" s="1" t="s">
        <v>65</v>
      </c>
      <c r="H319" s="1">
        <v>2019.0</v>
      </c>
      <c r="I319" s="1" t="s">
        <v>240</v>
      </c>
    </row>
    <row r="320">
      <c r="A320" s="1">
        <v>318.0</v>
      </c>
      <c r="B320" s="1">
        <v>2.0</v>
      </c>
      <c r="C320" s="1">
        <v>0.598240088270282</v>
      </c>
      <c r="D320" s="1" t="s">
        <v>306</v>
      </c>
      <c r="E320" s="1" t="s">
        <v>45</v>
      </c>
      <c r="F320" s="1" t="s">
        <v>65</v>
      </c>
      <c r="H320" s="1">
        <v>2019.0</v>
      </c>
      <c r="I320" s="1" t="s">
        <v>240</v>
      </c>
    </row>
    <row r="321">
      <c r="A321" s="1">
        <v>319.0</v>
      </c>
      <c r="B321" s="1">
        <v>2.0</v>
      </c>
      <c r="C321" s="1">
        <v>0.96785419665738</v>
      </c>
      <c r="D321" s="1" t="s">
        <v>307</v>
      </c>
      <c r="E321" s="1" t="s">
        <v>45</v>
      </c>
      <c r="F321" s="1" t="s">
        <v>65</v>
      </c>
      <c r="H321" s="1">
        <v>2019.0</v>
      </c>
      <c r="I321" s="1" t="s">
        <v>240</v>
      </c>
    </row>
    <row r="322">
      <c r="A322" s="1">
        <v>320.0</v>
      </c>
      <c r="B322" s="1">
        <v>2.0</v>
      </c>
      <c r="C322" s="1">
        <v>0.971871103427136</v>
      </c>
      <c r="D322" s="1" t="s">
        <v>308</v>
      </c>
      <c r="E322" s="1" t="s">
        <v>45</v>
      </c>
      <c r="F322" s="1" t="s">
        <v>65</v>
      </c>
      <c r="H322" s="1">
        <v>2019.0</v>
      </c>
      <c r="I322" s="1" t="s">
        <v>240</v>
      </c>
    </row>
    <row r="323">
      <c r="A323" s="1">
        <v>321.0</v>
      </c>
      <c r="B323" s="1">
        <v>2.0</v>
      </c>
      <c r="C323" s="1">
        <v>0.543391349396319</v>
      </c>
      <c r="D323" s="1" t="s">
        <v>309</v>
      </c>
      <c r="E323" s="1" t="s">
        <v>45</v>
      </c>
      <c r="F323" s="1" t="s">
        <v>65</v>
      </c>
      <c r="H323" s="1">
        <v>2019.0</v>
      </c>
      <c r="I323" s="1" t="s">
        <v>240</v>
      </c>
    </row>
    <row r="324">
      <c r="A324" s="1">
        <v>322.0</v>
      </c>
      <c r="B324" s="1">
        <v>10.0</v>
      </c>
      <c r="C324" s="1">
        <v>0.975673278862284</v>
      </c>
      <c r="D324" s="1" t="s">
        <v>310</v>
      </c>
      <c r="E324" s="1" t="s">
        <v>45</v>
      </c>
      <c r="F324" s="1" t="s">
        <v>65</v>
      </c>
      <c r="H324" s="1">
        <v>2019.0</v>
      </c>
      <c r="I324" s="1" t="s">
        <v>240</v>
      </c>
    </row>
    <row r="325">
      <c r="A325" s="1">
        <v>323.0</v>
      </c>
      <c r="B325" s="1">
        <v>10.0</v>
      </c>
      <c r="C325" s="1">
        <v>0.789961299068204</v>
      </c>
      <c r="D325" s="1" t="s">
        <v>311</v>
      </c>
      <c r="E325" s="1" t="s">
        <v>45</v>
      </c>
      <c r="F325" s="1" t="s">
        <v>65</v>
      </c>
      <c r="H325" s="1">
        <v>2019.0</v>
      </c>
      <c r="I325" s="1" t="s">
        <v>240</v>
      </c>
    </row>
    <row r="326">
      <c r="A326" s="1">
        <v>324.0</v>
      </c>
      <c r="B326" s="1">
        <v>2.0</v>
      </c>
      <c r="C326" s="1">
        <v>0.811679206038445</v>
      </c>
      <c r="D326" s="1" t="s">
        <v>312</v>
      </c>
      <c r="E326" s="1" t="s">
        <v>45</v>
      </c>
      <c r="F326" s="1" t="s">
        <v>65</v>
      </c>
      <c r="H326" s="1">
        <v>2019.0</v>
      </c>
      <c r="I326" s="1" t="s">
        <v>240</v>
      </c>
    </row>
    <row r="327">
      <c r="A327" s="1">
        <v>325.0</v>
      </c>
      <c r="B327" s="1">
        <v>2.0</v>
      </c>
      <c r="C327" s="1">
        <v>0.795639944097391</v>
      </c>
      <c r="D327" s="1" t="s">
        <v>313</v>
      </c>
      <c r="E327" s="1" t="s">
        <v>45</v>
      </c>
      <c r="F327" s="1" t="s">
        <v>65</v>
      </c>
      <c r="H327" s="1">
        <v>2019.0</v>
      </c>
      <c r="I327" s="1" t="s">
        <v>240</v>
      </c>
    </row>
    <row r="328">
      <c r="A328" s="1">
        <v>326.0</v>
      </c>
      <c r="B328" s="1">
        <v>2.0</v>
      </c>
      <c r="C328" s="1">
        <v>0.904067305374795</v>
      </c>
      <c r="D328" s="1" t="s">
        <v>314</v>
      </c>
      <c r="E328" s="1" t="s">
        <v>45</v>
      </c>
      <c r="F328" s="1" t="s">
        <v>65</v>
      </c>
      <c r="H328" s="1">
        <v>2019.0</v>
      </c>
      <c r="I328" s="1" t="s">
        <v>240</v>
      </c>
    </row>
    <row r="329">
      <c r="A329" s="1">
        <v>327.0</v>
      </c>
      <c r="B329" s="1">
        <v>2.0</v>
      </c>
      <c r="C329" s="1">
        <v>0.636617680078323</v>
      </c>
      <c r="D329" s="1" t="s">
        <v>315</v>
      </c>
      <c r="E329" s="1" t="s">
        <v>45</v>
      </c>
      <c r="F329" s="1" t="s">
        <v>65</v>
      </c>
      <c r="H329" s="1">
        <v>2019.0</v>
      </c>
      <c r="I329" s="1" t="s">
        <v>240</v>
      </c>
    </row>
    <row r="330">
      <c r="A330" s="1">
        <v>328.0</v>
      </c>
      <c r="B330" s="1">
        <v>2.0</v>
      </c>
      <c r="C330" s="1">
        <v>0.823718284678403</v>
      </c>
      <c r="D330" s="1" t="s">
        <v>316</v>
      </c>
      <c r="E330" s="1" t="s">
        <v>45</v>
      </c>
      <c r="F330" s="1" t="s">
        <v>65</v>
      </c>
      <c r="H330" s="1">
        <v>2019.0</v>
      </c>
      <c r="I330" s="1" t="s">
        <v>240</v>
      </c>
    </row>
    <row r="331">
      <c r="A331" s="1">
        <v>329.0</v>
      </c>
      <c r="B331" s="1">
        <v>3.0</v>
      </c>
      <c r="C331" s="1">
        <v>0.965381258337581</v>
      </c>
      <c r="D331" s="1" t="s">
        <v>72</v>
      </c>
      <c r="E331" s="1" t="s">
        <v>45</v>
      </c>
      <c r="F331" s="1" t="s">
        <v>65</v>
      </c>
      <c r="H331" s="1">
        <v>2019.0</v>
      </c>
      <c r="I331" s="1" t="s">
        <v>240</v>
      </c>
    </row>
    <row r="332">
      <c r="A332" s="1">
        <v>330.0</v>
      </c>
      <c r="B332" s="1">
        <v>2.0</v>
      </c>
      <c r="C332" s="1">
        <v>0.334819704383224</v>
      </c>
      <c r="D332" s="1" t="s">
        <v>317</v>
      </c>
      <c r="E332" s="1" t="s">
        <v>45</v>
      </c>
      <c r="F332" s="1" t="s">
        <v>65</v>
      </c>
      <c r="H332" s="1">
        <v>2019.0</v>
      </c>
      <c r="I332" s="1" t="s">
        <v>240</v>
      </c>
    </row>
    <row r="333">
      <c r="A333" s="1">
        <v>331.0</v>
      </c>
      <c r="B333" s="1">
        <v>2.0</v>
      </c>
      <c r="C333" s="1">
        <v>0.343903038864572</v>
      </c>
      <c r="D333" s="1" t="s">
        <v>73</v>
      </c>
      <c r="E333" s="1" t="s">
        <v>45</v>
      </c>
      <c r="F333" s="1" t="s">
        <v>65</v>
      </c>
      <c r="H333" s="1">
        <v>2019.0</v>
      </c>
      <c r="I333" s="1" t="s">
        <v>240</v>
      </c>
    </row>
    <row r="334">
      <c r="A334" s="1">
        <v>332.0</v>
      </c>
      <c r="B334" s="1">
        <v>2.0</v>
      </c>
      <c r="C334" s="1">
        <v>0.943747685589812</v>
      </c>
      <c r="D334" s="1" t="s">
        <v>318</v>
      </c>
      <c r="E334" s="1" t="s">
        <v>45</v>
      </c>
      <c r="F334" s="1" t="s">
        <v>65</v>
      </c>
      <c r="H334" s="1">
        <v>2019.0</v>
      </c>
      <c r="I334" s="1" t="s">
        <v>240</v>
      </c>
    </row>
    <row r="335">
      <c r="A335" s="1">
        <v>333.0</v>
      </c>
      <c r="B335" s="1">
        <v>2.0</v>
      </c>
      <c r="C335" s="1">
        <v>0.704271962101391</v>
      </c>
      <c r="D335" s="1" t="s">
        <v>319</v>
      </c>
      <c r="E335" s="1" t="s">
        <v>45</v>
      </c>
      <c r="F335" s="1" t="s">
        <v>65</v>
      </c>
      <c r="H335" s="1">
        <v>2019.0</v>
      </c>
      <c r="I335" s="1" t="s">
        <v>240</v>
      </c>
    </row>
    <row r="336">
      <c r="A336" s="1">
        <v>334.0</v>
      </c>
      <c r="B336" s="1">
        <v>2.0</v>
      </c>
      <c r="C336" s="1">
        <v>0.898500405875024</v>
      </c>
      <c r="D336" s="1" t="s">
        <v>320</v>
      </c>
      <c r="E336" s="1" t="s">
        <v>45</v>
      </c>
      <c r="F336" s="1" t="s">
        <v>65</v>
      </c>
      <c r="H336" s="1">
        <v>2019.0</v>
      </c>
      <c r="I336" s="1" t="s">
        <v>240</v>
      </c>
    </row>
    <row r="337">
      <c r="A337" s="1">
        <v>335.0</v>
      </c>
      <c r="B337" s="1">
        <v>2.0</v>
      </c>
      <c r="C337" s="1">
        <v>0.957140884077206</v>
      </c>
      <c r="D337" s="1" t="s">
        <v>321</v>
      </c>
      <c r="E337" s="1" t="s">
        <v>45</v>
      </c>
      <c r="F337" s="1" t="s">
        <v>65</v>
      </c>
      <c r="H337" s="1">
        <v>2019.0</v>
      </c>
      <c r="I337" s="1" t="s">
        <v>240</v>
      </c>
    </row>
    <row r="338">
      <c r="A338" s="1">
        <v>336.0</v>
      </c>
      <c r="B338" s="1">
        <v>2.0</v>
      </c>
      <c r="C338" s="1">
        <v>0.971867292347738</v>
      </c>
      <c r="D338" s="1" t="s">
        <v>322</v>
      </c>
      <c r="E338" s="1" t="s">
        <v>45</v>
      </c>
      <c r="F338" s="1" t="s">
        <v>65</v>
      </c>
      <c r="H338" s="1">
        <v>2019.0</v>
      </c>
      <c r="I338" s="1" t="s">
        <v>240</v>
      </c>
    </row>
    <row r="339">
      <c r="A339" s="1">
        <v>337.0</v>
      </c>
      <c r="B339" s="1">
        <v>2.0</v>
      </c>
      <c r="C339" s="1">
        <v>0.974997751795683</v>
      </c>
      <c r="D339" s="1" t="s">
        <v>323</v>
      </c>
      <c r="E339" s="1" t="s">
        <v>45</v>
      </c>
      <c r="F339" s="1" t="s">
        <v>65</v>
      </c>
      <c r="H339" s="1">
        <v>2019.0</v>
      </c>
      <c r="I339" s="1" t="s">
        <v>240</v>
      </c>
    </row>
    <row r="340">
      <c r="A340" s="1">
        <v>338.0</v>
      </c>
      <c r="B340" s="1">
        <v>2.0</v>
      </c>
      <c r="C340" s="1">
        <v>0.974283023939627</v>
      </c>
      <c r="D340" s="1" t="s">
        <v>324</v>
      </c>
      <c r="E340" s="1" t="s">
        <v>45</v>
      </c>
      <c r="F340" s="1" t="s">
        <v>65</v>
      </c>
      <c r="H340" s="1">
        <v>2019.0</v>
      </c>
      <c r="I340" s="1" t="s">
        <v>240</v>
      </c>
    </row>
    <row r="341">
      <c r="A341" s="1">
        <v>339.0</v>
      </c>
      <c r="B341" s="1">
        <v>2.0</v>
      </c>
      <c r="C341" s="1">
        <v>0.962492883651359</v>
      </c>
      <c r="D341" s="1" t="s">
        <v>325</v>
      </c>
      <c r="E341" s="1" t="s">
        <v>45</v>
      </c>
      <c r="F341" s="1" t="s">
        <v>65</v>
      </c>
      <c r="H341" s="1">
        <v>2019.0</v>
      </c>
      <c r="I341" s="1" t="s">
        <v>240</v>
      </c>
    </row>
    <row r="342">
      <c r="A342" s="1">
        <v>340.0</v>
      </c>
      <c r="B342" s="1">
        <v>2.0</v>
      </c>
      <c r="C342" s="1">
        <v>0.857170843739692</v>
      </c>
      <c r="D342" s="1" t="s">
        <v>326</v>
      </c>
      <c r="E342" s="1" t="s">
        <v>45</v>
      </c>
      <c r="F342" s="1" t="s">
        <v>65</v>
      </c>
      <c r="H342" s="1">
        <v>2019.0</v>
      </c>
      <c r="I342" s="1" t="s">
        <v>240</v>
      </c>
    </row>
    <row r="343">
      <c r="A343" s="1">
        <v>341.0</v>
      </c>
      <c r="B343" s="1">
        <v>2.0</v>
      </c>
      <c r="C343" s="1">
        <v>0.609422960082516</v>
      </c>
      <c r="D343" s="1" t="s">
        <v>327</v>
      </c>
      <c r="E343" s="1" t="s">
        <v>45</v>
      </c>
      <c r="F343" s="1" t="s">
        <v>65</v>
      </c>
      <c r="H343" s="1">
        <v>2019.0</v>
      </c>
      <c r="I343" s="1" t="s">
        <v>240</v>
      </c>
    </row>
    <row r="344">
      <c r="A344" s="1">
        <v>342.0</v>
      </c>
      <c r="B344" s="1">
        <v>7.0</v>
      </c>
      <c r="C344" s="1">
        <v>0.621911143255757</v>
      </c>
      <c r="D344" s="1" t="s">
        <v>328</v>
      </c>
      <c r="E344" s="1" t="s">
        <v>45</v>
      </c>
      <c r="F344" s="1" t="s">
        <v>65</v>
      </c>
      <c r="H344" s="1">
        <v>2019.0</v>
      </c>
      <c r="I344" s="1" t="s">
        <v>240</v>
      </c>
    </row>
    <row r="345">
      <c r="A345" s="1">
        <v>343.0</v>
      </c>
      <c r="B345" s="1">
        <v>10.0</v>
      </c>
      <c r="C345" s="1">
        <v>0.913674091704603</v>
      </c>
      <c r="D345" s="1" t="s">
        <v>329</v>
      </c>
      <c r="E345" s="1" t="s">
        <v>45</v>
      </c>
      <c r="F345" s="1" t="s">
        <v>65</v>
      </c>
      <c r="H345" s="1">
        <v>2019.0</v>
      </c>
      <c r="I345" s="1" t="s">
        <v>240</v>
      </c>
    </row>
    <row r="346">
      <c r="A346" s="1">
        <v>344.0</v>
      </c>
      <c r="B346" s="1">
        <v>2.0</v>
      </c>
      <c r="C346" s="1">
        <v>0.966660313934797</v>
      </c>
      <c r="D346" s="1" t="s">
        <v>330</v>
      </c>
      <c r="E346" s="1" t="s">
        <v>45</v>
      </c>
      <c r="F346" s="1" t="s">
        <v>65</v>
      </c>
      <c r="H346" s="1">
        <v>2019.0</v>
      </c>
      <c r="I346" s="1" t="s">
        <v>240</v>
      </c>
    </row>
    <row r="347">
      <c r="A347" s="1">
        <v>345.0</v>
      </c>
      <c r="B347" s="1">
        <v>2.0</v>
      </c>
      <c r="C347" s="1">
        <v>0.784387615448431</v>
      </c>
      <c r="D347" s="1" t="s">
        <v>331</v>
      </c>
      <c r="E347" s="1" t="s">
        <v>45</v>
      </c>
      <c r="F347" s="1" t="s">
        <v>65</v>
      </c>
      <c r="H347" s="1">
        <v>2019.0</v>
      </c>
      <c r="I347" s="1" t="s">
        <v>240</v>
      </c>
    </row>
    <row r="348">
      <c r="A348" s="1">
        <v>346.0</v>
      </c>
      <c r="B348" s="1">
        <v>2.0</v>
      </c>
      <c r="C348" s="1">
        <v>0.637698944566422</v>
      </c>
      <c r="D348" s="1" t="s">
        <v>332</v>
      </c>
      <c r="E348" s="1" t="s">
        <v>45</v>
      </c>
      <c r="F348" s="1" t="s">
        <v>65</v>
      </c>
      <c r="H348" s="1">
        <v>2019.0</v>
      </c>
      <c r="I348" s="1" t="s">
        <v>240</v>
      </c>
    </row>
    <row r="349">
      <c r="A349" s="1">
        <v>347.0</v>
      </c>
      <c r="B349" s="1">
        <v>2.0</v>
      </c>
      <c r="C349" s="1">
        <v>0.452775798729786</v>
      </c>
      <c r="D349" s="1" t="s">
        <v>333</v>
      </c>
      <c r="E349" s="1" t="s">
        <v>45</v>
      </c>
      <c r="F349" s="1" t="s">
        <v>65</v>
      </c>
      <c r="H349" s="1">
        <v>2019.0</v>
      </c>
      <c r="I349" s="1" t="s">
        <v>240</v>
      </c>
    </row>
    <row r="350">
      <c r="A350" s="1">
        <v>348.0</v>
      </c>
      <c r="B350" s="1">
        <v>2.0</v>
      </c>
      <c r="C350" s="1">
        <v>0.963996330915917</v>
      </c>
      <c r="D350" s="1" t="s">
        <v>334</v>
      </c>
      <c r="E350" s="1" t="s">
        <v>45</v>
      </c>
      <c r="F350" s="1" t="s">
        <v>65</v>
      </c>
      <c r="H350" s="1">
        <v>2019.0</v>
      </c>
      <c r="I350" s="1" t="s">
        <v>240</v>
      </c>
    </row>
    <row r="351">
      <c r="A351" s="1">
        <v>349.0</v>
      </c>
      <c r="B351" s="1">
        <v>4.0</v>
      </c>
      <c r="C351" s="1">
        <v>0.974998723698592</v>
      </c>
      <c r="D351" s="1" t="s">
        <v>160</v>
      </c>
      <c r="E351" s="1" t="s">
        <v>41</v>
      </c>
      <c r="F351" s="1" t="s">
        <v>18</v>
      </c>
      <c r="G351" s="1" t="s">
        <v>11</v>
      </c>
      <c r="H351" s="1">
        <v>2024.0</v>
      </c>
      <c r="I351" s="1" t="s">
        <v>240</v>
      </c>
    </row>
    <row r="352">
      <c r="A352" s="1">
        <v>350.0</v>
      </c>
      <c r="B352" s="1">
        <v>2.0</v>
      </c>
      <c r="C352" s="1">
        <v>0.957136040022227</v>
      </c>
      <c r="D352" s="1" t="s">
        <v>335</v>
      </c>
      <c r="E352" s="1" t="s">
        <v>41</v>
      </c>
      <c r="F352" s="1" t="s">
        <v>18</v>
      </c>
      <c r="G352" s="1" t="s">
        <v>11</v>
      </c>
      <c r="H352" s="1">
        <v>2024.0</v>
      </c>
      <c r="I352" s="1" t="s">
        <v>240</v>
      </c>
    </row>
    <row r="353">
      <c r="A353" s="1">
        <v>351.0</v>
      </c>
      <c r="B353" s="1">
        <v>2.0</v>
      </c>
      <c r="C353" s="1">
        <v>0.973526395052851</v>
      </c>
      <c r="D353" s="1" t="s">
        <v>336</v>
      </c>
      <c r="E353" s="1" t="s">
        <v>41</v>
      </c>
      <c r="F353" s="1" t="s">
        <v>18</v>
      </c>
      <c r="G353" s="1" t="s">
        <v>11</v>
      </c>
      <c r="H353" s="1">
        <v>2024.0</v>
      </c>
      <c r="I353" s="1" t="s">
        <v>240</v>
      </c>
    </row>
    <row r="354">
      <c r="A354" s="1">
        <v>352.0</v>
      </c>
      <c r="B354" s="1">
        <v>6.0</v>
      </c>
      <c r="C354" s="1">
        <v>0.974283498006716</v>
      </c>
      <c r="D354" s="1" t="s">
        <v>337</v>
      </c>
      <c r="E354" s="1" t="s">
        <v>41</v>
      </c>
      <c r="F354" s="1" t="s">
        <v>18</v>
      </c>
      <c r="G354" s="1" t="s">
        <v>11</v>
      </c>
      <c r="H354" s="1">
        <v>2024.0</v>
      </c>
      <c r="I354" s="1" t="s">
        <v>240</v>
      </c>
    </row>
    <row r="355">
      <c r="A355" s="1">
        <v>353.0</v>
      </c>
      <c r="B355" s="1">
        <v>6.0</v>
      </c>
      <c r="C355" s="1">
        <v>0.978570191273324</v>
      </c>
      <c r="D355" s="1" t="s">
        <v>338</v>
      </c>
      <c r="E355" s="1" t="s">
        <v>41</v>
      </c>
      <c r="F355" s="1" t="s">
        <v>18</v>
      </c>
      <c r="G355" s="1" t="s">
        <v>11</v>
      </c>
      <c r="H355" s="1">
        <v>2024.0</v>
      </c>
      <c r="I355" s="1" t="s">
        <v>240</v>
      </c>
    </row>
    <row r="356">
      <c r="A356" s="1">
        <v>354.0</v>
      </c>
      <c r="B356" s="1">
        <v>10.0</v>
      </c>
      <c r="C356" s="1">
        <v>0.535059485907919</v>
      </c>
      <c r="D356" s="1" t="s">
        <v>339</v>
      </c>
      <c r="E356" s="1" t="s">
        <v>41</v>
      </c>
      <c r="F356" s="1" t="s">
        <v>18</v>
      </c>
      <c r="G356" s="1" t="s">
        <v>11</v>
      </c>
      <c r="H356" s="1">
        <v>2024.0</v>
      </c>
      <c r="I356" s="1" t="s">
        <v>240</v>
      </c>
    </row>
    <row r="357">
      <c r="A357" s="1">
        <v>355.0</v>
      </c>
      <c r="B357" s="1">
        <v>6.0</v>
      </c>
      <c r="C357" s="1">
        <v>0.976921328390548</v>
      </c>
      <c r="D357" s="1" t="s">
        <v>340</v>
      </c>
      <c r="E357" s="1" t="s">
        <v>41</v>
      </c>
      <c r="F357" s="1" t="s">
        <v>18</v>
      </c>
      <c r="G357" s="1" t="s">
        <v>11</v>
      </c>
      <c r="H357" s="1">
        <v>2024.0</v>
      </c>
      <c r="I357" s="1" t="s">
        <v>240</v>
      </c>
    </row>
    <row r="358">
      <c r="A358" s="1">
        <v>356.0</v>
      </c>
      <c r="B358" s="1">
        <v>4.0</v>
      </c>
      <c r="C358" s="1">
        <v>0.973528364203671</v>
      </c>
      <c r="D358" s="1" t="s">
        <v>162</v>
      </c>
      <c r="E358" s="1" t="s">
        <v>41</v>
      </c>
      <c r="F358" s="1" t="s">
        <v>18</v>
      </c>
      <c r="G358" s="1" t="s">
        <v>11</v>
      </c>
      <c r="H358" s="1">
        <v>2024.0</v>
      </c>
      <c r="I358" s="1" t="s">
        <v>240</v>
      </c>
    </row>
    <row r="359">
      <c r="A359" s="1">
        <v>357.0</v>
      </c>
      <c r="B359" s="1">
        <v>2.0</v>
      </c>
      <c r="C359" s="1">
        <v>0.974997634290587</v>
      </c>
      <c r="D359" s="1" t="s">
        <v>341</v>
      </c>
      <c r="E359" s="1" t="s">
        <v>41</v>
      </c>
      <c r="F359" s="1" t="s">
        <v>18</v>
      </c>
      <c r="G359" s="1" t="s">
        <v>11</v>
      </c>
      <c r="H359" s="1">
        <v>2024.0</v>
      </c>
      <c r="I359" s="1" t="s">
        <v>240</v>
      </c>
    </row>
    <row r="360">
      <c r="A360" s="1">
        <v>358.0</v>
      </c>
      <c r="B360" s="1">
        <v>9.0</v>
      </c>
      <c r="C360" s="1">
        <v>0.628807072901246</v>
      </c>
      <c r="D360" s="1" t="s">
        <v>342</v>
      </c>
      <c r="E360" s="1" t="s">
        <v>41</v>
      </c>
      <c r="F360" s="1" t="s">
        <v>18</v>
      </c>
      <c r="G360" s="1" t="s">
        <v>11</v>
      </c>
      <c r="H360" s="1">
        <v>2024.0</v>
      </c>
      <c r="I360" s="1" t="s">
        <v>240</v>
      </c>
    </row>
    <row r="361">
      <c r="A361" s="1">
        <v>359.0</v>
      </c>
      <c r="B361" s="1">
        <v>8.0</v>
      </c>
      <c r="C361" s="1">
        <v>0.498669834301419</v>
      </c>
      <c r="D361" s="1" t="s">
        <v>343</v>
      </c>
      <c r="E361" s="1" t="s">
        <v>41</v>
      </c>
      <c r="F361" s="1" t="s">
        <v>18</v>
      </c>
      <c r="G361" s="1" t="s">
        <v>11</v>
      </c>
      <c r="H361" s="1">
        <v>2024.0</v>
      </c>
      <c r="I361" s="1" t="s">
        <v>240</v>
      </c>
    </row>
    <row r="362">
      <c r="A362" s="1">
        <v>360.0</v>
      </c>
      <c r="B362" s="1">
        <v>9.0</v>
      </c>
      <c r="C362" s="1">
        <v>0.972726239478505</v>
      </c>
      <c r="D362" s="1" t="s">
        <v>344</v>
      </c>
      <c r="E362" s="1" t="s">
        <v>41</v>
      </c>
      <c r="F362" s="1" t="s">
        <v>18</v>
      </c>
      <c r="G362" s="1" t="s">
        <v>11</v>
      </c>
      <c r="H362" s="1">
        <v>2024.0</v>
      </c>
      <c r="I362" s="1" t="s">
        <v>240</v>
      </c>
    </row>
    <row r="363">
      <c r="A363" s="1">
        <v>361.0</v>
      </c>
      <c r="B363" s="1">
        <v>8.0</v>
      </c>
      <c r="C363" s="1">
        <v>0.97631337020448</v>
      </c>
      <c r="D363" s="1" t="s">
        <v>345</v>
      </c>
      <c r="E363" s="1" t="s">
        <v>41</v>
      </c>
      <c r="F363" s="1" t="s">
        <v>18</v>
      </c>
      <c r="G363" s="1" t="s">
        <v>11</v>
      </c>
      <c r="H363" s="1">
        <v>2024.0</v>
      </c>
      <c r="I363" s="1" t="s">
        <v>240</v>
      </c>
    </row>
    <row r="364">
      <c r="A364" s="1">
        <v>362.0</v>
      </c>
      <c r="B364" s="1">
        <v>8.0</v>
      </c>
      <c r="C364" s="1">
        <v>0.975674179818211</v>
      </c>
      <c r="D364" s="1" t="s">
        <v>346</v>
      </c>
      <c r="E364" s="1" t="s">
        <v>41</v>
      </c>
      <c r="F364" s="1" t="s">
        <v>18</v>
      </c>
      <c r="G364" s="1" t="s">
        <v>11</v>
      </c>
      <c r="H364" s="1">
        <v>2024.0</v>
      </c>
      <c r="I364" s="1" t="s">
        <v>240</v>
      </c>
    </row>
    <row r="365">
      <c r="A365" s="1">
        <v>363.0</v>
      </c>
      <c r="B365" s="1">
        <v>8.0</v>
      </c>
      <c r="C365" s="1">
        <v>0.975673807433</v>
      </c>
      <c r="D365" s="1" t="s">
        <v>347</v>
      </c>
      <c r="E365" s="1" t="s">
        <v>41</v>
      </c>
      <c r="F365" s="1" t="s">
        <v>18</v>
      </c>
      <c r="G365" s="1" t="s">
        <v>11</v>
      </c>
      <c r="H365" s="1">
        <v>2024.0</v>
      </c>
      <c r="I365" s="1" t="s">
        <v>240</v>
      </c>
    </row>
    <row r="366">
      <c r="A366" s="1">
        <v>364.0</v>
      </c>
      <c r="B366" s="1">
        <v>9.0</v>
      </c>
      <c r="C366" s="1">
        <v>0.551255075973449</v>
      </c>
      <c r="D366" s="1" t="s">
        <v>348</v>
      </c>
      <c r="E366" s="1" t="s">
        <v>41</v>
      </c>
      <c r="F366" s="1" t="s">
        <v>18</v>
      </c>
      <c r="G366" s="1" t="s">
        <v>11</v>
      </c>
      <c r="H366" s="1">
        <v>2024.0</v>
      </c>
      <c r="I366" s="1" t="s">
        <v>240</v>
      </c>
    </row>
    <row r="367">
      <c r="A367" s="1">
        <v>365.0</v>
      </c>
      <c r="B367" s="1">
        <v>6.0</v>
      </c>
      <c r="C367" s="1">
        <v>0.866554440228732</v>
      </c>
      <c r="D367" s="1" t="s">
        <v>349</v>
      </c>
      <c r="E367" s="1" t="s">
        <v>41</v>
      </c>
      <c r="F367" s="1" t="s">
        <v>18</v>
      </c>
      <c r="G367" s="1" t="s">
        <v>11</v>
      </c>
      <c r="H367" s="1">
        <v>2024.0</v>
      </c>
      <c r="I367" s="1" t="s">
        <v>240</v>
      </c>
    </row>
    <row r="368">
      <c r="A368" s="1">
        <v>366.0</v>
      </c>
      <c r="B368" s="1">
        <v>8.0</v>
      </c>
      <c r="C368" s="1">
        <v>0.72054463140514</v>
      </c>
      <c r="D368" s="1" t="s">
        <v>350</v>
      </c>
      <c r="E368" s="1" t="s">
        <v>41</v>
      </c>
      <c r="F368" s="1" t="s">
        <v>18</v>
      </c>
      <c r="G368" s="1" t="s">
        <v>11</v>
      </c>
      <c r="H368" s="1">
        <v>2024.0</v>
      </c>
      <c r="I368" s="1" t="s">
        <v>240</v>
      </c>
    </row>
    <row r="369">
      <c r="A369" s="1">
        <v>367.0</v>
      </c>
      <c r="B369" s="1">
        <v>2.0</v>
      </c>
      <c r="C369" s="1">
        <v>0.974283594028774</v>
      </c>
      <c r="D369" s="1" t="s">
        <v>351</v>
      </c>
      <c r="E369" s="1" t="s">
        <v>41</v>
      </c>
      <c r="F369" s="1" t="s">
        <v>18</v>
      </c>
      <c r="G369" s="1" t="s">
        <v>11</v>
      </c>
      <c r="H369" s="1">
        <v>2024.0</v>
      </c>
      <c r="I369" s="1" t="s">
        <v>240</v>
      </c>
    </row>
    <row r="370">
      <c r="A370" s="1">
        <v>368.0</v>
      </c>
      <c r="B370" s="1">
        <v>2.0</v>
      </c>
      <c r="C370" s="1">
        <v>0.971872512971806</v>
      </c>
      <c r="D370" s="1" t="s">
        <v>352</v>
      </c>
      <c r="E370" s="1" t="s">
        <v>41</v>
      </c>
      <c r="F370" s="1" t="s">
        <v>18</v>
      </c>
      <c r="G370" s="1" t="s">
        <v>11</v>
      </c>
      <c r="H370" s="1">
        <v>2024.0</v>
      </c>
      <c r="I370" s="1" t="s">
        <v>240</v>
      </c>
    </row>
    <row r="371">
      <c r="A371" s="1">
        <v>369.0</v>
      </c>
      <c r="B371" s="1">
        <v>2.0</v>
      </c>
      <c r="C371" s="1">
        <v>0.641886115517738</v>
      </c>
      <c r="D371" s="1" t="s">
        <v>353</v>
      </c>
      <c r="E371" s="1" t="s">
        <v>20</v>
      </c>
      <c r="F371" s="1" t="s">
        <v>142</v>
      </c>
      <c r="G371" s="2">
        <v>46152.0</v>
      </c>
      <c r="H371" s="1">
        <v>2021.0</v>
      </c>
      <c r="I371" s="1" t="s">
        <v>240</v>
      </c>
    </row>
    <row r="372">
      <c r="A372" s="1">
        <v>370.0</v>
      </c>
      <c r="B372" s="1">
        <v>4.0</v>
      </c>
      <c r="C372" s="1">
        <v>0.967855668777459</v>
      </c>
      <c r="D372" s="1" t="s">
        <v>57</v>
      </c>
      <c r="E372" s="1" t="s">
        <v>58</v>
      </c>
      <c r="F372" s="1" t="s">
        <v>59</v>
      </c>
      <c r="G372" s="2">
        <v>46153.0</v>
      </c>
      <c r="H372" s="1">
        <v>2024.0</v>
      </c>
      <c r="I372" s="1" t="s">
        <v>240</v>
      </c>
    </row>
    <row r="373">
      <c r="A373" s="1">
        <v>371.0</v>
      </c>
      <c r="B373" s="1">
        <v>6.0</v>
      </c>
      <c r="C373" s="1">
        <v>0.970966539379796</v>
      </c>
      <c r="D373" s="1" t="s">
        <v>60</v>
      </c>
      <c r="E373" s="1" t="s">
        <v>58</v>
      </c>
      <c r="F373" s="1" t="s">
        <v>59</v>
      </c>
      <c r="G373" s="2">
        <v>46153.0</v>
      </c>
      <c r="H373" s="1">
        <v>2024.0</v>
      </c>
      <c r="I373" s="1" t="s">
        <v>240</v>
      </c>
    </row>
    <row r="374">
      <c r="A374" s="1">
        <v>372.0</v>
      </c>
      <c r="B374" s="1">
        <v>2.0</v>
      </c>
      <c r="C374" s="1">
        <v>0.867922993225355</v>
      </c>
      <c r="D374" s="1" t="s">
        <v>354</v>
      </c>
      <c r="E374" s="1" t="s">
        <v>58</v>
      </c>
      <c r="F374" s="1" t="s">
        <v>59</v>
      </c>
      <c r="G374" s="2">
        <v>46153.0</v>
      </c>
      <c r="H374" s="1">
        <v>2024.0</v>
      </c>
      <c r="I374" s="1" t="s">
        <v>240</v>
      </c>
    </row>
    <row r="375">
      <c r="A375" s="1">
        <v>373.0</v>
      </c>
      <c r="B375" s="1">
        <v>2.0</v>
      </c>
      <c r="C375" s="1">
        <v>0.735362499747901</v>
      </c>
      <c r="D375" s="1" t="s">
        <v>355</v>
      </c>
      <c r="E375" s="1" t="s">
        <v>58</v>
      </c>
      <c r="F375" s="1" t="s">
        <v>59</v>
      </c>
      <c r="G375" s="2">
        <v>46153.0</v>
      </c>
      <c r="H375" s="1">
        <v>2024.0</v>
      </c>
      <c r="I375" s="1" t="s">
        <v>240</v>
      </c>
    </row>
    <row r="376">
      <c r="A376" s="1">
        <v>374.0</v>
      </c>
      <c r="B376" s="1">
        <v>2.0</v>
      </c>
      <c r="C376" s="1">
        <v>0.651464540402159</v>
      </c>
      <c r="D376" s="1" t="s">
        <v>356</v>
      </c>
      <c r="E376" s="1" t="s">
        <v>58</v>
      </c>
      <c r="F376" s="1" t="s">
        <v>59</v>
      </c>
      <c r="G376" s="2">
        <v>46153.0</v>
      </c>
      <c r="H376" s="1">
        <v>2024.0</v>
      </c>
      <c r="I376" s="1" t="s">
        <v>240</v>
      </c>
    </row>
    <row r="377">
      <c r="A377" s="1">
        <v>375.0</v>
      </c>
      <c r="B377" s="1">
        <v>2.0</v>
      </c>
      <c r="C377" s="1">
        <v>0.784705488909538</v>
      </c>
      <c r="D377" s="1" t="s">
        <v>357</v>
      </c>
      <c r="E377" s="1" t="s">
        <v>58</v>
      </c>
      <c r="F377" s="1" t="s">
        <v>59</v>
      </c>
      <c r="G377" s="2">
        <v>46153.0</v>
      </c>
      <c r="H377" s="1">
        <v>2024.0</v>
      </c>
      <c r="I377" s="1" t="s">
        <v>240</v>
      </c>
    </row>
    <row r="378">
      <c r="A378" s="1">
        <v>376.0</v>
      </c>
      <c r="B378" s="1">
        <v>2.0</v>
      </c>
      <c r="C378" s="1">
        <v>0.459238847859471</v>
      </c>
      <c r="D378" s="1" t="s">
        <v>358</v>
      </c>
      <c r="E378" s="1" t="s">
        <v>124</v>
      </c>
      <c r="F378" s="1" t="s">
        <v>18</v>
      </c>
      <c r="H378" s="1">
        <v>2024.0</v>
      </c>
      <c r="I378" s="1" t="s">
        <v>240</v>
      </c>
    </row>
    <row r="379">
      <c r="A379" s="1">
        <v>377.0</v>
      </c>
      <c r="B379" s="1">
        <v>2.0</v>
      </c>
      <c r="C379" s="1">
        <v>0.477989613139156</v>
      </c>
      <c r="D379" s="1" t="s">
        <v>267</v>
      </c>
      <c r="E379" s="1" t="s">
        <v>124</v>
      </c>
      <c r="F379" s="1" t="s">
        <v>18</v>
      </c>
      <c r="H379" s="1">
        <v>2024.0</v>
      </c>
      <c r="I379" s="1" t="s">
        <v>240</v>
      </c>
    </row>
    <row r="380">
      <c r="A380" s="1">
        <v>378.0</v>
      </c>
      <c r="B380" s="1">
        <v>4.0</v>
      </c>
      <c r="C380" s="1">
        <v>0.520532862889008</v>
      </c>
      <c r="D380" s="1" t="s">
        <v>268</v>
      </c>
      <c r="E380" s="1" t="s">
        <v>124</v>
      </c>
      <c r="F380" s="1" t="s">
        <v>18</v>
      </c>
      <c r="H380" s="1">
        <v>2024.0</v>
      </c>
      <c r="I380" s="1" t="s">
        <v>240</v>
      </c>
    </row>
    <row r="381">
      <c r="A381" s="1">
        <v>379.0</v>
      </c>
      <c r="B381" s="1">
        <v>4.0</v>
      </c>
      <c r="C381" s="1">
        <v>0.542522707234367</v>
      </c>
      <c r="D381" s="1" t="s">
        <v>269</v>
      </c>
      <c r="E381" s="1" t="s">
        <v>124</v>
      </c>
      <c r="F381" s="1" t="s">
        <v>18</v>
      </c>
      <c r="H381" s="1">
        <v>2024.0</v>
      </c>
      <c r="I381" s="1" t="s">
        <v>240</v>
      </c>
    </row>
    <row r="382">
      <c r="A382" s="1">
        <v>380.0</v>
      </c>
      <c r="B382" s="1">
        <v>2.0</v>
      </c>
      <c r="C382" s="1">
        <v>0.883966344807907</v>
      </c>
      <c r="D382" s="1" t="s">
        <v>359</v>
      </c>
      <c r="E382" s="1" t="s">
        <v>124</v>
      </c>
      <c r="F382" s="1" t="s">
        <v>18</v>
      </c>
      <c r="H382" s="1">
        <v>2024.0</v>
      </c>
      <c r="I382" s="1" t="s">
        <v>240</v>
      </c>
    </row>
    <row r="383">
      <c r="A383" s="1">
        <v>381.0</v>
      </c>
      <c r="B383" s="1">
        <v>4.0</v>
      </c>
      <c r="C383" s="1">
        <v>0.516744654622609</v>
      </c>
      <c r="D383" s="1" t="s">
        <v>360</v>
      </c>
      <c r="E383" s="1" t="s">
        <v>124</v>
      </c>
      <c r="F383" s="1" t="s">
        <v>18</v>
      </c>
      <c r="H383" s="1">
        <v>2024.0</v>
      </c>
      <c r="I383" s="1" t="s">
        <v>240</v>
      </c>
    </row>
    <row r="384">
      <c r="A384" s="1">
        <v>382.0</v>
      </c>
      <c r="B384" s="1">
        <v>2.0</v>
      </c>
      <c r="C384" s="1">
        <v>0.775558583909705</v>
      </c>
      <c r="D384" s="1" t="s">
        <v>361</v>
      </c>
      <c r="E384" s="1" t="s">
        <v>124</v>
      </c>
      <c r="F384" s="1" t="s">
        <v>18</v>
      </c>
      <c r="H384" s="1">
        <v>2024.0</v>
      </c>
      <c r="I384" s="1" t="s">
        <v>240</v>
      </c>
    </row>
    <row r="385">
      <c r="A385" s="1">
        <v>383.0</v>
      </c>
      <c r="B385" s="1">
        <v>2.0</v>
      </c>
      <c r="C385" s="1">
        <v>0.596337845059369</v>
      </c>
      <c r="D385" s="1" t="s">
        <v>362</v>
      </c>
      <c r="E385" s="1" t="s">
        <v>124</v>
      </c>
      <c r="F385" s="1" t="s">
        <v>18</v>
      </c>
      <c r="H385" s="1">
        <v>2024.0</v>
      </c>
      <c r="I385" s="1" t="s">
        <v>240</v>
      </c>
    </row>
    <row r="386">
      <c r="A386" s="1">
        <v>384.0</v>
      </c>
      <c r="B386" s="1">
        <v>2.0</v>
      </c>
      <c r="C386" s="1">
        <v>0.973523918377113</v>
      </c>
      <c r="D386" s="1" t="s">
        <v>272</v>
      </c>
      <c r="E386" s="1" t="s">
        <v>124</v>
      </c>
      <c r="F386" s="1" t="s">
        <v>18</v>
      </c>
      <c r="H386" s="1">
        <v>2024.0</v>
      </c>
      <c r="I386" s="1" t="s">
        <v>240</v>
      </c>
    </row>
    <row r="387">
      <c r="A387" s="1">
        <v>385.0</v>
      </c>
      <c r="B387" s="1">
        <v>2.0</v>
      </c>
      <c r="C387" s="1">
        <v>0.810376021899805</v>
      </c>
      <c r="D387" s="1" t="s">
        <v>273</v>
      </c>
      <c r="E387" s="1" t="s">
        <v>124</v>
      </c>
      <c r="F387" s="1" t="s">
        <v>18</v>
      </c>
      <c r="H387" s="1">
        <v>2024.0</v>
      </c>
      <c r="I387" s="1" t="s">
        <v>240</v>
      </c>
    </row>
    <row r="388">
      <c r="A388" s="1">
        <v>386.0</v>
      </c>
      <c r="B388" s="1">
        <v>8.0</v>
      </c>
      <c r="C388" s="1">
        <v>0.965382380003489</v>
      </c>
      <c r="D388" s="1" t="s">
        <v>363</v>
      </c>
      <c r="E388" s="1" t="s">
        <v>50</v>
      </c>
      <c r="G388" s="2">
        <v>46213.0</v>
      </c>
      <c r="H388" s="1">
        <v>2021.0</v>
      </c>
      <c r="I388" s="1" t="s">
        <v>240</v>
      </c>
    </row>
    <row r="389">
      <c r="A389" s="1">
        <v>387.0</v>
      </c>
      <c r="B389" s="1">
        <v>2.0</v>
      </c>
      <c r="C389" s="1">
        <v>0.973527068029483</v>
      </c>
      <c r="D389" s="1" t="s">
        <v>364</v>
      </c>
      <c r="E389" s="1" t="s">
        <v>50</v>
      </c>
      <c r="G389" s="2">
        <v>46213.0</v>
      </c>
      <c r="H389" s="1">
        <v>2021.0</v>
      </c>
      <c r="I389" s="1" t="s">
        <v>240</v>
      </c>
    </row>
    <row r="390">
      <c r="A390" s="1">
        <v>388.0</v>
      </c>
      <c r="B390" s="1">
        <v>2.0</v>
      </c>
      <c r="C390" s="1">
        <v>0.884966326609473</v>
      </c>
      <c r="D390" s="1" t="s">
        <v>365</v>
      </c>
      <c r="E390" s="1" t="s">
        <v>50</v>
      </c>
      <c r="G390" s="2">
        <v>46213.0</v>
      </c>
      <c r="H390" s="1">
        <v>2021.0</v>
      </c>
      <c r="I390" s="1" t="s">
        <v>240</v>
      </c>
    </row>
    <row r="391">
      <c r="A391" s="1">
        <v>389.0</v>
      </c>
      <c r="B391" s="1">
        <v>2.0</v>
      </c>
      <c r="C391" s="1">
        <v>0.974283538789522</v>
      </c>
      <c r="D391" s="1" t="s">
        <v>366</v>
      </c>
      <c r="E391" s="1" t="s">
        <v>50</v>
      </c>
      <c r="G391" s="2">
        <v>46213.0</v>
      </c>
      <c r="H391" s="1">
        <v>2021.0</v>
      </c>
      <c r="I391" s="1" t="s">
        <v>240</v>
      </c>
    </row>
    <row r="392">
      <c r="A392" s="1">
        <v>390.0</v>
      </c>
      <c r="B392" s="1">
        <v>2.0</v>
      </c>
      <c r="C392" s="1">
        <v>0.973527660097952</v>
      </c>
      <c r="D392" s="1" t="s">
        <v>367</v>
      </c>
      <c r="E392" s="1" t="s">
        <v>50</v>
      </c>
      <c r="G392" s="2">
        <v>46213.0</v>
      </c>
      <c r="H392" s="1">
        <v>2021.0</v>
      </c>
      <c r="I392" s="1" t="s">
        <v>240</v>
      </c>
    </row>
    <row r="393">
      <c r="A393" s="1">
        <v>391.0</v>
      </c>
      <c r="B393" s="1">
        <v>2.0</v>
      </c>
      <c r="C393" s="1">
        <v>0.864813552716812</v>
      </c>
      <c r="D393" s="1" t="s">
        <v>368</v>
      </c>
      <c r="H393" s="1">
        <v>2020.0</v>
      </c>
      <c r="I393" s="1" t="s">
        <v>240</v>
      </c>
    </row>
    <row r="394">
      <c r="A394" s="1">
        <v>392.0</v>
      </c>
      <c r="B394" s="1">
        <v>8.0</v>
      </c>
      <c r="C394" s="1">
        <v>0.979999405748069</v>
      </c>
      <c r="D394" s="1" t="s">
        <v>369</v>
      </c>
      <c r="H394" s="1">
        <v>2020.0</v>
      </c>
      <c r="I394" s="1" t="s">
        <v>240</v>
      </c>
    </row>
    <row r="395">
      <c r="A395" s="1">
        <v>393.0</v>
      </c>
      <c r="B395" s="1">
        <v>2.0</v>
      </c>
      <c r="C395" s="1">
        <v>0.686123806211436</v>
      </c>
      <c r="D395" s="1" t="s">
        <v>370</v>
      </c>
      <c r="E395" s="1" t="s">
        <v>17</v>
      </c>
      <c r="F395" s="1" t="s">
        <v>18</v>
      </c>
      <c r="G395" s="1">
        <v>9.0</v>
      </c>
      <c r="H395" s="1">
        <v>2024.0</v>
      </c>
      <c r="I395" s="1" t="s">
        <v>240</v>
      </c>
    </row>
    <row r="396">
      <c r="A396" s="1">
        <v>394.0</v>
      </c>
      <c r="B396" s="1">
        <v>2.0</v>
      </c>
      <c r="C396" s="1">
        <v>0.628330905617515</v>
      </c>
      <c r="D396" s="1" t="s">
        <v>371</v>
      </c>
      <c r="E396" s="1" t="s">
        <v>17</v>
      </c>
      <c r="F396" s="1" t="s">
        <v>18</v>
      </c>
      <c r="G396" s="1">
        <v>8.0</v>
      </c>
      <c r="H396" s="1">
        <v>2024.0</v>
      </c>
      <c r="I396" s="1" t="s">
        <v>240</v>
      </c>
    </row>
    <row r="397">
      <c r="A397" s="1">
        <v>395.0</v>
      </c>
      <c r="B397" s="1">
        <v>2.0</v>
      </c>
      <c r="C397" s="1">
        <v>0.504421012092077</v>
      </c>
      <c r="D397" s="1" t="s">
        <v>372</v>
      </c>
      <c r="E397" s="1" t="s">
        <v>17</v>
      </c>
      <c r="F397" s="1" t="s">
        <v>18</v>
      </c>
      <c r="G397" s="1">
        <v>8.0</v>
      </c>
      <c r="H397" s="1">
        <v>2024.0</v>
      </c>
      <c r="I397" s="1" t="s">
        <v>240</v>
      </c>
    </row>
    <row r="398">
      <c r="A398" s="1">
        <v>396.0</v>
      </c>
      <c r="B398" s="1">
        <v>2.0</v>
      </c>
      <c r="C398" s="1">
        <v>0.728562336633065</v>
      </c>
      <c r="D398" s="1" t="s">
        <v>373</v>
      </c>
      <c r="E398" s="1" t="s">
        <v>17</v>
      </c>
      <c r="F398" s="1" t="s">
        <v>18</v>
      </c>
      <c r="G398" s="1">
        <v>8.0</v>
      </c>
      <c r="H398" s="1">
        <v>2024.0</v>
      </c>
      <c r="I398" s="1" t="s">
        <v>240</v>
      </c>
    </row>
    <row r="399">
      <c r="A399" s="1">
        <v>397.0</v>
      </c>
      <c r="B399" s="1">
        <v>2.0</v>
      </c>
      <c r="C399" s="1">
        <v>0.556339752200721</v>
      </c>
      <c r="D399" s="1" t="s">
        <v>374</v>
      </c>
      <c r="E399" s="1" t="s">
        <v>17</v>
      </c>
      <c r="F399" s="1" t="s">
        <v>18</v>
      </c>
      <c r="G399" s="1">
        <v>8.0</v>
      </c>
      <c r="H399" s="1">
        <v>2024.0</v>
      </c>
      <c r="I399" s="1" t="s">
        <v>240</v>
      </c>
    </row>
    <row r="400">
      <c r="A400" s="1">
        <v>398.0</v>
      </c>
      <c r="B400" s="1">
        <v>2.0</v>
      </c>
      <c r="C400" s="1">
        <v>0.572372439737419</v>
      </c>
      <c r="D400" s="1" t="s">
        <v>375</v>
      </c>
      <c r="E400" s="1" t="s">
        <v>17</v>
      </c>
      <c r="F400" s="1" t="s">
        <v>18</v>
      </c>
      <c r="G400" s="1">
        <v>8.0</v>
      </c>
      <c r="H400" s="1">
        <v>2024.0</v>
      </c>
      <c r="I400" s="1" t="s">
        <v>240</v>
      </c>
    </row>
    <row r="401">
      <c r="A401" s="1">
        <v>399.0</v>
      </c>
      <c r="B401" s="1">
        <v>6.0</v>
      </c>
      <c r="C401" s="1">
        <v>0.539659027623182</v>
      </c>
      <c r="D401" s="1" t="s">
        <v>376</v>
      </c>
      <c r="E401" s="1" t="s">
        <v>17</v>
      </c>
      <c r="F401" s="1" t="s">
        <v>18</v>
      </c>
      <c r="G401" s="1">
        <v>8.0</v>
      </c>
      <c r="H401" s="1">
        <v>2024.0</v>
      </c>
      <c r="I401" s="1" t="s">
        <v>240</v>
      </c>
    </row>
    <row r="402">
      <c r="A402" s="1">
        <v>400.0</v>
      </c>
      <c r="B402" s="1">
        <v>2.0</v>
      </c>
      <c r="C402" s="1">
        <v>0.332293630466792</v>
      </c>
      <c r="D402" s="1" t="s">
        <v>377</v>
      </c>
      <c r="E402" s="1" t="s">
        <v>17</v>
      </c>
      <c r="F402" s="1" t="s">
        <v>18</v>
      </c>
      <c r="G402" s="1">
        <v>8.0</v>
      </c>
      <c r="H402" s="1">
        <v>2024.0</v>
      </c>
      <c r="I402" s="1" t="s">
        <v>240</v>
      </c>
    </row>
    <row r="403">
      <c r="A403" s="1">
        <v>401.0</v>
      </c>
      <c r="B403" s="1">
        <v>2.0</v>
      </c>
      <c r="C403" s="1">
        <v>0.630501184446164</v>
      </c>
      <c r="D403" s="1" t="s">
        <v>378</v>
      </c>
      <c r="E403" s="1" t="s">
        <v>17</v>
      </c>
      <c r="F403" s="1" t="s">
        <v>18</v>
      </c>
      <c r="G403" s="1">
        <v>8.0</v>
      </c>
      <c r="H403" s="1">
        <v>2024.0</v>
      </c>
      <c r="I403" s="1" t="s">
        <v>240</v>
      </c>
    </row>
    <row r="404">
      <c r="A404" s="1">
        <v>402.0</v>
      </c>
      <c r="B404" s="1">
        <v>2.0</v>
      </c>
      <c r="C404" s="1">
        <v>0.769728062946652</v>
      </c>
      <c r="D404" s="1" t="s">
        <v>379</v>
      </c>
      <c r="E404" s="1" t="s">
        <v>17</v>
      </c>
      <c r="F404" s="1" t="s">
        <v>18</v>
      </c>
      <c r="G404" s="1">
        <v>8.0</v>
      </c>
      <c r="H404" s="1">
        <v>2024.0</v>
      </c>
      <c r="I404" s="1" t="s">
        <v>240</v>
      </c>
    </row>
    <row r="405">
      <c r="A405" s="1">
        <v>403.0</v>
      </c>
      <c r="B405" s="1">
        <v>5.0</v>
      </c>
      <c r="C405" s="1">
        <v>0.483765088203327</v>
      </c>
      <c r="D405" s="1" t="s">
        <v>380</v>
      </c>
      <c r="E405" s="1" t="s">
        <v>17</v>
      </c>
      <c r="F405" s="1" t="s">
        <v>18</v>
      </c>
      <c r="G405" s="1">
        <v>8.0</v>
      </c>
      <c r="H405" s="1">
        <v>2024.0</v>
      </c>
      <c r="I405" s="1" t="s">
        <v>240</v>
      </c>
    </row>
    <row r="406">
      <c r="A406" s="1">
        <v>404.0</v>
      </c>
      <c r="B406" s="1">
        <v>2.0</v>
      </c>
      <c r="C406" s="1">
        <v>0.610330599934024</v>
      </c>
      <c r="D406" s="1" t="s">
        <v>381</v>
      </c>
      <c r="E406" s="1" t="s">
        <v>17</v>
      </c>
      <c r="F406" s="1" t="s">
        <v>18</v>
      </c>
      <c r="G406" s="1">
        <v>8.0</v>
      </c>
      <c r="H406" s="1">
        <v>2024.0</v>
      </c>
      <c r="I406" s="1" t="s">
        <v>240</v>
      </c>
    </row>
    <row r="407">
      <c r="A407" s="1">
        <v>405.0</v>
      </c>
      <c r="B407" s="1">
        <v>8.0</v>
      </c>
      <c r="C407" s="1">
        <v>0.965382380003489</v>
      </c>
      <c r="D407" s="1" t="s">
        <v>363</v>
      </c>
      <c r="E407" s="1" t="s">
        <v>50</v>
      </c>
      <c r="F407" s="1" t="s">
        <v>18</v>
      </c>
      <c r="G407" s="1" t="s">
        <v>382</v>
      </c>
      <c r="H407" s="1">
        <v>2022.0</v>
      </c>
      <c r="I407" s="1" t="s">
        <v>240</v>
      </c>
    </row>
    <row r="408">
      <c r="A408" s="1">
        <v>406.0</v>
      </c>
      <c r="B408" s="1">
        <v>8.0</v>
      </c>
      <c r="C408" s="1">
        <v>0.812348307386124</v>
      </c>
      <c r="D408" s="1" t="s">
        <v>383</v>
      </c>
      <c r="E408" s="1" t="s">
        <v>50</v>
      </c>
      <c r="F408" s="1" t="s">
        <v>18</v>
      </c>
      <c r="G408" s="1" t="s">
        <v>382</v>
      </c>
      <c r="H408" s="1">
        <v>2022.0</v>
      </c>
      <c r="I408" s="1" t="s">
        <v>240</v>
      </c>
    </row>
    <row r="409">
      <c r="A409" s="1">
        <v>407.0</v>
      </c>
      <c r="B409" s="1">
        <v>8.0</v>
      </c>
      <c r="C409" s="1">
        <v>0.743149728041956</v>
      </c>
      <c r="D409" s="1" t="s">
        <v>384</v>
      </c>
      <c r="E409" s="1" t="s">
        <v>50</v>
      </c>
      <c r="F409" s="1" t="s">
        <v>18</v>
      </c>
      <c r="G409" s="1" t="s">
        <v>382</v>
      </c>
      <c r="H409" s="1">
        <v>2022.0</v>
      </c>
      <c r="I409" s="1" t="s">
        <v>240</v>
      </c>
    </row>
    <row r="410">
      <c r="A410" s="1">
        <v>408.0</v>
      </c>
      <c r="B410" s="1">
        <v>6.0</v>
      </c>
      <c r="C410" s="1">
        <v>0.907680476646591</v>
      </c>
      <c r="D410" s="1" t="s">
        <v>290</v>
      </c>
      <c r="E410" s="1" t="s">
        <v>24</v>
      </c>
      <c r="F410" s="1" t="s">
        <v>18</v>
      </c>
      <c r="G410" s="1" t="s">
        <v>42</v>
      </c>
      <c r="H410" s="1">
        <v>2024.0</v>
      </c>
      <c r="I410" s="1" t="s">
        <v>240</v>
      </c>
    </row>
    <row r="411">
      <c r="A411" s="1">
        <v>409.0</v>
      </c>
      <c r="B411" s="1">
        <v>2.0</v>
      </c>
      <c r="C411" s="1">
        <v>0.905708777564669</v>
      </c>
      <c r="D411" s="1" t="s">
        <v>385</v>
      </c>
      <c r="E411" s="1" t="s">
        <v>24</v>
      </c>
      <c r="F411" s="1" t="s">
        <v>18</v>
      </c>
      <c r="G411" s="1" t="s">
        <v>42</v>
      </c>
      <c r="H411" s="1">
        <v>2024.0</v>
      </c>
      <c r="I411" s="1" t="s">
        <v>240</v>
      </c>
    </row>
    <row r="412">
      <c r="A412" s="1">
        <v>410.0</v>
      </c>
      <c r="B412" s="1">
        <v>2.0</v>
      </c>
      <c r="C412" s="1">
        <v>0.963994222252207</v>
      </c>
      <c r="D412" s="1" t="s">
        <v>386</v>
      </c>
      <c r="E412" s="1" t="s">
        <v>24</v>
      </c>
      <c r="F412" s="1" t="s">
        <v>18</v>
      </c>
      <c r="G412" s="1" t="s">
        <v>42</v>
      </c>
      <c r="H412" s="1">
        <v>2024.0</v>
      </c>
      <c r="I412" s="1" t="s">
        <v>240</v>
      </c>
    </row>
    <row r="413">
      <c r="A413" s="1">
        <v>411.0</v>
      </c>
      <c r="B413" s="1">
        <v>2.0</v>
      </c>
      <c r="C413" s="1">
        <v>0.962494394746465</v>
      </c>
      <c r="D413" s="1" t="s">
        <v>387</v>
      </c>
      <c r="E413" s="1" t="s">
        <v>24</v>
      </c>
      <c r="F413" s="1" t="s">
        <v>18</v>
      </c>
      <c r="G413" s="1" t="s">
        <v>42</v>
      </c>
      <c r="H413" s="1">
        <v>2024.0</v>
      </c>
      <c r="I413" s="1" t="s">
        <v>240</v>
      </c>
    </row>
    <row r="414">
      <c r="A414" s="1">
        <v>412.0</v>
      </c>
      <c r="B414" s="1">
        <v>2.0</v>
      </c>
      <c r="C414" s="1">
        <v>0.74612524855348</v>
      </c>
      <c r="D414" s="1" t="s">
        <v>388</v>
      </c>
      <c r="E414" s="1" t="s">
        <v>24</v>
      </c>
      <c r="F414" s="1" t="s">
        <v>18</v>
      </c>
      <c r="G414" s="1" t="s">
        <v>42</v>
      </c>
      <c r="H414" s="1">
        <v>2024.0</v>
      </c>
      <c r="I414" s="1" t="s">
        <v>240</v>
      </c>
    </row>
    <row r="415">
      <c r="A415" s="1">
        <v>413.0</v>
      </c>
      <c r="B415" s="1">
        <v>2.0</v>
      </c>
      <c r="C415" s="1">
        <v>0.492821643339137</v>
      </c>
      <c r="D415" s="1" t="s">
        <v>389</v>
      </c>
      <c r="E415" s="1" t="s">
        <v>24</v>
      </c>
      <c r="F415" s="1" t="s">
        <v>18</v>
      </c>
      <c r="G415" s="1" t="s">
        <v>42</v>
      </c>
      <c r="H415" s="1">
        <v>2024.0</v>
      </c>
      <c r="I415" s="1" t="s">
        <v>240</v>
      </c>
    </row>
    <row r="416">
      <c r="A416" s="1">
        <v>414.0</v>
      </c>
      <c r="B416" s="1">
        <v>8.0</v>
      </c>
      <c r="C416" s="1">
        <v>0.550754468437703</v>
      </c>
      <c r="D416" s="1" t="s">
        <v>390</v>
      </c>
      <c r="E416" s="1" t="s">
        <v>24</v>
      </c>
      <c r="F416" s="1" t="s">
        <v>18</v>
      </c>
      <c r="G416" s="1" t="s">
        <v>42</v>
      </c>
      <c r="H416" s="1">
        <v>2024.0</v>
      </c>
      <c r="I416" s="1" t="s">
        <v>240</v>
      </c>
    </row>
    <row r="417">
      <c r="A417" s="1">
        <v>415.0</v>
      </c>
      <c r="B417" s="1">
        <v>8.0</v>
      </c>
      <c r="C417" s="1">
        <v>0.630429059966313</v>
      </c>
      <c r="D417" s="1" t="s">
        <v>391</v>
      </c>
      <c r="E417" s="1" t="s">
        <v>24</v>
      </c>
      <c r="F417" s="1" t="s">
        <v>18</v>
      </c>
      <c r="G417" s="1" t="s">
        <v>42</v>
      </c>
      <c r="H417" s="1">
        <v>2024.0</v>
      </c>
      <c r="I417" s="1" t="s">
        <v>240</v>
      </c>
    </row>
    <row r="418">
      <c r="A418" s="1">
        <v>416.0</v>
      </c>
      <c r="B418" s="1">
        <v>8.0</v>
      </c>
      <c r="C418" s="1">
        <v>0.500200341180154</v>
      </c>
      <c r="D418" s="1" t="s">
        <v>392</v>
      </c>
      <c r="E418" s="1" t="s">
        <v>24</v>
      </c>
      <c r="F418" s="1" t="s">
        <v>18</v>
      </c>
      <c r="G418" s="1" t="s">
        <v>42</v>
      </c>
      <c r="H418" s="1">
        <v>2024.0</v>
      </c>
      <c r="I418" s="1" t="s">
        <v>240</v>
      </c>
    </row>
    <row r="419">
      <c r="A419" s="1">
        <v>417.0</v>
      </c>
      <c r="B419" s="1">
        <v>2.0</v>
      </c>
      <c r="C419" s="1">
        <v>0.490923621830779</v>
      </c>
      <c r="D419" s="1" t="s">
        <v>393</v>
      </c>
      <c r="E419" s="1" t="s">
        <v>24</v>
      </c>
      <c r="F419" s="1" t="s">
        <v>18</v>
      </c>
      <c r="G419" s="1" t="s">
        <v>42</v>
      </c>
      <c r="H419" s="1">
        <v>2024.0</v>
      </c>
      <c r="I419" s="1" t="s">
        <v>240</v>
      </c>
    </row>
    <row r="420">
      <c r="A420" s="1">
        <v>418.0</v>
      </c>
      <c r="B420" s="1">
        <v>2.0</v>
      </c>
      <c r="C420" s="1">
        <v>0.664108323649294</v>
      </c>
      <c r="D420" s="1" t="s">
        <v>394</v>
      </c>
      <c r="E420" s="1" t="s">
        <v>24</v>
      </c>
      <c r="F420" s="1" t="s">
        <v>18</v>
      </c>
      <c r="G420" s="1" t="s">
        <v>42</v>
      </c>
      <c r="H420" s="1">
        <v>2024.0</v>
      </c>
      <c r="I420" s="1" t="s">
        <v>240</v>
      </c>
    </row>
    <row r="421">
      <c r="A421" s="1">
        <v>419.0</v>
      </c>
      <c r="B421" s="1">
        <v>2.0</v>
      </c>
      <c r="C421" s="1">
        <v>0.573683176546212</v>
      </c>
      <c r="D421" s="1" t="s">
        <v>395</v>
      </c>
      <c r="E421" s="1" t="s">
        <v>24</v>
      </c>
      <c r="F421" s="1" t="s">
        <v>18</v>
      </c>
      <c r="G421" s="1" t="s">
        <v>42</v>
      </c>
      <c r="H421" s="1">
        <v>2024.0</v>
      </c>
      <c r="I421" s="1" t="s">
        <v>240</v>
      </c>
    </row>
    <row r="422">
      <c r="A422" s="1">
        <v>420.0</v>
      </c>
      <c r="B422" s="1">
        <v>8.0</v>
      </c>
      <c r="C422" s="1">
        <v>0.645175024307252</v>
      </c>
      <c r="D422" s="1" t="s">
        <v>396</v>
      </c>
      <c r="E422" s="1" t="s">
        <v>24</v>
      </c>
      <c r="F422" s="1" t="s">
        <v>18</v>
      </c>
      <c r="G422" s="1" t="s">
        <v>42</v>
      </c>
      <c r="H422" s="1">
        <v>2024.0</v>
      </c>
      <c r="I422" s="1" t="s">
        <v>240</v>
      </c>
    </row>
    <row r="423">
      <c r="A423" s="1">
        <v>421.0</v>
      </c>
      <c r="B423" s="1">
        <v>2.0</v>
      </c>
      <c r="C423" s="1">
        <v>0.743805732155551</v>
      </c>
      <c r="D423" s="1" t="s">
        <v>397</v>
      </c>
      <c r="E423" s="1" t="s">
        <v>24</v>
      </c>
      <c r="F423" s="1" t="s">
        <v>18</v>
      </c>
      <c r="G423" s="1" t="s">
        <v>42</v>
      </c>
      <c r="H423" s="1">
        <v>2024.0</v>
      </c>
      <c r="I423" s="1" t="s">
        <v>240</v>
      </c>
    </row>
    <row r="424">
      <c r="A424" s="1">
        <v>422.0</v>
      </c>
      <c r="B424" s="1">
        <v>10.0</v>
      </c>
      <c r="C424" s="1">
        <v>0.606615003640111</v>
      </c>
      <c r="D424" s="1" t="s">
        <v>398</v>
      </c>
      <c r="E424" s="1" t="s">
        <v>24</v>
      </c>
      <c r="F424" s="1" t="s">
        <v>18</v>
      </c>
      <c r="G424" s="1" t="s">
        <v>42</v>
      </c>
      <c r="H424" s="1">
        <v>2024.0</v>
      </c>
      <c r="I424" s="1" t="s">
        <v>240</v>
      </c>
    </row>
    <row r="425">
      <c r="A425" s="1">
        <v>423.0</v>
      </c>
      <c r="B425" s="1">
        <v>10.0</v>
      </c>
      <c r="C425" s="1">
        <v>0.971871346352641</v>
      </c>
      <c r="D425" s="1" t="s">
        <v>296</v>
      </c>
      <c r="E425" s="1" t="s">
        <v>24</v>
      </c>
      <c r="F425" s="1" t="s">
        <v>18</v>
      </c>
      <c r="G425" s="1" t="s">
        <v>42</v>
      </c>
      <c r="H425" s="1">
        <v>2024.0</v>
      </c>
      <c r="I425" s="1" t="s">
        <v>240</v>
      </c>
    </row>
    <row r="426">
      <c r="A426" s="1">
        <v>424.0</v>
      </c>
      <c r="B426" s="1">
        <v>2.0</v>
      </c>
      <c r="C426" s="1">
        <v>0.67921780538976</v>
      </c>
      <c r="D426" s="1" t="s">
        <v>399</v>
      </c>
      <c r="E426" s="1" t="s">
        <v>24</v>
      </c>
      <c r="F426" s="1" t="s">
        <v>18</v>
      </c>
      <c r="G426" s="1" t="s">
        <v>42</v>
      </c>
      <c r="H426" s="1">
        <v>2024.0</v>
      </c>
      <c r="I426" s="1" t="s">
        <v>240</v>
      </c>
    </row>
    <row r="427">
      <c r="A427" s="1">
        <v>425.0</v>
      </c>
      <c r="B427" s="1">
        <v>2.0</v>
      </c>
      <c r="C427" s="1">
        <v>0.759338499051281</v>
      </c>
      <c r="D427" s="1" t="s">
        <v>400</v>
      </c>
      <c r="E427" s="1" t="s">
        <v>24</v>
      </c>
      <c r="F427" s="1" t="s">
        <v>18</v>
      </c>
      <c r="G427" s="1" t="s">
        <v>42</v>
      </c>
      <c r="H427" s="1">
        <v>2024.0</v>
      </c>
      <c r="I427" s="1" t="s">
        <v>240</v>
      </c>
    </row>
    <row r="428">
      <c r="A428" s="1">
        <v>426.0</v>
      </c>
      <c r="B428" s="1">
        <v>2.0</v>
      </c>
      <c r="C428" s="1">
        <v>0.894972263588454</v>
      </c>
      <c r="D428" s="1" t="s">
        <v>401</v>
      </c>
      <c r="E428" s="1" t="s">
        <v>24</v>
      </c>
      <c r="F428" s="1" t="s">
        <v>18</v>
      </c>
      <c r="G428" s="1" t="s">
        <v>42</v>
      </c>
      <c r="H428" s="1">
        <v>2024.0</v>
      </c>
      <c r="I428" s="1" t="s">
        <v>240</v>
      </c>
    </row>
    <row r="429">
      <c r="A429" s="1">
        <v>427.0</v>
      </c>
      <c r="B429" s="1">
        <v>2.0</v>
      </c>
      <c r="C429" s="1">
        <v>0.713274231492966</v>
      </c>
      <c r="D429" s="1" t="s">
        <v>299</v>
      </c>
      <c r="E429" s="1" t="s">
        <v>24</v>
      </c>
      <c r="F429" s="1" t="s">
        <v>18</v>
      </c>
      <c r="G429" s="1" t="s">
        <v>42</v>
      </c>
      <c r="H429" s="1">
        <v>2024.0</v>
      </c>
      <c r="I429" s="1" t="s">
        <v>240</v>
      </c>
    </row>
    <row r="430">
      <c r="A430" s="1">
        <v>428.0</v>
      </c>
      <c r="B430" s="1">
        <v>2.0</v>
      </c>
      <c r="C430" s="1">
        <v>0.744776963213684</v>
      </c>
      <c r="D430" s="1" t="s">
        <v>300</v>
      </c>
      <c r="E430" s="1" t="s">
        <v>24</v>
      </c>
      <c r="F430" s="1" t="s">
        <v>18</v>
      </c>
      <c r="G430" s="1" t="s">
        <v>42</v>
      </c>
      <c r="H430" s="1">
        <v>2024.0</v>
      </c>
      <c r="I430" s="1" t="s">
        <v>240</v>
      </c>
    </row>
    <row r="431">
      <c r="A431" s="1">
        <v>429.0</v>
      </c>
      <c r="B431" s="1">
        <v>2.0</v>
      </c>
      <c r="C431" s="1">
        <v>0.491084251973119</v>
      </c>
      <c r="D431" s="1" t="s">
        <v>301</v>
      </c>
      <c r="E431" s="1" t="s">
        <v>24</v>
      </c>
      <c r="F431" s="1" t="s">
        <v>18</v>
      </c>
      <c r="G431" s="1" t="s">
        <v>42</v>
      </c>
      <c r="H431" s="1">
        <v>2024.0</v>
      </c>
      <c r="I431" s="1" t="s">
        <v>240</v>
      </c>
    </row>
    <row r="432">
      <c r="A432" s="1">
        <v>430.0</v>
      </c>
      <c r="B432" s="1">
        <v>2.0</v>
      </c>
      <c r="C432" s="1">
        <v>0.538729431733153</v>
      </c>
      <c r="D432" s="1" t="s">
        <v>402</v>
      </c>
      <c r="E432" s="1" t="s">
        <v>24</v>
      </c>
      <c r="F432" s="1" t="s">
        <v>18</v>
      </c>
      <c r="G432" s="1" t="s">
        <v>42</v>
      </c>
      <c r="H432" s="1">
        <v>2024.0</v>
      </c>
      <c r="I432" s="1" t="s">
        <v>240</v>
      </c>
    </row>
    <row r="433">
      <c r="A433" s="1">
        <v>431.0</v>
      </c>
      <c r="B433" s="1">
        <v>2.0</v>
      </c>
      <c r="C433" s="1">
        <v>0.712548264169828</v>
      </c>
      <c r="D433" s="1" t="s">
        <v>403</v>
      </c>
      <c r="E433" s="1" t="s">
        <v>10</v>
      </c>
      <c r="F433" s="1" t="s">
        <v>142</v>
      </c>
      <c r="H433" s="1">
        <v>2011.0</v>
      </c>
      <c r="I433" s="1" t="s">
        <v>240</v>
      </c>
    </row>
    <row r="434">
      <c r="A434" s="1">
        <v>432.0</v>
      </c>
      <c r="B434" s="1">
        <v>2.0</v>
      </c>
      <c r="C434" s="1">
        <v>0.707821646423338</v>
      </c>
      <c r="D434" s="1" t="s">
        <v>404</v>
      </c>
      <c r="E434" s="1" t="s">
        <v>10</v>
      </c>
      <c r="F434" s="1" t="s">
        <v>142</v>
      </c>
      <c r="H434" s="1">
        <v>2011.0</v>
      </c>
      <c r="I434" s="1" t="s">
        <v>240</v>
      </c>
    </row>
    <row r="435">
      <c r="A435" s="1">
        <v>433.0</v>
      </c>
      <c r="B435" s="1">
        <v>9.0</v>
      </c>
      <c r="C435" s="1">
        <v>0.929296408200537</v>
      </c>
      <c r="D435" s="1" t="s">
        <v>405</v>
      </c>
      <c r="E435" s="1" t="s">
        <v>10</v>
      </c>
      <c r="F435" s="1" t="s">
        <v>142</v>
      </c>
      <c r="H435" s="1">
        <v>2011.0</v>
      </c>
      <c r="I435" s="1" t="s">
        <v>240</v>
      </c>
    </row>
    <row r="436">
      <c r="A436" s="1">
        <v>434.0</v>
      </c>
      <c r="B436" s="1">
        <v>4.0</v>
      </c>
      <c r="C436" s="1">
        <v>0.967855668777459</v>
      </c>
      <c r="D436" s="1" t="s">
        <v>57</v>
      </c>
      <c r="E436" s="1" t="s">
        <v>58</v>
      </c>
      <c r="F436" s="1" t="s">
        <v>18</v>
      </c>
      <c r="G436" s="1" t="s">
        <v>11</v>
      </c>
      <c r="H436" s="1">
        <v>2024.0</v>
      </c>
      <c r="I436" s="1" t="s">
        <v>240</v>
      </c>
    </row>
    <row r="437">
      <c r="A437" s="1">
        <v>435.0</v>
      </c>
      <c r="B437" s="1">
        <v>6.0</v>
      </c>
      <c r="C437" s="1">
        <v>0.970966539379796</v>
      </c>
      <c r="D437" s="1" t="s">
        <v>60</v>
      </c>
      <c r="E437" s="1" t="s">
        <v>58</v>
      </c>
      <c r="F437" s="1" t="s">
        <v>18</v>
      </c>
      <c r="G437" s="1" t="s">
        <v>11</v>
      </c>
      <c r="H437" s="1">
        <v>2024.0</v>
      </c>
      <c r="I437" s="1" t="s">
        <v>240</v>
      </c>
    </row>
    <row r="438">
      <c r="A438" s="1">
        <v>436.0</v>
      </c>
      <c r="B438" s="1">
        <v>2.0</v>
      </c>
      <c r="C438" s="1">
        <v>0.862335587386861</v>
      </c>
      <c r="D438" s="1" t="s">
        <v>406</v>
      </c>
      <c r="E438" s="1" t="s">
        <v>58</v>
      </c>
      <c r="F438" s="1" t="s">
        <v>18</v>
      </c>
      <c r="G438" s="1" t="s">
        <v>11</v>
      </c>
      <c r="H438" s="1">
        <v>2024.0</v>
      </c>
      <c r="I438" s="1" t="s">
        <v>240</v>
      </c>
    </row>
    <row r="439">
      <c r="A439" s="1">
        <v>437.0</v>
      </c>
      <c r="B439" s="1">
        <v>2.0</v>
      </c>
      <c r="C439" s="1">
        <v>0.73012396666325</v>
      </c>
      <c r="D439" s="1" t="s">
        <v>407</v>
      </c>
      <c r="E439" s="1" t="s">
        <v>58</v>
      </c>
      <c r="F439" s="1" t="s">
        <v>18</v>
      </c>
      <c r="G439" s="1" t="s">
        <v>11</v>
      </c>
      <c r="H439" s="1">
        <v>2024.0</v>
      </c>
      <c r="I439" s="1" t="s">
        <v>240</v>
      </c>
    </row>
    <row r="440">
      <c r="A440" s="1">
        <v>438.0</v>
      </c>
      <c r="B440" s="1">
        <v>9.0</v>
      </c>
      <c r="C440" s="1">
        <v>0.965381238218374</v>
      </c>
      <c r="D440" s="1" t="s">
        <v>408</v>
      </c>
      <c r="E440" s="1" t="s">
        <v>47</v>
      </c>
      <c r="F440" s="1" t="s">
        <v>197</v>
      </c>
      <c r="G440" s="1" t="s">
        <v>42</v>
      </c>
      <c r="H440" s="1">
        <v>2022.0</v>
      </c>
      <c r="I440" s="1" t="s">
        <v>240</v>
      </c>
    </row>
    <row r="441">
      <c r="A441" s="1">
        <v>439.0</v>
      </c>
      <c r="B441" s="1">
        <v>8.0</v>
      </c>
      <c r="C441" s="1">
        <v>0.929311736070605</v>
      </c>
      <c r="D441" s="1" t="s">
        <v>409</v>
      </c>
      <c r="E441" s="1" t="s">
        <v>47</v>
      </c>
      <c r="F441" s="1" t="s">
        <v>197</v>
      </c>
      <c r="G441" s="1" t="s">
        <v>42</v>
      </c>
      <c r="H441" s="1">
        <v>2022.0</v>
      </c>
      <c r="I441" s="1" t="s">
        <v>240</v>
      </c>
    </row>
    <row r="442">
      <c r="A442" s="1">
        <v>440.0</v>
      </c>
      <c r="B442" s="1">
        <v>8.0</v>
      </c>
      <c r="C442" s="1">
        <v>0.711524686125435</v>
      </c>
      <c r="D442" s="1" t="s">
        <v>410</v>
      </c>
      <c r="E442" s="1" t="s">
        <v>47</v>
      </c>
      <c r="F442" s="1" t="s">
        <v>197</v>
      </c>
      <c r="G442" s="1" t="s">
        <v>42</v>
      </c>
      <c r="H442" s="1">
        <v>2022.0</v>
      </c>
      <c r="I442" s="1" t="s">
        <v>240</v>
      </c>
    </row>
    <row r="443">
      <c r="A443" s="1">
        <v>441.0</v>
      </c>
      <c r="B443" s="1">
        <v>2.0</v>
      </c>
      <c r="C443" s="1">
        <v>0.949981022625599</v>
      </c>
      <c r="D443" s="1" t="s">
        <v>411</v>
      </c>
      <c r="E443" s="1" t="s">
        <v>24</v>
      </c>
      <c r="F443" s="1" t="s">
        <v>25</v>
      </c>
      <c r="G443" s="1" t="s">
        <v>126</v>
      </c>
      <c r="H443" s="1">
        <v>2014.0</v>
      </c>
      <c r="I443" s="1" t="s">
        <v>240</v>
      </c>
    </row>
    <row r="444">
      <c r="A444" s="1">
        <v>442.0</v>
      </c>
      <c r="B444" s="1">
        <v>7.0</v>
      </c>
      <c r="C444" s="1">
        <v>0.513017323257211</v>
      </c>
      <c r="D444" s="1" t="s">
        <v>412</v>
      </c>
      <c r="E444" s="1" t="s">
        <v>24</v>
      </c>
      <c r="F444" s="1" t="s">
        <v>25</v>
      </c>
      <c r="G444" s="1" t="s">
        <v>126</v>
      </c>
      <c r="H444" s="1">
        <v>2014.0</v>
      </c>
      <c r="I444" s="1" t="s">
        <v>240</v>
      </c>
    </row>
    <row r="445">
      <c r="A445" s="1">
        <v>443.0</v>
      </c>
      <c r="B445" s="1">
        <v>7.0</v>
      </c>
      <c r="C445" s="1">
        <v>0.952623564481396</v>
      </c>
      <c r="D445" s="1" t="s">
        <v>413</v>
      </c>
      <c r="E445" s="1" t="s">
        <v>24</v>
      </c>
      <c r="F445" s="1" t="s">
        <v>25</v>
      </c>
      <c r="G445" s="1" t="s">
        <v>126</v>
      </c>
      <c r="H445" s="1">
        <v>2014.0</v>
      </c>
      <c r="I445" s="1" t="s">
        <v>240</v>
      </c>
    </row>
    <row r="446">
      <c r="A446" s="1">
        <v>444.0</v>
      </c>
      <c r="B446" s="1">
        <v>8.0</v>
      </c>
      <c r="C446" s="1">
        <v>0.965382380003489</v>
      </c>
      <c r="D446" s="1" t="s">
        <v>414</v>
      </c>
      <c r="E446" s="1" t="s">
        <v>50</v>
      </c>
      <c r="F446" s="1" t="s">
        <v>18</v>
      </c>
      <c r="G446" s="1" t="s">
        <v>284</v>
      </c>
      <c r="H446" s="1">
        <v>2022.0</v>
      </c>
      <c r="I446" s="1" t="s">
        <v>240</v>
      </c>
    </row>
    <row r="447">
      <c r="A447" s="1">
        <v>445.0</v>
      </c>
      <c r="B447" s="1">
        <v>2.0</v>
      </c>
      <c r="C447" s="1">
        <v>0.974283520507541</v>
      </c>
      <c r="D447" s="1" t="s">
        <v>415</v>
      </c>
      <c r="E447" s="1" t="s">
        <v>50</v>
      </c>
      <c r="F447" s="1" t="s">
        <v>18</v>
      </c>
      <c r="G447" s="1" t="s">
        <v>284</v>
      </c>
      <c r="H447" s="1">
        <v>2022.0</v>
      </c>
      <c r="I447" s="1" t="s">
        <v>240</v>
      </c>
    </row>
    <row r="448">
      <c r="A448" s="1">
        <v>446.0</v>
      </c>
      <c r="B448" s="1">
        <v>2.0</v>
      </c>
      <c r="C448" s="1">
        <v>0.935396169619511</v>
      </c>
      <c r="D448" s="1" t="s">
        <v>416</v>
      </c>
      <c r="E448" s="1" t="s">
        <v>50</v>
      </c>
      <c r="F448" s="1" t="s">
        <v>18</v>
      </c>
      <c r="G448" s="1" t="s">
        <v>284</v>
      </c>
      <c r="H448" s="1">
        <v>2022.0</v>
      </c>
      <c r="I448" s="1" t="s">
        <v>240</v>
      </c>
    </row>
    <row r="449">
      <c r="A449" s="1">
        <v>447.0</v>
      </c>
      <c r="B449" s="1">
        <v>2.0</v>
      </c>
      <c r="C449" s="1">
        <v>0.888868782919163</v>
      </c>
      <c r="D449" s="1" t="s">
        <v>417</v>
      </c>
      <c r="E449" s="1" t="s">
        <v>50</v>
      </c>
      <c r="F449" s="1" t="s">
        <v>18</v>
      </c>
      <c r="G449" s="1" t="s">
        <v>284</v>
      </c>
      <c r="H449" s="1">
        <v>2022.0</v>
      </c>
      <c r="I449" s="1" t="s">
        <v>240</v>
      </c>
    </row>
    <row r="450">
      <c r="A450" s="1">
        <v>448.0</v>
      </c>
      <c r="B450" s="1">
        <v>2.0</v>
      </c>
      <c r="C450" s="1">
        <v>0.766860499022891</v>
      </c>
      <c r="D450" s="1" t="s">
        <v>418</v>
      </c>
      <c r="E450" s="1" t="s">
        <v>50</v>
      </c>
      <c r="F450" s="1" t="s">
        <v>18</v>
      </c>
      <c r="G450" s="1" t="s">
        <v>284</v>
      </c>
      <c r="H450" s="1">
        <v>2022.0</v>
      </c>
      <c r="I450" s="1" t="s">
        <v>240</v>
      </c>
    </row>
    <row r="451">
      <c r="A451" s="1">
        <v>449.0</v>
      </c>
      <c r="B451" s="1">
        <v>2.0</v>
      </c>
      <c r="C451" s="1">
        <v>0.972724819916634</v>
      </c>
      <c r="D451" s="1" t="s">
        <v>419</v>
      </c>
      <c r="E451" s="1" t="s">
        <v>50</v>
      </c>
      <c r="F451" s="1" t="s">
        <v>18</v>
      </c>
      <c r="G451" s="1" t="s">
        <v>284</v>
      </c>
      <c r="H451" s="1">
        <v>2022.0</v>
      </c>
      <c r="I451" s="1" t="s">
        <v>240</v>
      </c>
    </row>
    <row r="452">
      <c r="A452" s="1">
        <v>450.0</v>
      </c>
      <c r="B452" s="1">
        <v>2.0</v>
      </c>
      <c r="C452" s="1">
        <v>0.960864177361136</v>
      </c>
      <c r="D452" s="1" t="s">
        <v>420</v>
      </c>
      <c r="E452" s="1" t="s">
        <v>187</v>
      </c>
      <c r="G452" s="1" t="s">
        <v>11</v>
      </c>
      <c r="H452" s="1">
        <v>2019.0</v>
      </c>
      <c r="I452" s="1" t="s">
        <v>240</v>
      </c>
    </row>
    <row r="453">
      <c r="A453" s="1">
        <v>451.0</v>
      </c>
      <c r="B453" s="1">
        <v>2.0</v>
      </c>
      <c r="C453" s="1">
        <v>0.574474822508862</v>
      </c>
      <c r="D453" s="1" t="s">
        <v>421</v>
      </c>
      <c r="E453" s="1" t="s">
        <v>187</v>
      </c>
      <c r="G453" s="1" t="s">
        <v>11</v>
      </c>
      <c r="H453" s="1">
        <v>2019.0</v>
      </c>
      <c r="I453" s="1" t="s">
        <v>240</v>
      </c>
    </row>
    <row r="454">
      <c r="A454" s="1">
        <v>452.0</v>
      </c>
      <c r="B454" s="1">
        <v>6.0</v>
      </c>
      <c r="C454" s="1">
        <v>0.433239197084446</v>
      </c>
      <c r="D454" s="1" t="s">
        <v>422</v>
      </c>
      <c r="E454" s="1" t="s">
        <v>187</v>
      </c>
      <c r="G454" s="1" t="s">
        <v>11</v>
      </c>
      <c r="H454" s="1">
        <v>2019.0</v>
      </c>
      <c r="I454" s="1" t="s">
        <v>240</v>
      </c>
    </row>
    <row r="455">
      <c r="A455" s="1">
        <v>453.0</v>
      </c>
      <c r="B455" s="1">
        <v>8.0</v>
      </c>
      <c r="C455" s="1">
        <v>0.940859858789105</v>
      </c>
      <c r="D455" s="1" t="s">
        <v>423</v>
      </c>
      <c r="E455" s="1" t="s">
        <v>187</v>
      </c>
      <c r="G455" s="1" t="s">
        <v>11</v>
      </c>
      <c r="H455" s="1">
        <v>2019.0</v>
      </c>
      <c r="I455" s="1" t="s">
        <v>240</v>
      </c>
    </row>
    <row r="456">
      <c r="A456" s="1">
        <v>454.0</v>
      </c>
      <c r="B456" s="1">
        <v>8.0</v>
      </c>
      <c r="C456" s="1">
        <v>0.801936831643558</v>
      </c>
      <c r="D456" s="1" t="s">
        <v>424</v>
      </c>
      <c r="E456" s="1" t="s">
        <v>187</v>
      </c>
      <c r="G456" s="1" t="s">
        <v>11</v>
      </c>
      <c r="H456" s="1">
        <v>2019.0</v>
      </c>
      <c r="I456" s="1" t="s">
        <v>240</v>
      </c>
    </row>
    <row r="457">
      <c r="A457" s="1">
        <v>455.0</v>
      </c>
      <c r="B457" s="1">
        <v>8.0</v>
      </c>
      <c r="C457" s="1">
        <v>0.800012648580818</v>
      </c>
      <c r="D457" s="1" t="s">
        <v>425</v>
      </c>
      <c r="E457" s="1" t="s">
        <v>187</v>
      </c>
      <c r="G457" s="1" t="s">
        <v>11</v>
      </c>
      <c r="H457" s="1">
        <v>2019.0</v>
      </c>
      <c r="I457" s="1" t="s">
        <v>240</v>
      </c>
    </row>
    <row r="458">
      <c r="A458" s="1">
        <v>456.0</v>
      </c>
      <c r="B458" s="1">
        <v>8.0</v>
      </c>
      <c r="C458" s="1">
        <v>0.923556236017111</v>
      </c>
      <c r="D458" s="1" t="s">
        <v>426</v>
      </c>
      <c r="E458" s="1" t="s">
        <v>187</v>
      </c>
      <c r="G458" s="1" t="s">
        <v>11</v>
      </c>
      <c r="H458" s="1">
        <v>2019.0</v>
      </c>
      <c r="I458" s="1" t="s">
        <v>240</v>
      </c>
    </row>
    <row r="459">
      <c r="A459" s="1">
        <v>457.0</v>
      </c>
      <c r="B459" s="1">
        <v>8.0</v>
      </c>
      <c r="C459" s="1">
        <v>0.921760175646492</v>
      </c>
      <c r="D459" s="1" t="s">
        <v>427</v>
      </c>
      <c r="E459" s="1" t="s">
        <v>187</v>
      </c>
      <c r="G459" s="1" t="s">
        <v>11</v>
      </c>
      <c r="H459" s="1">
        <v>2019.0</v>
      </c>
      <c r="I459" s="1" t="s">
        <v>240</v>
      </c>
    </row>
    <row r="460">
      <c r="A460" s="1">
        <v>458.0</v>
      </c>
      <c r="B460" s="1">
        <v>2.0</v>
      </c>
      <c r="C460" s="1">
        <v>0.967852661267838</v>
      </c>
      <c r="D460" s="1" t="s">
        <v>428</v>
      </c>
      <c r="E460" s="1" t="s">
        <v>187</v>
      </c>
      <c r="G460" s="1" t="s">
        <v>11</v>
      </c>
      <c r="H460" s="1">
        <v>2019.0</v>
      </c>
      <c r="I460" s="1" t="s">
        <v>240</v>
      </c>
    </row>
    <row r="461">
      <c r="A461" s="1">
        <v>459.0</v>
      </c>
      <c r="B461" s="1">
        <v>9.0</v>
      </c>
      <c r="C461" s="1">
        <v>0.711090565575243</v>
      </c>
      <c r="D461" s="1" t="s">
        <v>429</v>
      </c>
      <c r="E461" s="1" t="s">
        <v>187</v>
      </c>
      <c r="G461" s="1" t="s">
        <v>11</v>
      </c>
      <c r="H461" s="1">
        <v>2019.0</v>
      </c>
      <c r="I461" s="1" t="s">
        <v>240</v>
      </c>
    </row>
    <row r="462">
      <c r="A462" s="1">
        <v>460.0</v>
      </c>
      <c r="B462" s="1">
        <v>8.0</v>
      </c>
      <c r="C462" s="1">
        <v>0.908543375346307</v>
      </c>
      <c r="D462" s="1" t="s">
        <v>430</v>
      </c>
      <c r="E462" s="1" t="s">
        <v>187</v>
      </c>
      <c r="G462" s="1" t="s">
        <v>11</v>
      </c>
      <c r="H462" s="1">
        <v>2019.0</v>
      </c>
      <c r="I462" s="1" t="s">
        <v>240</v>
      </c>
    </row>
    <row r="463">
      <c r="A463" s="1">
        <v>461.0</v>
      </c>
      <c r="B463" s="1">
        <v>8.0</v>
      </c>
      <c r="C463" s="1">
        <v>0.456019680586003</v>
      </c>
      <c r="D463" s="1" t="s">
        <v>431</v>
      </c>
      <c r="E463" s="1" t="s">
        <v>187</v>
      </c>
      <c r="G463" s="1" t="s">
        <v>11</v>
      </c>
      <c r="H463" s="1">
        <v>2019.0</v>
      </c>
      <c r="I463" s="1" t="s">
        <v>240</v>
      </c>
    </row>
    <row r="464">
      <c r="A464" s="1">
        <v>462.0</v>
      </c>
      <c r="B464" s="1">
        <v>2.0</v>
      </c>
      <c r="C464" s="1">
        <v>0.344807623371789</v>
      </c>
      <c r="D464" s="1" t="s">
        <v>432</v>
      </c>
      <c r="E464" s="1" t="s">
        <v>187</v>
      </c>
      <c r="G464" s="1" t="s">
        <v>11</v>
      </c>
      <c r="H464" s="1">
        <v>2019.0</v>
      </c>
      <c r="I464" s="1" t="s">
        <v>240</v>
      </c>
    </row>
    <row r="465">
      <c r="A465" s="1">
        <v>463.0</v>
      </c>
      <c r="B465" s="1">
        <v>4.0</v>
      </c>
      <c r="C465" s="1">
        <v>0.974998723698592</v>
      </c>
      <c r="D465" s="1" t="s">
        <v>160</v>
      </c>
      <c r="E465" s="1" t="s">
        <v>41</v>
      </c>
      <c r="F465" s="1" t="s">
        <v>118</v>
      </c>
      <c r="H465" s="1">
        <v>2024.0</v>
      </c>
      <c r="I465" s="1" t="s">
        <v>240</v>
      </c>
    </row>
    <row r="466">
      <c r="A466" s="1">
        <v>464.0</v>
      </c>
      <c r="B466" s="1">
        <v>2.0</v>
      </c>
      <c r="C466" s="1">
        <v>0.957136040022227</v>
      </c>
      <c r="D466" s="1" t="s">
        <v>335</v>
      </c>
      <c r="E466" s="1" t="s">
        <v>41</v>
      </c>
      <c r="F466" s="1" t="s">
        <v>118</v>
      </c>
      <c r="H466" s="1">
        <v>2024.0</v>
      </c>
      <c r="I466" s="1" t="s">
        <v>240</v>
      </c>
    </row>
    <row r="467">
      <c r="A467" s="1">
        <v>465.0</v>
      </c>
      <c r="B467" s="1">
        <v>2.0</v>
      </c>
      <c r="C467" s="1">
        <v>0.97428290502654</v>
      </c>
      <c r="D467" s="1" t="s">
        <v>433</v>
      </c>
      <c r="E467" s="1" t="s">
        <v>41</v>
      </c>
      <c r="F467" s="1" t="s">
        <v>118</v>
      </c>
      <c r="H467" s="1">
        <v>2024.0</v>
      </c>
      <c r="I467" s="1" t="s">
        <v>240</v>
      </c>
    </row>
    <row r="468">
      <c r="A468" s="1">
        <v>466.0</v>
      </c>
      <c r="B468" s="1">
        <v>6.0</v>
      </c>
      <c r="C468" s="1">
        <v>0.974283498006716</v>
      </c>
      <c r="D468" s="1" t="s">
        <v>434</v>
      </c>
      <c r="E468" s="1" t="s">
        <v>41</v>
      </c>
      <c r="F468" s="1" t="s">
        <v>118</v>
      </c>
      <c r="H468" s="1">
        <v>2024.0</v>
      </c>
      <c r="I468" s="1" t="s">
        <v>240</v>
      </c>
    </row>
    <row r="469">
      <c r="A469" s="1">
        <v>467.0</v>
      </c>
      <c r="B469" s="1">
        <v>6.0</v>
      </c>
      <c r="C469" s="1">
        <v>0.978570191273324</v>
      </c>
      <c r="D469" s="1" t="s">
        <v>435</v>
      </c>
      <c r="E469" s="1" t="s">
        <v>41</v>
      </c>
      <c r="F469" s="1" t="s">
        <v>118</v>
      </c>
      <c r="H469" s="1">
        <v>2024.0</v>
      </c>
      <c r="I469" s="1" t="s">
        <v>240</v>
      </c>
    </row>
    <row r="470">
      <c r="A470" s="1">
        <v>468.0</v>
      </c>
      <c r="B470" s="1">
        <v>10.0</v>
      </c>
      <c r="C470" s="1">
        <v>0.555365302457594</v>
      </c>
      <c r="D470" s="1" t="s">
        <v>436</v>
      </c>
      <c r="E470" s="1" t="s">
        <v>41</v>
      </c>
      <c r="F470" s="1" t="s">
        <v>118</v>
      </c>
      <c r="H470" s="1">
        <v>2024.0</v>
      </c>
      <c r="I470" s="1" t="s">
        <v>240</v>
      </c>
    </row>
    <row r="471">
      <c r="A471" s="1">
        <v>469.0</v>
      </c>
      <c r="B471" s="1">
        <v>6.0</v>
      </c>
      <c r="C471" s="1">
        <v>0.976921328390548</v>
      </c>
      <c r="D471" s="1" t="s">
        <v>437</v>
      </c>
      <c r="E471" s="1" t="s">
        <v>41</v>
      </c>
      <c r="F471" s="1" t="s">
        <v>118</v>
      </c>
      <c r="H471" s="1">
        <v>2024.0</v>
      </c>
      <c r="I471" s="1" t="s">
        <v>240</v>
      </c>
    </row>
    <row r="472">
      <c r="A472" s="1">
        <v>470.0</v>
      </c>
      <c r="B472" s="1">
        <v>4.0</v>
      </c>
      <c r="C472" s="1">
        <v>0.973528364203671</v>
      </c>
      <c r="D472" s="1" t="s">
        <v>162</v>
      </c>
      <c r="E472" s="1" t="s">
        <v>41</v>
      </c>
      <c r="F472" s="1" t="s">
        <v>118</v>
      </c>
      <c r="H472" s="1">
        <v>2024.0</v>
      </c>
      <c r="I472" s="1" t="s">
        <v>240</v>
      </c>
    </row>
    <row r="473">
      <c r="A473" s="1">
        <v>471.0</v>
      </c>
      <c r="B473" s="1">
        <v>2.0</v>
      </c>
      <c r="C473" s="1">
        <v>0.974997634290587</v>
      </c>
      <c r="D473" s="1" t="s">
        <v>341</v>
      </c>
      <c r="E473" s="1" t="s">
        <v>41</v>
      </c>
      <c r="F473" s="1" t="s">
        <v>118</v>
      </c>
      <c r="H473" s="1">
        <v>2024.0</v>
      </c>
      <c r="I473" s="1" t="s">
        <v>240</v>
      </c>
    </row>
    <row r="474">
      <c r="A474" s="1">
        <v>472.0</v>
      </c>
      <c r="B474" s="1">
        <v>9.0</v>
      </c>
      <c r="C474" s="1">
        <v>0.628807072901246</v>
      </c>
      <c r="D474" s="1" t="s">
        <v>438</v>
      </c>
      <c r="E474" s="1" t="s">
        <v>41</v>
      </c>
      <c r="F474" s="1" t="s">
        <v>118</v>
      </c>
      <c r="H474" s="1">
        <v>2024.0</v>
      </c>
      <c r="I474" s="1" t="s">
        <v>240</v>
      </c>
    </row>
    <row r="475">
      <c r="A475" s="1">
        <v>473.0</v>
      </c>
      <c r="B475" s="1">
        <v>8.0</v>
      </c>
      <c r="C475" s="1">
        <v>0.463377110493132</v>
      </c>
      <c r="D475" s="1" t="s">
        <v>439</v>
      </c>
      <c r="E475" s="1" t="s">
        <v>41</v>
      </c>
      <c r="F475" s="1" t="s">
        <v>118</v>
      </c>
      <c r="H475" s="1">
        <v>2024.0</v>
      </c>
      <c r="I475" s="1" t="s">
        <v>240</v>
      </c>
    </row>
    <row r="476">
      <c r="A476" s="1">
        <v>474.0</v>
      </c>
      <c r="B476" s="1">
        <v>9.0</v>
      </c>
      <c r="C476" s="1">
        <v>0.972726239478505</v>
      </c>
      <c r="D476" s="1" t="s">
        <v>344</v>
      </c>
      <c r="E476" s="1" t="s">
        <v>41</v>
      </c>
      <c r="F476" s="1" t="s">
        <v>118</v>
      </c>
      <c r="H476" s="1">
        <v>2024.0</v>
      </c>
      <c r="I476" s="1" t="s">
        <v>240</v>
      </c>
    </row>
    <row r="477">
      <c r="A477" s="1">
        <v>475.0</v>
      </c>
      <c r="B477" s="1">
        <v>8.0</v>
      </c>
      <c r="C477" s="1">
        <v>0.976920681355474</v>
      </c>
      <c r="D477" s="1" t="s">
        <v>440</v>
      </c>
      <c r="E477" s="1" t="s">
        <v>41</v>
      </c>
      <c r="F477" s="1" t="s">
        <v>118</v>
      </c>
      <c r="H477" s="1">
        <v>2024.0</v>
      </c>
      <c r="I477" s="1" t="s">
        <v>240</v>
      </c>
    </row>
    <row r="478">
      <c r="A478" s="1">
        <v>476.0</v>
      </c>
      <c r="B478" s="1">
        <v>8.0</v>
      </c>
      <c r="C478" s="1">
        <v>0.975674179818211</v>
      </c>
      <c r="D478" s="1" t="s">
        <v>346</v>
      </c>
      <c r="E478" s="1" t="s">
        <v>41</v>
      </c>
      <c r="F478" s="1" t="s">
        <v>118</v>
      </c>
      <c r="H478" s="1">
        <v>2024.0</v>
      </c>
      <c r="I478" s="1" t="s">
        <v>240</v>
      </c>
    </row>
    <row r="479">
      <c r="A479" s="1">
        <v>477.0</v>
      </c>
      <c r="B479" s="1">
        <v>8.0</v>
      </c>
      <c r="C479" s="1">
        <v>0.975673807433</v>
      </c>
      <c r="D479" s="1" t="s">
        <v>347</v>
      </c>
      <c r="E479" s="1" t="s">
        <v>41</v>
      </c>
      <c r="F479" s="1" t="s">
        <v>118</v>
      </c>
      <c r="H479" s="1">
        <v>2024.0</v>
      </c>
      <c r="I479" s="1" t="s">
        <v>240</v>
      </c>
    </row>
    <row r="480">
      <c r="A480" s="1">
        <v>478.0</v>
      </c>
      <c r="B480" s="1">
        <v>9.0</v>
      </c>
      <c r="C480" s="1">
        <v>0.551255075973449</v>
      </c>
      <c r="D480" s="1" t="s">
        <v>348</v>
      </c>
      <c r="E480" s="1" t="s">
        <v>41</v>
      </c>
      <c r="F480" s="1" t="s">
        <v>118</v>
      </c>
      <c r="H480" s="1">
        <v>2024.0</v>
      </c>
      <c r="I480" s="1" t="s">
        <v>240</v>
      </c>
    </row>
    <row r="481">
      <c r="A481" s="1">
        <v>479.0</v>
      </c>
      <c r="B481" s="1">
        <v>6.0</v>
      </c>
      <c r="C481" s="1">
        <v>0.866554440228732</v>
      </c>
      <c r="D481" s="1" t="s">
        <v>441</v>
      </c>
      <c r="E481" s="1" t="s">
        <v>41</v>
      </c>
      <c r="F481" s="1" t="s">
        <v>118</v>
      </c>
      <c r="H481" s="1">
        <v>2024.0</v>
      </c>
      <c r="I481" s="1" t="s">
        <v>240</v>
      </c>
    </row>
    <row r="482">
      <c r="A482" s="1">
        <v>480.0</v>
      </c>
      <c r="B482" s="1">
        <v>8.0</v>
      </c>
      <c r="C482" s="1">
        <v>0.751603510172079</v>
      </c>
      <c r="D482" s="1" t="s">
        <v>442</v>
      </c>
      <c r="E482" s="1" t="s">
        <v>41</v>
      </c>
      <c r="F482" s="1" t="s">
        <v>118</v>
      </c>
      <c r="H482" s="1">
        <v>2024.0</v>
      </c>
      <c r="I482" s="1" t="s">
        <v>240</v>
      </c>
    </row>
    <row r="483">
      <c r="A483" s="1">
        <v>481.0</v>
      </c>
      <c r="B483" s="1">
        <v>2.0</v>
      </c>
      <c r="C483" s="1">
        <v>0.974283594028774</v>
      </c>
      <c r="D483" s="1" t="s">
        <v>351</v>
      </c>
      <c r="E483" s="1" t="s">
        <v>41</v>
      </c>
      <c r="F483" s="1" t="s">
        <v>118</v>
      </c>
      <c r="H483" s="1">
        <v>2024.0</v>
      </c>
      <c r="I483" s="1" t="s">
        <v>240</v>
      </c>
    </row>
    <row r="484">
      <c r="A484" s="1">
        <v>482.0</v>
      </c>
      <c r="B484" s="1">
        <v>2.0</v>
      </c>
      <c r="C484" s="1">
        <v>0.97187246883058</v>
      </c>
      <c r="D484" s="1" t="s">
        <v>443</v>
      </c>
      <c r="E484" s="1" t="s">
        <v>41</v>
      </c>
      <c r="F484" s="1" t="s">
        <v>118</v>
      </c>
      <c r="H484" s="1">
        <v>2024.0</v>
      </c>
      <c r="I484" s="1" t="s">
        <v>240</v>
      </c>
    </row>
    <row r="485">
      <c r="A485" s="1">
        <v>483.0</v>
      </c>
      <c r="B485" s="1">
        <v>2.0</v>
      </c>
      <c r="C485" s="1">
        <v>0.83098367796836</v>
      </c>
      <c r="D485" s="1" t="s">
        <v>444</v>
      </c>
      <c r="E485" s="1" t="s">
        <v>10</v>
      </c>
      <c r="F485" s="1" t="s">
        <v>97</v>
      </c>
      <c r="G485" s="1" t="s">
        <v>11</v>
      </c>
      <c r="H485" s="1">
        <v>2011.0</v>
      </c>
      <c r="I485" s="1" t="s">
        <v>240</v>
      </c>
    </row>
    <row r="486">
      <c r="A486" s="1">
        <v>484.0</v>
      </c>
      <c r="B486" s="1">
        <v>2.0</v>
      </c>
      <c r="C486" s="1">
        <v>0.668057432163067</v>
      </c>
      <c r="D486" s="1" t="s">
        <v>445</v>
      </c>
      <c r="E486" s="1" t="s">
        <v>10</v>
      </c>
      <c r="F486" s="1" t="s">
        <v>97</v>
      </c>
      <c r="G486" s="1" t="s">
        <v>11</v>
      </c>
      <c r="H486" s="1">
        <v>2011.0</v>
      </c>
      <c r="I486" s="1" t="s">
        <v>240</v>
      </c>
    </row>
    <row r="487">
      <c r="A487" s="1">
        <v>485.0</v>
      </c>
      <c r="B487" s="1">
        <v>7.0</v>
      </c>
      <c r="C487" s="1">
        <v>0.447952823778367</v>
      </c>
      <c r="D487" s="1" t="s">
        <v>446</v>
      </c>
      <c r="E487" s="1" t="s">
        <v>10</v>
      </c>
      <c r="F487" s="1" t="s">
        <v>97</v>
      </c>
      <c r="G487" s="1" t="s">
        <v>11</v>
      </c>
      <c r="H487" s="1">
        <v>2011.0</v>
      </c>
      <c r="I487" s="1" t="s">
        <v>240</v>
      </c>
    </row>
    <row r="488">
      <c r="A488" s="1">
        <v>486.0</v>
      </c>
      <c r="B488" s="1">
        <v>9.0</v>
      </c>
      <c r="C488" s="1">
        <v>0.709843752366077</v>
      </c>
      <c r="D488" s="1" t="s">
        <v>447</v>
      </c>
      <c r="E488" s="1" t="s">
        <v>10</v>
      </c>
      <c r="F488" s="1" t="s">
        <v>97</v>
      </c>
      <c r="G488" s="1" t="s">
        <v>11</v>
      </c>
      <c r="H488" s="1">
        <v>2011.0</v>
      </c>
      <c r="I488" s="1" t="s">
        <v>240</v>
      </c>
    </row>
    <row r="489">
      <c r="A489" s="1">
        <v>487.0</v>
      </c>
      <c r="B489" s="1">
        <v>2.0</v>
      </c>
      <c r="C489" s="1">
        <v>0.799057698796889</v>
      </c>
      <c r="D489" s="1" t="s">
        <v>448</v>
      </c>
      <c r="E489" s="1" t="s">
        <v>10</v>
      </c>
      <c r="F489" s="1" t="s">
        <v>97</v>
      </c>
      <c r="G489" s="1" t="s">
        <v>11</v>
      </c>
      <c r="H489" s="1">
        <v>2011.0</v>
      </c>
      <c r="I489" s="1" t="s">
        <v>240</v>
      </c>
    </row>
    <row r="490">
      <c r="A490" s="1">
        <v>488.0</v>
      </c>
      <c r="B490" s="1">
        <v>2.0</v>
      </c>
      <c r="C490" s="1">
        <v>0.394086428147973</v>
      </c>
      <c r="D490" s="1" t="s">
        <v>449</v>
      </c>
      <c r="E490" s="1" t="s">
        <v>10</v>
      </c>
      <c r="F490" s="1" t="s">
        <v>97</v>
      </c>
      <c r="G490" s="1" t="s">
        <v>11</v>
      </c>
      <c r="H490" s="1">
        <v>2011.0</v>
      </c>
      <c r="I490" s="1" t="s">
        <v>240</v>
      </c>
    </row>
    <row r="491">
      <c r="A491" s="1">
        <v>489.0</v>
      </c>
      <c r="B491" s="1">
        <v>2.0</v>
      </c>
      <c r="C491" s="1">
        <v>0.562842746043168</v>
      </c>
      <c r="D491" s="1" t="s">
        <v>450</v>
      </c>
      <c r="E491" s="1" t="s">
        <v>10</v>
      </c>
      <c r="F491" s="1" t="s">
        <v>97</v>
      </c>
      <c r="G491" s="1" t="s">
        <v>11</v>
      </c>
      <c r="H491" s="1">
        <v>2011.0</v>
      </c>
      <c r="I491" s="1" t="s">
        <v>240</v>
      </c>
    </row>
    <row r="492">
      <c r="A492" s="1">
        <v>490.0</v>
      </c>
      <c r="B492" s="1">
        <v>2.0</v>
      </c>
      <c r="C492" s="1">
        <v>0.78418403972114</v>
      </c>
      <c r="D492" s="1" t="s">
        <v>451</v>
      </c>
      <c r="E492" s="1" t="s">
        <v>10</v>
      </c>
      <c r="F492" s="1" t="s">
        <v>97</v>
      </c>
      <c r="G492" s="1" t="s">
        <v>11</v>
      </c>
      <c r="H492" s="1">
        <v>2011.0</v>
      </c>
      <c r="I492" s="1" t="s">
        <v>240</v>
      </c>
    </row>
    <row r="493">
      <c r="A493" s="1">
        <v>491.0</v>
      </c>
      <c r="B493" s="1">
        <v>9.0</v>
      </c>
      <c r="C493" s="1">
        <v>0.62997915225203</v>
      </c>
      <c r="D493" s="1" t="s">
        <v>452</v>
      </c>
      <c r="E493" s="1" t="s">
        <v>10</v>
      </c>
      <c r="F493" s="1" t="s">
        <v>97</v>
      </c>
      <c r="G493" s="1" t="s">
        <v>11</v>
      </c>
      <c r="H493" s="1">
        <v>2011.0</v>
      </c>
      <c r="I493" s="1" t="s">
        <v>240</v>
      </c>
    </row>
    <row r="494">
      <c r="A494" s="1">
        <v>492.0</v>
      </c>
      <c r="B494" s="1">
        <v>9.0</v>
      </c>
      <c r="C494" s="1">
        <v>0.965382835512914</v>
      </c>
      <c r="D494" s="1" t="s">
        <v>453</v>
      </c>
      <c r="E494" s="1" t="s">
        <v>10</v>
      </c>
      <c r="F494" s="1" t="s">
        <v>97</v>
      </c>
      <c r="G494" s="1" t="s">
        <v>11</v>
      </c>
      <c r="H494" s="1">
        <v>2011.0</v>
      </c>
      <c r="I494" s="1" t="s">
        <v>240</v>
      </c>
    </row>
    <row r="495">
      <c r="A495" s="1">
        <v>493.0</v>
      </c>
      <c r="B495" s="1">
        <v>2.0</v>
      </c>
      <c r="C495" s="1">
        <v>0.459084764888907</v>
      </c>
      <c r="D495" s="1" t="s">
        <v>454</v>
      </c>
      <c r="E495" s="1" t="s">
        <v>102</v>
      </c>
      <c r="G495" s="1" t="s">
        <v>42</v>
      </c>
      <c r="H495" s="1">
        <v>2022.0</v>
      </c>
      <c r="I495" s="1" t="s">
        <v>240</v>
      </c>
    </row>
    <row r="496">
      <c r="A496" s="1">
        <v>494.0</v>
      </c>
      <c r="B496" s="1">
        <v>8.0</v>
      </c>
      <c r="C496" s="1">
        <v>0.829544175917795</v>
      </c>
      <c r="D496" s="1" t="s">
        <v>455</v>
      </c>
      <c r="E496" s="1" t="s">
        <v>102</v>
      </c>
      <c r="G496" s="1" t="s">
        <v>42</v>
      </c>
      <c r="H496" s="1">
        <v>2022.0</v>
      </c>
      <c r="I496" s="1" t="s">
        <v>240</v>
      </c>
    </row>
    <row r="497">
      <c r="A497" s="1">
        <v>495.0</v>
      </c>
      <c r="B497" s="1">
        <v>8.0</v>
      </c>
      <c r="C497" s="1">
        <v>0.793436059558807</v>
      </c>
      <c r="D497" s="1" t="s">
        <v>456</v>
      </c>
      <c r="E497" s="1" t="s">
        <v>102</v>
      </c>
      <c r="G497" s="1" t="s">
        <v>42</v>
      </c>
      <c r="H497" s="1">
        <v>2022.0</v>
      </c>
      <c r="I497" s="1" t="s">
        <v>240</v>
      </c>
    </row>
    <row r="498">
      <c r="A498" s="1">
        <v>496.0</v>
      </c>
      <c r="B498" s="1">
        <v>8.0</v>
      </c>
      <c r="C498" s="1">
        <v>0.871557096322048</v>
      </c>
      <c r="D498" s="1" t="s">
        <v>457</v>
      </c>
      <c r="E498" s="1" t="s">
        <v>111</v>
      </c>
      <c r="G498" s="1" t="s">
        <v>42</v>
      </c>
      <c r="H498" s="1">
        <v>2022.0</v>
      </c>
      <c r="I498" s="1" t="s">
        <v>240</v>
      </c>
    </row>
    <row r="499">
      <c r="A499" s="1">
        <v>497.0</v>
      </c>
      <c r="B499" s="1">
        <v>9.0</v>
      </c>
      <c r="C499" s="1">
        <v>0.355731790334699</v>
      </c>
      <c r="D499" s="1" t="s">
        <v>458</v>
      </c>
      <c r="E499" s="1" t="s">
        <v>111</v>
      </c>
      <c r="G499" s="1" t="s">
        <v>42</v>
      </c>
      <c r="H499" s="1">
        <v>2022.0</v>
      </c>
      <c r="I499" s="1" t="s">
        <v>240</v>
      </c>
    </row>
    <row r="500">
      <c r="A500" s="1">
        <v>498.0</v>
      </c>
      <c r="B500" s="1">
        <v>8.0</v>
      </c>
      <c r="C500" s="1">
        <v>0.436035871264692</v>
      </c>
      <c r="D500" s="1" t="s">
        <v>459</v>
      </c>
      <c r="E500" s="1" t="s">
        <v>111</v>
      </c>
      <c r="G500" s="1" t="s">
        <v>42</v>
      </c>
      <c r="H500" s="1">
        <v>2022.0</v>
      </c>
      <c r="I500" s="1" t="s">
        <v>240</v>
      </c>
    </row>
    <row r="501">
      <c r="A501" s="1">
        <v>499.0</v>
      </c>
      <c r="B501" s="1">
        <v>2.0</v>
      </c>
      <c r="C501" s="1">
        <v>0.528599725787689</v>
      </c>
      <c r="D501" s="1" t="s">
        <v>460</v>
      </c>
      <c r="E501" s="1" t="s">
        <v>111</v>
      </c>
      <c r="G501" s="1" t="s">
        <v>42</v>
      </c>
      <c r="H501" s="1">
        <v>2022.0</v>
      </c>
      <c r="I501" s="1" t="s">
        <v>240</v>
      </c>
    </row>
    <row r="502">
      <c r="A502" s="1">
        <v>500.0</v>
      </c>
      <c r="B502" s="1">
        <v>8.0</v>
      </c>
      <c r="C502" s="1">
        <v>0.973527162308509</v>
      </c>
      <c r="D502" s="1" t="s">
        <v>461</v>
      </c>
      <c r="E502" s="1" t="s">
        <v>111</v>
      </c>
      <c r="G502" s="1" t="s">
        <v>42</v>
      </c>
      <c r="H502" s="1">
        <v>2022.0</v>
      </c>
      <c r="I502" s="1" t="s">
        <v>240</v>
      </c>
    </row>
    <row r="503">
      <c r="A503" s="1">
        <v>501.0</v>
      </c>
      <c r="B503" s="1">
        <v>8.0</v>
      </c>
      <c r="C503" s="1">
        <v>0.976314629341287</v>
      </c>
      <c r="D503" s="1" t="s">
        <v>462</v>
      </c>
      <c r="E503" s="1" t="s">
        <v>111</v>
      </c>
      <c r="G503" s="1" t="s">
        <v>42</v>
      </c>
      <c r="H503" s="1">
        <v>2022.0</v>
      </c>
      <c r="I503" s="1" t="s">
        <v>240</v>
      </c>
    </row>
    <row r="504">
      <c r="A504" s="1">
        <v>502.0</v>
      </c>
      <c r="B504" s="1">
        <v>8.0</v>
      </c>
      <c r="C504" s="1">
        <v>0.975674445561956</v>
      </c>
      <c r="D504" s="1" t="s">
        <v>463</v>
      </c>
      <c r="E504" s="1" t="s">
        <v>111</v>
      </c>
      <c r="G504" s="1" t="s">
        <v>42</v>
      </c>
      <c r="H504" s="1">
        <v>2022.0</v>
      </c>
      <c r="I504" s="1" t="s">
        <v>240</v>
      </c>
    </row>
    <row r="505">
      <c r="A505" s="1">
        <v>503.0</v>
      </c>
      <c r="B505" s="1">
        <v>8.0</v>
      </c>
      <c r="C505" s="1">
        <v>0.762891493717438</v>
      </c>
      <c r="D505" s="1" t="s">
        <v>464</v>
      </c>
      <c r="E505" s="1" t="s">
        <v>111</v>
      </c>
      <c r="G505" s="1" t="s">
        <v>42</v>
      </c>
      <c r="H505" s="1">
        <v>2022.0</v>
      </c>
      <c r="I505" s="1" t="s">
        <v>240</v>
      </c>
    </row>
    <row r="506">
      <c r="A506" s="1">
        <v>504.0</v>
      </c>
      <c r="B506" s="1">
        <v>8.0</v>
      </c>
      <c r="C506" s="1">
        <v>0.685339002543886</v>
      </c>
      <c r="D506" s="1" t="s">
        <v>465</v>
      </c>
      <c r="E506" s="1" t="s">
        <v>111</v>
      </c>
      <c r="G506" s="1" t="s">
        <v>42</v>
      </c>
      <c r="H506" s="1">
        <v>2022.0</v>
      </c>
      <c r="I506" s="1" t="s">
        <v>240</v>
      </c>
    </row>
    <row r="507">
      <c r="A507" s="1">
        <v>505.0</v>
      </c>
      <c r="B507" s="1">
        <v>2.0</v>
      </c>
      <c r="C507" s="1">
        <v>0.686256272467811</v>
      </c>
      <c r="D507" s="1" t="s">
        <v>466</v>
      </c>
      <c r="E507" s="1" t="s">
        <v>111</v>
      </c>
      <c r="G507" s="1" t="s">
        <v>42</v>
      </c>
      <c r="H507" s="1">
        <v>2022.0</v>
      </c>
      <c r="I507" s="1" t="s">
        <v>240</v>
      </c>
    </row>
    <row r="508">
      <c r="A508" s="1">
        <v>506.0</v>
      </c>
      <c r="B508" s="1">
        <v>2.0</v>
      </c>
      <c r="C508" s="1">
        <v>0.561071926702656</v>
      </c>
      <c r="D508" s="1" t="s">
        <v>467</v>
      </c>
      <c r="E508" s="1" t="s">
        <v>111</v>
      </c>
      <c r="G508" s="1" t="s">
        <v>42</v>
      </c>
      <c r="H508" s="1">
        <v>2022.0</v>
      </c>
      <c r="I508" s="1" t="s">
        <v>240</v>
      </c>
    </row>
    <row r="509">
      <c r="A509" s="1">
        <v>507.0</v>
      </c>
      <c r="B509" s="1">
        <v>2.0</v>
      </c>
      <c r="C509" s="1">
        <v>0.342585078390329</v>
      </c>
      <c r="D509" s="1" t="s">
        <v>468</v>
      </c>
      <c r="E509" s="1" t="s">
        <v>111</v>
      </c>
      <c r="G509" s="1" t="s">
        <v>42</v>
      </c>
      <c r="H509" s="1">
        <v>2022.0</v>
      </c>
      <c r="I509" s="1" t="s">
        <v>240</v>
      </c>
    </row>
    <row r="510">
      <c r="A510" s="1">
        <v>508.0</v>
      </c>
      <c r="B510" s="1">
        <v>7.0</v>
      </c>
      <c r="C510" s="1">
        <v>0.960866794453878</v>
      </c>
      <c r="D510" s="1" t="s">
        <v>469</v>
      </c>
      <c r="E510" s="1" t="s">
        <v>111</v>
      </c>
      <c r="G510" s="1" t="s">
        <v>42</v>
      </c>
      <c r="H510" s="1">
        <v>2022.0</v>
      </c>
      <c r="I510" s="1" t="s">
        <v>240</v>
      </c>
    </row>
    <row r="511">
      <c r="A511" s="1">
        <v>509.0</v>
      </c>
      <c r="B511" s="1">
        <v>7.0</v>
      </c>
      <c r="C511" s="1">
        <v>0.960866855889788</v>
      </c>
      <c r="D511" s="1" t="s">
        <v>470</v>
      </c>
      <c r="E511" s="1" t="s">
        <v>111</v>
      </c>
      <c r="G511" s="1" t="s">
        <v>42</v>
      </c>
      <c r="H511" s="1">
        <v>2022.0</v>
      </c>
      <c r="I511" s="1" t="s">
        <v>240</v>
      </c>
    </row>
    <row r="512">
      <c r="A512" s="1">
        <v>510.0</v>
      </c>
      <c r="B512" s="1">
        <v>7.0</v>
      </c>
      <c r="C512" s="1">
        <v>0.959087954545718</v>
      </c>
      <c r="D512" s="1" t="s">
        <v>471</v>
      </c>
      <c r="E512" s="1" t="s">
        <v>111</v>
      </c>
      <c r="G512" s="1" t="s">
        <v>42</v>
      </c>
      <c r="H512" s="1">
        <v>2022.0</v>
      </c>
      <c r="I512" s="1" t="s">
        <v>240</v>
      </c>
    </row>
    <row r="513">
      <c r="A513" s="1">
        <v>511.0</v>
      </c>
      <c r="B513" s="1">
        <v>8.0</v>
      </c>
      <c r="C513" s="1">
        <v>0.889697822964557</v>
      </c>
      <c r="D513" s="1" t="s">
        <v>472</v>
      </c>
      <c r="E513" s="1" t="s">
        <v>111</v>
      </c>
      <c r="G513" s="1" t="s">
        <v>42</v>
      </c>
      <c r="H513" s="1">
        <v>2022.0</v>
      </c>
      <c r="I513" s="1" t="s">
        <v>240</v>
      </c>
    </row>
    <row r="514">
      <c r="A514" s="1">
        <v>512.0</v>
      </c>
      <c r="B514" s="1">
        <v>8.0</v>
      </c>
      <c r="C514" s="1">
        <v>0.944924870133402</v>
      </c>
      <c r="D514" s="1" t="s">
        <v>473</v>
      </c>
      <c r="E514" s="1" t="s">
        <v>111</v>
      </c>
      <c r="G514" s="1" t="s">
        <v>42</v>
      </c>
      <c r="H514" s="1">
        <v>2022.0</v>
      </c>
      <c r="I514" s="1" t="s">
        <v>240</v>
      </c>
    </row>
    <row r="515">
      <c r="A515" s="1">
        <v>513.0</v>
      </c>
      <c r="B515" s="1">
        <v>8.0</v>
      </c>
      <c r="C515" s="1">
        <v>0.90105088952281</v>
      </c>
      <c r="D515" s="1" t="s">
        <v>474</v>
      </c>
      <c r="E515" s="1" t="s">
        <v>111</v>
      </c>
      <c r="G515" s="1" t="s">
        <v>42</v>
      </c>
      <c r="H515" s="1">
        <v>2022.0</v>
      </c>
      <c r="I515" s="1" t="s">
        <v>240</v>
      </c>
    </row>
    <row r="516">
      <c r="A516" s="1">
        <v>514.0</v>
      </c>
      <c r="B516" s="1">
        <v>8.0</v>
      </c>
      <c r="C516" s="1">
        <v>0.976314063168813</v>
      </c>
      <c r="D516" s="1" t="s">
        <v>475</v>
      </c>
      <c r="E516" s="1" t="s">
        <v>111</v>
      </c>
      <c r="G516" s="1" t="s">
        <v>42</v>
      </c>
      <c r="H516" s="1">
        <v>2022.0</v>
      </c>
      <c r="I516" s="1" t="s">
        <v>240</v>
      </c>
    </row>
    <row r="517">
      <c r="A517" s="1">
        <v>515.0</v>
      </c>
      <c r="B517" s="1">
        <v>2.0</v>
      </c>
      <c r="C517" s="1">
        <v>0.446027596717229</v>
      </c>
      <c r="D517" s="1" t="s">
        <v>476</v>
      </c>
      <c r="E517" s="1" t="s">
        <v>111</v>
      </c>
      <c r="H517" s="1">
        <v>2014.0</v>
      </c>
      <c r="I517" s="1" t="s">
        <v>240</v>
      </c>
    </row>
    <row r="518">
      <c r="A518" s="1">
        <v>516.0</v>
      </c>
      <c r="B518" s="1">
        <v>2.0</v>
      </c>
      <c r="C518" s="1">
        <v>0.758898021538834</v>
      </c>
      <c r="D518" s="1" t="s">
        <v>477</v>
      </c>
      <c r="E518" s="1" t="s">
        <v>111</v>
      </c>
      <c r="H518" s="1">
        <v>2014.0</v>
      </c>
      <c r="I518" s="1" t="s">
        <v>240</v>
      </c>
    </row>
    <row r="519">
      <c r="A519" s="1">
        <v>517.0</v>
      </c>
      <c r="B519" s="1">
        <v>2.0</v>
      </c>
      <c r="C519" s="1">
        <v>0.523610698645164</v>
      </c>
      <c r="D519" s="1" t="s">
        <v>478</v>
      </c>
      <c r="E519" s="1" t="s">
        <v>111</v>
      </c>
      <c r="H519" s="1">
        <v>2014.0</v>
      </c>
      <c r="I519" s="1" t="s">
        <v>240</v>
      </c>
    </row>
    <row r="520">
      <c r="A520" s="1">
        <v>518.0</v>
      </c>
      <c r="B520" s="1">
        <v>2.0</v>
      </c>
      <c r="C520" s="1">
        <v>0.609458356413106</v>
      </c>
      <c r="D520" s="1" t="s">
        <v>479</v>
      </c>
      <c r="E520" s="1" t="s">
        <v>20</v>
      </c>
      <c r="F520" s="1" t="s">
        <v>18</v>
      </c>
      <c r="G520" s="1" t="s">
        <v>42</v>
      </c>
      <c r="H520" s="1">
        <v>2022.0</v>
      </c>
      <c r="I520" s="1" t="s">
        <v>240</v>
      </c>
    </row>
    <row r="521">
      <c r="A521" s="1">
        <v>519.0</v>
      </c>
      <c r="B521" s="1">
        <v>2.0</v>
      </c>
      <c r="C521" s="1">
        <v>0.559864633512307</v>
      </c>
      <c r="D521" s="1" t="s">
        <v>480</v>
      </c>
      <c r="E521" s="1" t="s">
        <v>20</v>
      </c>
      <c r="F521" s="1" t="s">
        <v>18</v>
      </c>
      <c r="G521" s="1" t="s">
        <v>42</v>
      </c>
      <c r="H521" s="1">
        <v>2022.0</v>
      </c>
      <c r="I521" s="1" t="s">
        <v>240</v>
      </c>
    </row>
    <row r="522">
      <c r="A522" s="1">
        <v>520.0</v>
      </c>
      <c r="B522" s="1">
        <v>2.0</v>
      </c>
      <c r="C522" s="1">
        <v>0.603847679049029</v>
      </c>
      <c r="D522" s="1" t="s">
        <v>481</v>
      </c>
      <c r="E522" s="1" t="s">
        <v>20</v>
      </c>
      <c r="F522" s="1" t="s">
        <v>18</v>
      </c>
      <c r="G522" s="1" t="s">
        <v>42</v>
      </c>
      <c r="H522" s="1">
        <v>2022.0</v>
      </c>
      <c r="I522" s="1" t="s">
        <v>240</v>
      </c>
    </row>
    <row r="523">
      <c r="A523" s="1">
        <v>521.0</v>
      </c>
      <c r="B523" s="1">
        <v>2.0</v>
      </c>
      <c r="C523" s="1">
        <v>0.508494957295698</v>
      </c>
      <c r="D523" s="1" t="s">
        <v>482</v>
      </c>
      <c r="E523" s="1" t="s">
        <v>20</v>
      </c>
      <c r="F523" s="1" t="s">
        <v>18</v>
      </c>
      <c r="G523" s="1" t="s">
        <v>42</v>
      </c>
      <c r="H523" s="1">
        <v>2022.0</v>
      </c>
      <c r="I523" s="1" t="s">
        <v>240</v>
      </c>
    </row>
    <row r="524">
      <c r="A524" s="1">
        <v>522.0</v>
      </c>
      <c r="B524" s="1">
        <v>2.0</v>
      </c>
      <c r="C524" s="1">
        <v>0.528476849567805</v>
      </c>
      <c r="D524" s="1" t="s">
        <v>483</v>
      </c>
      <c r="E524" s="1" t="s">
        <v>20</v>
      </c>
      <c r="F524" s="1" t="s">
        <v>18</v>
      </c>
      <c r="G524" s="1" t="s">
        <v>42</v>
      </c>
      <c r="H524" s="1">
        <v>2022.0</v>
      </c>
      <c r="I524" s="1" t="s">
        <v>240</v>
      </c>
    </row>
    <row r="525">
      <c r="A525" s="1">
        <v>523.0</v>
      </c>
      <c r="B525" s="1">
        <v>8.0</v>
      </c>
      <c r="C525" s="1">
        <v>0.610240596626566</v>
      </c>
      <c r="D525" s="1" t="s">
        <v>484</v>
      </c>
      <c r="E525" s="1" t="s">
        <v>20</v>
      </c>
      <c r="F525" s="1" t="s">
        <v>18</v>
      </c>
      <c r="G525" s="1" t="s">
        <v>42</v>
      </c>
      <c r="H525" s="1">
        <v>2022.0</v>
      </c>
      <c r="I525" s="1" t="s">
        <v>240</v>
      </c>
    </row>
    <row r="526">
      <c r="A526" s="1">
        <v>524.0</v>
      </c>
      <c r="B526" s="1">
        <v>2.0</v>
      </c>
      <c r="C526" s="1">
        <v>0.55165493057575</v>
      </c>
      <c r="D526" s="1" t="s">
        <v>485</v>
      </c>
      <c r="E526" s="1" t="s">
        <v>17</v>
      </c>
      <c r="F526" s="1" t="s">
        <v>18</v>
      </c>
      <c r="G526" s="1">
        <v>12.0</v>
      </c>
      <c r="H526" s="1">
        <v>2024.0</v>
      </c>
      <c r="I526" s="1" t="s">
        <v>240</v>
      </c>
    </row>
    <row r="527">
      <c r="A527" s="1">
        <v>525.0</v>
      </c>
      <c r="B527" s="1">
        <v>8.0</v>
      </c>
      <c r="C527" s="1">
        <v>0.62362935931083</v>
      </c>
      <c r="D527" s="1" t="s">
        <v>486</v>
      </c>
      <c r="E527" s="1" t="s">
        <v>17</v>
      </c>
      <c r="F527" s="1" t="s">
        <v>18</v>
      </c>
      <c r="G527" s="1">
        <v>12.0</v>
      </c>
      <c r="H527" s="1">
        <v>2024.0</v>
      </c>
      <c r="I527" s="1" t="s">
        <v>240</v>
      </c>
    </row>
    <row r="528">
      <c r="A528" s="1">
        <v>526.0</v>
      </c>
      <c r="B528" s="1">
        <v>2.0</v>
      </c>
      <c r="C528" s="1">
        <v>0.65245717229233</v>
      </c>
      <c r="D528" s="1" t="s">
        <v>487</v>
      </c>
      <c r="E528" s="1" t="s">
        <v>17</v>
      </c>
      <c r="F528" s="1" t="s">
        <v>18</v>
      </c>
      <c r="G528" s="1">
        <v>12.0</v>
      </c>
      <c r="H528" s="1">
        <v>2024.0</v>
      </c>
      <c r="I528" s="1" t="s">
        <v>240</v>
      </c>
    </row>
    <row r="529">
      <c r="A529" s="1">
        <v>527.0</v>
      </c>
      <c r="B529" s="1">
        <v>8.0</v>
      </c>
      <c r="C529" s="1">
        <v>0.740357436925196</v>
      </c>
      <c r="D529" s="1" t="s">
        <v>488</v>
      </c>
      <c r="E529" s="1" t="s">
        <v>17</v>
      </c>
      <c r="F529" s="1" t="s">
        <v>18</v>
      </c>
      <c r="G529" s="1">
        <v>12.0</v>
      </c>
      <c r="H529" s="1">
        <v>2024.0</v>
      </c>
      <c r="I529" s="1" t="s">
        <v>240</v>
      </c>
    </row>
    <row r="530">
      <c r="A530" s="1">
        <v>528.0</v>
      </c>
      <c r="B530" s="1">
        <v>8.0</v>
      </c>
      <c r="C530" s="1">
        <v>0.668142241429512</v>
      </c>
      <c r="D530" s="1" t="s">
        <v>489</v>
      </c>
      <c r="E530" s="1" t="s">
        <v>17</v>
      </c>
      <c r="F530" s="1" t="s">
        <v>18</v>
      </c>
      <c r="G530" s="1">
        <v>12.0</v>
      </c>
      <c r="H530" s="1">
        <v>2024.0</v>
      </c>
      <c r="I530" s="1" t="s">
        <v>240</v>
      </c>
    </row>
    <row r="531">
      <c r="A531" s="1">
        <v>529.0</v>
      </c>
      <c r="B531" s="1">
        <v>2.0</v>
      </c>
      <c r="C531" s="1">
        <v>0.551302332454285</v>
      </c>
      <c r="D531" s="1" t="s">
        <v>490</v>
      </c>
      <c r="E531" s="1" t="s">
        <v>17</v>
      </c>
      <c r="F531" s="1" t="s">
        <v>18</v>
      </c>
      <c r="G531" s="1">
        <v>12.0</v>
      </c>
      <c r="H531" s="1">
        <v>2024.0</v>
      </c>
      <c r="I531" s="1" t="s">
        <v>240</v>
      </c>
    </row>
    <row r="532">
      <c r="A532" s="1">
        <v>530.0</v>
      </c>
      <c r="B532" s="1">
        <v>2.0</v>
      </c>
      <c r="C532" s="1">
        <v>0.496588851945053</v>
      </c>
      <c r="D532" s="1" t="s">
        <v>491</v>
      </c>
      <c r="E532" s="1" t="s">
        <v>17</v>
      </c>
      <c r="F532" s="1" t="s">
        <v>18</v>
      </c>
      <c r="G532" s="1">
        <v>12.0</v>
      </c>
      <c r="H532" s="1">
        <v>2024.0</v>
      </c>
      <c r="I532" s="1" t="s">
        <v>240</v>
      </c>
    </row>
    <row r="533">
      <c r="A533" s="1">
        <v>531.0</v>
      </c>
      <c r="B533" s="1">
        <v>8.0</v>
      </c>
      <c r="C533" s="1">
        <v>0.618870784502891</v>
      </c>
      <c r="D533" s="1" t="s">
        <v>492</v>
      </c>
      <c r="E533" s="1" t="s">
        <v>17</v>
      </c>
      <c r="F533" s="1" t="s">
        <v>18</v>
      </c>
      <c r="G533" s="1">
        <v>12.0</v>
      </c>
      <c r="H533" s="1">
        <v>2024.0</v>
      </c>
      <c r="I533" s="1" t="s">
        <v>240</v>
      </c>
    </row>
    <row r="534">
      <c r="A534" s="1">
        <v>532.0</v>
      </c>
      <c r="B534" s="1">
        <v>2.0</v>
      </c>
      <c r="C534" s="1">
        <v>0.551703669930142</v>
      </c>
      <c r="D534" s="1" t="s">
        <v>493</v>
      </c>
      <c r="E534" s="1" t="s">
        <v>124</v>
      </c>
      <c r="F534" s="1" t="s">
        <v>18</v>
      </c>
      <c r="G534" s="1" t="s">
        <v>26</v>
      </c>
      <c r="H534" s="1">
        <v>2015.0</v>
      </c>
      <c r="I534" s="1" t="s">
        <v>240</v>
      </c>
    </row>
    <row r="535">
      <c r="A535" s="1">
        <v>533.0</v>
      </c>
      <c r="B535" s="1">
        <v>2.0</v>
      </c>
      <c r="C535" s="1">
        <v>0.533531693240031</v>
      </c>
      <c r="D535" s="1" t="s">
        <v>494</v>
      </c>
      <c r="E535" s="1" t="s">
        <v>124</v>
      </c>
      <c r="F535" s="1" t="s">
        <v>18</v>
      </c>
      <c r="G535" s="1" t="s">
        <v>26</v>
      </c>
      <c r="H535" s="1">
        <v>2015.0</v>
      </c>
      <c r="I535" s="1" t="s">
        <v>240</v>
      </c>
    </row>
    <row r="536">
      <c r="A536" s="1">
        <v>534.0</v>
      </c>
      <c r="B536" s="1">
        <v>2.0</v>
      </c>
      <c r="C536" s="1">
        <v>0.415323540235116</v>
      </c>
      <c r="D536" s="1" t="s">
        <v>495</v>
      </c>
      <c r="E536" s="1" t="s">
        <v>124</v>
      </c>
      <c r="F536" s="1" t="s">
        <v>18</v>
      </c>
      <c r="G536" s="1" t="s">
        <v>26</v>
      </c>
      <c r="H536" s="1">
        <v>2015.0</v>
      </c>
      <c r="I536" s="1" t="s">
        <v>240</v>
      </c>
    </row>
    <row r="537">
      <c r="A537" s="1">
        <v>535.0</v>
      </c>
      <c r="B537" s="1">
        <v>2.0</v>
      </c>
      <c r="C537" s="1">
        <v>0.889730266905069</v>
      </c>
      <c r="D537" s="1" t="s">
        <v>496</v>
      </c>
      <c r="E537" s="1" t="s">
        <v>124</v>
      </c>
      <c r="F537" s="1" t="s">
        <v>18</v>
      </c>
      <c r="G537" s="1" t="s">
        <v>26</v>
      </c>
      <c r="H537" s="1">
        <v>2015.0</v>
      </c>
      <c r="I537" s="1" t="s">
        <v>240</v>
      </c>
    </row>
    <row r="538">
      <c r="A538" s="1">
        <v>536.0</v>
      </c>
      <c r="B538" s="1">
        <v>2.0</v>
      </c>
      <c r="C538" s="1">
        <v>0.709782793649589</v>
      </c>
      <c r="D538" s="1" t="s">
        <v>497</v>
      </c>
      <c r="E538" s="1" t="s">
        <v>124</v>
      </c>
      <c r="F538" s="1" t="s">
        <v>18</v>
      </c>
      <c r="G538" s="1" t="s">
        <v>26</v>
      </c>
      <c r="H538" s="1">
        <v>2015.0</v>
      </c>
      <c r="I538" s="1" t="s">
        <v>240</v>
      </c>
    </row>
    <row r="539">
      <c r="A539" s="1">
        <v>537.0</v>
      </c>
      <c r="B539" s="1">
        <v>2.0</v>
      </c>
      <c r="C539" s="1">
        <v>0.751666669166988</v>
      </c>
      <c r="D539" s="1" t="s">
        <v>498</v>
      </c>
      <c r="E539" s="1" t="s">
        <v>124</v>
      </c>
      <c r="F539" s="1" t="s">
        <v>18</v>
      </c>
      <c r="G539" s="1" t="s">
        <v>26</v>
      </c>
      <c r="H539" s="1">
        <v>2015.0</v>
      </c>
      <c r="I539" s="1" t="s">
        <v>240</v>
      </c>
    </row>
    <row r="540">
      <c r="A540" s="1">
        <v>538.0</v>
      </c>
      <c r="B540" s="1">
        <v>8.0</v>
      </c>
      <c r="C540" s="1">
        <v>0.626729105181551</v>
      </c>
      <c r="D540" s="1" t="s">
        <v>499</v>
      </c>
      <c r="E540" s="1" t="s">
        <v>17</v>
      </c>
      <c r="F540" s="1" t="s">
        <v>18</v>
      </c>
      <c r="G540" s="1">
        <v>12.0</v>
      </c>
      <c r="H540" s="1">
        <v>2024.0</v>
      </c>
      <c r="I540" s="1" t="s">
        <v>240</v>
      </c>
    </row>
    <row r="541">
      <c r="A541" s="1">
        <v>539.0</v>
      </c>
      <c r="B541" s="1">
        <v>8.0</v>
      </c>
      <c r="C541" s="1">
        <v>0.69163080747462</v>
      </c>
      <c r="D541" s="1" t="s">
        <v>500</v>
      </c>
      <c r="E541" s="1" t="s">
        <v>17</v>
      </c>
      <c r="F541" s="1" t="s">
        <v>18</v>
      </c>
      <c r="G541" s="1">
        <v>12.0</v>
      </c>
      <c r="H541" s="1">
        <v>2024.0</v>
      </c>
      <c r="I541" s="1" t="s">
        <v>240</v>
      </c>
    </row>
    <row r="542">
      <c r="A542" s="1">
        <v>540.0</v>
      </c>
      <c r="B542" s="1">
        <v>8.0</v>
      </c>
      <c r="C542" s="1">
        <v>0.693494994833785</v>
      </c>
      <c r="D542" s="1" t="s">
        <v>501</v>
      </c>
      <c r="E542" s="1" t="s">
        <v>17</v>
      </c>
      <c r="F542" s="1" t="s">
        <v>18</v>
      </c>
      <c r="G542" s="1">
        <v>12.0</v>
      </c>
      <c r="H542" s="1">
        <v>2024.0</v>
      </c>
      <c r="I542" s="1" t="s">
        <v>240</v>
      </c>
    </row>
    <row r="543">
      <c r="A543" s="1">
        <v>541.0</v>
      </c>
      <c r="B543" s="1">
        <v>8.0</v>
      </c>
      <c r="C543" s="1">
        <v>0.558502619728596</v>
      </c>
      <c r="D543" s="1" t="s">
        <v>502</v>
      </c>
      <c r="E543" s="1" t="s">
        <v>17</v>
      </c>
      <c r="F543" s="1" t="s">
        <v>18</v>
      </c>
      <c r="G543" s="1">
        <v>12.0</v>
      </c>
      <c r="H543" s="1">
        <v>2024.0</v>
      </c>
      <c r="I543" s="1" t="s">
        <v>240</v>
      </c>
    </row>
    <row r="544">
      <c r="A544" s="1">
        <v>542.0</v>
      </c>
      <c r="B544" s="1">
        <v>2.0</v>
      </c>
      <c r="C544" s="1">
        <v>0.545794086076793</v>
      </c>
      <c r="D544" s="1" t="s">
        <v>503</v>
      </c>
      <c r="E544" s="1" t="s">
        <v>17</v>
      </c>
      <c r="F544" s="1" t="s">
        <v>18</v>
      </c>
      <c r="G544" s="1">
        <v>12.0</v>
      </c>
      <c r="H544" s="1">
        <v>2024.0</v>
      </c>
      <c r="I544" s="1" t="s">
        <v>240</v>
      </c>
    </row>
    <row r="545">
      <c r="A545" s="1">
        <v>543.0</v>
      </c>
      <c r="B545" s="1">
        <v>2.0</v>
      </c>
      <c r="C545" s="1">
        <v>0.551703669930142</v>
      </c>
      <c r="D545" s="1" t="s">
        <v>493</v>
      </c>
      <c r="E545" s="1" t="s">
        <v>124</v>
      </c>
      <c r="F545" s="1" t="s">
        <v>178</v>
      </c>
      <c r="G545" s="1" t="s">
        <v>26</v>
      </c>
      <c r="H545" s="1">
        <v>2015.0</v>
      </c>
      <c r="I545" s="1" t="s">
        <v>240</v>
      </c>
    </row>
    <row r="546">
      <c r="A546" s="1">
        <v>544.0</v>
      </c>
      <c r="B546" s="1">
        <v>2.0</v>
      </c>
      <c r="C546" s="1">
        <v>0.533531693240031</v>
      </c>
      <c r="D546" s="1" t="s">
        <v>494</v>
      </c>
      <c r="E546" s="1" t="s">
        <v>124</v>
      </c>
      <c r="F546" s="1" t="s">
        <v>178</v>
      </c>
      <c r="G546" s="1" t="s">
        <v>26</v>
      </c>
      <c r="H546" s="1">
        <v>2015.0</v>
      </c>
      <c r="I546" s="1" t="s">
        <v>240</v>
      </c>
    </row>
    <row r="547">
      <c r="A547" s="1">
        <v>545.0</v>
      </c>
      <c r="B547" s="1">
        <v>2.0</v>
      </c>
      <c r="C547" s="1">
        <v>0.415323540235116</v>
      </c>
      <c r="D547" s="1" t="s">
        <v>495</v>
      </c>
      <c r="E547" s="1" t="s">
        <v>124</v>
      </c>
      <c r="F547" s="1" t="s">
        <v>178</v>
      </c>
      <c r="G547" s="1" t="s">
        <v>26</v>
      </c>
      <c r="H547" s="1">
        <v>2015.0</v>
      </c>
      <c r="I547" s="1" t="s">
        <v>240</v>
      </c>
    </row>
    <row r="548">
      <c r="A548" s="1">
        <v>546.0</v>
      </c>
      <c r="B548" s="1">
        <v>2.0</v>
      </c>
      <c r="C548" s="1">
        <v>0.889730266905069</v>
      </c>
      <c r="D548" s="1" t="s">
        <v>496</v>
      </c>
      <c r="E548" s="1" t="s">
        <v>124</v>
      </c>
      <c r="F548" s="1" t="s">
        <v>178</v>
      </c>
      <c r="G548" s="1" t="s">
        <v>26</v>
      </c>
      <c r="H548" s="1">
        <v>2015.0</v>
      </c>
      <c r="I548" s="1" t="s">
        <v>240</v>
      </c>
    </row>
    <row r="549">
      <c r="A549" s="1">
        <v>547.0</v>
      </c>
      <c r="B549" s="1">
        <v>2.0</v>
      </c>
      <c r="C549" s="1">
        <v>0.709782793649589</v>
      </c>
      <c r="D549" s="1" t="s">
        <v>497</v>
      </c>
      <c r="E549" s="1" t="s">
        <v>124</v>
      </c>
      <c r="F549" s="1" t="s">
        <v>178</v>
      </c>
      <c r="G549" s="1" t="s">
        <v>26</v>
      </c>
      <c r="H549" s="1">
        <v>2015.0</v>
      </c>
      <c r="I549" s="1" t="s">
        <v>240</v>
      </c>
    </row>
    <row r="550">
      <c r="A550" s="1">
        <v>548.0</v>
      </c>
      <c r="B550" s="1">
        <v>2.0</v>
      </c>
      <c r="C550" s="1">
        <v>0.751666669166988</v>
      </c>
      <c r="D550" s="1" t="s">
        <v>498</v>
      </c>
      <c r="E550" s="1" t="s">
        <v>124</v>
      </c>
      <c r="F550" s="1" t="s">
        <v>178</v>
      </c>
      <c r="G550" s="1" t="s">
        <v>26</v>
      </c>
      <c r="H550" s="1">
        <v>2015.0</v>
      </c>
      <c r="I550" s="1" t="s">
        <v>240</v>
      </c>
    </row>
    <row r="551">
      <c r="A551" s="1">
        <v>549.0</v>
      </c>
      <c r="B551" s="1">
        <v>6.0</v>
      </c>
      <c r="C551" s="1">
        <v>0.604199729123705</v>
      </c>
      <c r="D551" s="1" t="s">
        <v>504</v>
      </c>
      <c r="E551" s="1" t="s">
        <v>47</v>
      </c>
      <c r="F551" s="1" t="s">
        <v>18</v>
      </c>
      <c r="H551" s="1">
        <v>2022.0</v>
      </c>
      <c r="I551" s="1" t="s">
        <v>240</v>
      </c>
    </row>
    <row r="552">
      <c r="A552" s="1">
        <v>550.0</v>
      </c>
      <c r="B552" s="1">
        <v>9.0</v>
      </c>
      <c r="C552" s="1">
        <v>0.965381238218374</v>
      </c>
      <c r="D552" s="1" t="s">
        <v>408</v>
      </c>
      <c r="E552" s="1" t="s">
        <v>47</v>
      </c>
      <c r="F552" s="1" t="s">
        <v>18</v>
      </c>
      <c r="H552" s="1">
        <v>2022.0</v>
      </c>
      <c r="I552" s="1" t="s">
        <v>240</v>
      </c>
    </row>
    <row r="553">
      <c r="A553" s="1">
        <v>551.0</v>
      </c>
      <c r="B553" s="1">
        <v>8.0</v>
      </c>
      <c r="C553" s="1">
        <v>0.929311736070605</v>
      </c>
      <c r="D553" s="1" t="s">
        <v>409</v>
      </c>
      <c r="E553" s="1" t="s">
        <v>47</v>
      </c>
      <c r="F553" s="1" t="s">
        <v>18</v>
      </c>
      <c r="H553" s="1">
        <v>2022.0</v>
      </c>
      <c r="I553" s="1" t="s">
        <v>240</v>
      </c>
    </row>
    <row r="554">
      <c r="A554" s="1">
        <v>552.0</v>
      </c>
      <c r="B554" s="1">
        <v>8.0</v>
      </c>
      <c r="C554" s="1">
        <v>0.711524686125435</v>
      </c>
      <c r="D554" s="1" t="s">
        <v>410</v>
      </c>
      <c r="E554" s="1" t="s">
        <v>47</v>
      </c>
      <c r="F554" s="1" t="s">
        <v>18</v>
      </c>
      <c r="H554" s="1">
        <v>2022.0</v>
      </c>
      <c r="I554" s="1" t="s">
        <v>240</v>
      </c>
    </row>
    <row r="555">
      <c r="A555" s="1">
        <v>553.0</v>
      </c>
      <c r="B555" s="1">
        <v>2.0</v>
      </c>
      <c r="C555" s="1">
        <v>0.750182156148545</v>
      </c>
      <c r="D555" s="1" t="s">
        <v>505</v>
      </c>
      <c r="E555" s="1" t="s">
        <v>107</v>
      </c>
      <c r="F555" s="1" t="s">
        <v>18</v>
      </c>
      <c r="H555" s="1">
        <v>2022.0</v>
      </c>
      <c r="I555" s="1" t="s">
        <v>240</v>
      </c>
    </row>
    <row r="556">
      <c r="A556" s="1">
        <v>554.0</v>
      </c>
      <c r="B556" s="1">
        <v>2.0</v>
      </c>
      <c r="C556" s="1">
        <v>0.39257765120895</v>
      </c>
      <c r="D556" s="1" t="s">
        <v>506</v>
      </c>
      <c r="E556" s="1" t="s">
        <v>107</v>
      </c>
      <c r="F556" s="1" t="s">
        <v>18</v>
      </c>
      <c r="H556" s="1">
        <v>2022.0</v>
      </c>
      <c r="I556" s="1" t="s">
        <v>240</v>
      </c>
    </row>
    <row r="557">
      <c r="A557" s="1">
        <v>555.0</v>
      </c>
      <c r="B557" s="1">
        <v>2.0</v>
      </c>
      <c r="C557" s="1">
        <v>0.680735667056067</v>
      </c>
      <c r="D557" s="1" t="s">
        <v>507</v>
      </c>
      <c r="E557" s="1" t="s">
        <v>107</v>
      </c>
      <c r="F557" s="1" t="s">
        <v>18</v>
      </c>
      <c r="H557" s="1">
        <v>2022.0</v>
      </c>
      <c r="I557" s="1" t="s">
        <v>240</v>
      </c>
    </row>
    <row r="558">
      <c r="A558" s="1">
        <v>556.0</v>
      </c>
      <c r="B558" s="1">
        <v>2.0</v>
      </c>
      <c r="C558" s="1">
        <v>0.495770577599109</v>
      </c>
      <c r="D558" s="1" t="s">
        <v>508</v>
      </c>
      <c r="E558" s="1" t="s">
        <v>107</v>
      </c>
      <c r="F558" s="1" t="s">
        <v>18</v>
      </c>
      <c r="H558" s="1">
        <v>2022.0</v>
      </c>
      <c r="I558" s="1" t="s">
        <v>240</v>
      </c>
    </row>
    <row r="559">
      <c r="A559" s="1">
        <v>557.0</v>
      </c>
      <c r="B559" s="1">
        <v>2.0</v>
      </c>
      <c r="C559" s="1">
        <v>0.957139189168014</v>
      </c>
      <c r="D559" s="1" t="s">
        <v>509</v>
      </c>
      <c r="E559" s="1" t="s">
        <v>107</v>
      </c>
      <c r="F559" s="1" t="s">
        <v>18</v>
      </c>
      <c r="H559" s="1">
        <v>2022.0</v>
      </c>
      <c r="I559" s="1" t="s">
        <v>240</v>
      </c>
    </row>
    <row r="560">
      <c r="A560" s="1">
        <v>558.0</v>
      </c>
      <c r="B560" s="1">
        <v>2.0</v>
      </c>
      <c r="C560" s="1">
        <v>0.52633973666091</v>
      </c>
      <c r="D560" s="1" t="s">
        <v>510</v>
      </c>
      <c r="E560" s="1" t="s">
        <v>107</v>
      </c>
      <c r="F560" s="1" t="s">
        <v>18</v>
      </c>
      <c r="H560" s="1">
        <v>2022.0</v>
      </c>
      <c r="I560" s="1" t="s">
        <v>240</v>
      </c>
    </row>
    <row r="561">
      <c r="A561" s="1">
        <v>559.0</v>
      </c>
      <c r="B561" s="1">
        <v>2.0</v>
      </c>
      <c r="C561" s="1">
        <v>0.479997535668446</v>
      </c>
      <c r="D561" s="1" t="s">
        <v>511</v>
      </c>
      <c r="E561" s="1" t="s">
        <v>107</v>
      </c>
      <c r="F561" s="1" t="s">
        <v>18</v>
      </c>
      <c r="H561" s="1">
        <v>2022.0</v>
      </c>
      <c r="I561" s="1" t="s">
        <v>240</v>
      </c>
    </row>
    <row r="562">
      <c r="A562" s="1">
        <v>560.0</v>
      </c>
      <c r="B562" s="1">
        <v>2.0</v>
      </c>
      <c r="C562" s="1">
        <v>0.758902085470831</v>
      </c>
      <c r="D562" s="1" t="s">
        <v>512</v>
      </c>
      <c r="E562" s="1" t="s">
        <v>107</v>
      </c>
      <c r="F562" s="1" t="s">
        <v>18</v>
      </c>
      <c r="H562" s="1">
        <v>2022.0</v>
      </c>
      <c r="I562" s="1" t="s">
        <v>240</v>
      </c>
    </row>
    <row r="563">
      <c r="A563" s="1">
        <v>561.0</v>
      </c>
      <c r="B563" s="1">
        <v>2.0</v>
      </c>
      <c r="C563" s="1">
        <v>0.654196381038434</v>
      </c>
      <c r="D563" s="1" t="s">
        <v>513</v>
      </c>
      <c r="E563" s="1" t="s">
        <v>107</v>
      </c>
      <c r="F563" s="1" t="s">
        <v>18</v>
      </c>
      <c r="H563" s="1">
        <v>2022.0</v>
      </c>
      <c r="I563" s="1" t="s">
        <v>240</v>
      </c>
    </row>
    <row r="564">
      <c r="A564" s="1">
        <v>562.0</v>
      </c>
      <c r="B564" s="1">
        <v>2.0</v>
      </c>
      <c r="C564" s="1">
        <v>0.786390420626212</v>
      </c>
      <c r="D564" s="1" t="s">
        <v>514</v>
      </c>
      <c r="E564" s="1" t="s">
        <v>107</v>
      </c>
      <c r="F564" s="1" t="s">
        <v>18</v>
      </c>
      <c r="H564" s="1">
        <v>2022.0</v>
      </c>
      <c r="I564" s="1" t="s">
        <v>240</v>
      </c>
    </row>
    <row r="565">
      <c r="A565" s="1">
        <v>563.0</v>
      </c>
      <c r="B565" s="1">
        <v>7.0</v>
      </c>
      <c r="C565" s="1">
        <v>0.425404700339664</v>
      </c>
      <c r="D565" s="1" t="s">
        <v>515</v>
      </c>
      <c r="E565" s="1" t="s">
        <v>107</v>
      </c>
      <c r="F565" s="1" t="s">
        <v>18</v>
      </c>
      <c r="H565" s="1">
        <v>2022.0</v>
      </c>
      <c r="I565" s="1" t="s">
        <v>240</v>
      </c>
    </row>
    <row r="566">
      <c r="A566" s="1">
        <v>564.0</v>
      </c>
      <c r="B566" s="1">
        <v>2.0</v>
      </c>
      <c r="C566" s="1">
        <v>0.569609301372045</v>
      </c>
      <c r="D566" s="1" t="s">
        <v>516</v>
      </c>
      <c r="E566" s="1" t="s">
        <v>107</v>
      </c>
      <c r="F566" s="1" t="s">
        <v>18</v>
      </c>
      <c r="H566" s="1">
        <v>2022.0</v>
      </c>
      <c r="I566" s="1" t="s">
        <v>240</v>
      </c>
    </row>
    <row r="567">
      <c r="A567" s="1">
        <v>565.0</v>
      </c>
      <c r="B567" s="1">
        <v>2.0</v>
      </c>
      <c r="C567" s="1">
        <v>0.571425669574603</v>
      </c>
      <c r="D567" s="1" t="s">
        <v>517</v>
      </c>
      <c r="E567" s="1" t="s">
        <v>107</v>
      </c>
      <c r="F567" s="1" t="s">
        <v>18</v>
      </c>
      <c r="H567" s="1">
        <v>2022.0</v>
      </c>
      <c r="I567" s="1" t="s">
        <v>240</v>
      </c>
    </row>
    <row r="568">
      <c r="A568" s="1">
        <v>566.0</v>
      </c>
      <c r="B568" s="1">
        <v>9.0</v>
      </c>
      <c r="C568" s="1">
        <v>0.572471745536277</v>
      </c>
      <c r="D568" s="1" t="s">
        <v>518</v>
      </c>
      <c r="E568" s="1" t="s">
        <v>107</v>
      </c>
      <c r="F568" s="1" t="s">
        <v>18</v>
      </c>
      <c r="H568" s="1">
        <v>2022.0</v>
      </c>
      <c r="I568" s="1" t="s">
        <v>240</v>
      </c>
    </row>
    <row r="569">
      <c r="A569" s="1">
        <v>567.0</v>
      </c>
      <c r="B569" s="1">
        <v>8.0</v>
      </c>
      <c r="C569" s="1">
        <v>0.372908827625568</v>
      </c>
      <c r="D569" s="1" t="s">
        <v>519</v>
      </c>
      <c r="E569" s="1" t="s">
        <v>107</v>
      </c>
      <c r="F569" s="1" t="s">
        <v>18</v>
      </c>
      <c r="H569" s="1">
        <v>2022.0</v>
      </c>
      <c r="I569" s="1" t="s">
        <v>240</v>
      </c>
    </row>
    <row r="570">
      <c r="A570" s="1">
        <v>568.0</v>
      </c>
      <c r="B570" s="1">
        <v>2.0</v>
      </c>
      <c r="C570" s="1">
        <v>0.665225061792536</v>
      </c>
      <c r="D570" s="1" t="s">
        <v>520</v>
      </c>
      <c r="E570" s="1" t="s">
        <v>107</v>
      </c>
      <c r="F570" s="1" t="s">
        <v>18</v>
      </c>
      <c r="H570" s="1">
        <v>2022.0</v>
      </c>
      <c r="I570" s="1" t="s">
        <v>240</v>
      </c>
    </row>
    <row r="571">
      <c r="A571" s="1">
        <v>569.0</v>
      </c>
      <c r="B571" s="1">
        <v>9.0</v>
      </c>
      <c r="C571" s="1">
        <v>0.751900147579012</v>
      </c>
      <c r="D571" s="1" t="s">
        <v>521</v>
      </c>
      <c r="E571" s="1" t="s">
        <v>107</v>
      </c>
      <c r="F571" s="1" t="s">
        <v>18</v>
      </c>
      <c r="H571" s="1">
        <v>2022.0</v>
      </c>
      <c r="I571" s="1" t="s">
        <v>240</v>
      </c>
    </row>
    <row r="572">
      <c r="A572" s="1">
        <v>570.0</v>
      </c>
      <c r="B572" s="1">
        <v>5.0</v>
      </c>
      <c r="C572" s="1">
        <v>0.204423389213574</v>
      </c>
      <c r="D572" s="1" t="s">
        <v>522</v>
      </c>
      <c r="E572" s="1" t="s">
        <v>24</v>
      </c>
      <c r="F572" s="1" t="s">
        <v>18</v>
      </c>
      <c r="G572" s="1">
        <v>9.0</v>
      </c>
      <c r="H572" s="1">
        <v>2014.0</v>
      </c>
      <c r="I572" s="1" t="s">
        <v>240</v>
      </c>
    </row>
    <row r="573">
      <c r="A573" s="1">
        <v>571.0</v>
      </c>
      <c r="B573" s="1">
        <v>7.0</v>
      </c>
      <c r="C573" s="1">
        <v>0.44358106762849</v>
      </c>
      <c r="D573" s="1" t="s">
        <v>523</v>
      </c>
      <c r="E573" s="1" t="s">
        <v>24</v>
      </c>
      <c r="F573" s="1" t="s">
        <v>18</v>
      </c>
      <c r="G573" s="1">
        <v>9.0</v>
      </c>
      <c r="H573" s="1">
        <v>2014.0</v>
      </c>
      <c r="I573" s="1" t="s">
        <v>240</v>
      </c>
    </row>
    <row r="574">
      <c r="A574" s="1">
        <v>572.0</v>
      </c>
      <c r="B574" s="1">
        <v>7.0</v>
      </c>
      <c r="C574" s="1">
        <v>0.578320981557861</v>
      </c>
      <c r="D574" s="1" t="s">
        <v>524</v>
      </c>
      <c r="E574" s="1" t="s">
        <v>24</v>
      </c>
      <c r="F574" s="1" t="s">
        <v>18</v>
      </c>
      <c r="G574" s="1">
        <v>9.0</v>
      </c>
      <c r="H574" s="1">
        <v>2014.0</v>
      </c>
      <c r="I574" s="1" t="s">
        <v>240</v>
      </c>
    </row>
    <row r="575">
      <c r="A575" s="1">
        <v>573.0</v>
      </c>
      <c r="B575" s="1">
        <v>7.0</v>
      </c>
      <c r="C575" s="1">
        <v>0.949997382326109</v>
      </c>
      <c r="D575" s="1" t="s">
        <v>525</v>
      </c>
      <c r="E575" s="1" t="s">
        <v>24</v>
      </c>
      <c r="F575" s="1" t="s">
        <v>18</v>
      </c>
      <c r="G575" s="1">
        <v>9.0</v>
      </c>
      <c r="H575" s="1">
        <v>2014.0</v>
      </c>
      <c r="I575" s="1" t="s">
        <v>240</v>
      </c>
    </row>
    <row r="576">
      <c r="A576" s="1">
        <v>574.0</v>
      </c>
      <c r="B576" s="1">
        <v>7.0</v>
      </c>
      <c r="C576" s="1">
        <v>0.947054481882376</v>
      </c>
      <c r="D576" s="1" t="s">
        <v>526</v>
      </c>
      <c r="E576" s="1" t="s">
        <v>24</v>
      </c>
      <c r="F576" s="1" t="s">
        <v>18</v>
      </c>
      <c r="G576" s="1">
        <v>9.0</v>
      </c>
      <c r="H576" s="1">
        <v>2014.0</v>
      </c>
      <c r="I576" s="1" t="s">
        <v>240</v>
      </c>
    </row>
    <row r="577">
      <c r="A577" s="1">
        <v>575.0</v>
      </c>
      <c r="B577" s="1">
        <v>5.0</v>
      </c>
      <c r="C577" s="1">
        <v>0.401852689709886</v>
      </c>
      <c r="D577" s="1" t="s">
        <v>527</v>
      </c>
      <c r="E577" s="1" t="s">
        <v>24</v>
      </c>
      <c r="F577" s="1" t="s">
        <v>18</v>
      </c>
      <c r="G577" s="1">
        <v>9.0</v>
      </c>
      <c r="H577" s="1">
        <v>2014.0</v>
      </c>
      <c r="I577" s="1" t="s">
        <v>240</v>
      </c>
    </row>
    <row r="578">
      <c r="A578" s="1">
        <v>576.0</v>
      </c>
      <c r="B578" s="1">
        <v>2.0</v>
      </c>
      <c r="C578" s="1">
        <v>0.476733053076851</v>
      </c>
      <c r="D578" s="1" t="s">
        <v>528</v>
      </c>
      <c r="E578" s="1" t="s">
        <v>187</v>
      </c>
      <c r="I578" s="1" t="s">
        <v>240</v>
      </c>
    </row>
    <row r="579">
      <c r="A579" s="1">
        <v>577.0</v>
      </c>
      <c r="B579" s="1">
        <v>2.0</v>
      </c>
      <c r="C579" s="1">
        <v>0.966663027430031</v>
      </c>
      <c r="D579" s="1" t="s">
        <v>529</v>
      </c>
      <c r="E579" s="1" t="s">
        <v>187</v>
      </c>
      <c r="I579" s="1" t="s">
        <v>240</v>
      </c>
    </row>
    <row r="580">
      <c r="A580" s="1">
        <v>578.0</v>
      </c>
      <c r="B580" s="1">
        <v>2.0</v>
      </c>
      <c r="C580" s="1">
        <v>0.567982044853686</v>
      </c>
      <c r="D580" s="1" t="s">
        <v>530</v>
      </c>
      <c r="E580" s="1" t="s">
        <v>187</v>
      </c>
      <c r="I580" s="1" t="s">
        <v>240</v>
      </c>
    </row>
    <row r="581">
      <c r="A581" s="1">
        <v>579.0</v>
      </c>
      <c r="B581" s="1">
        <v>8.0</v>
      </c>
      <c r="C581" s="1">
        <v>0.365259796015143</v>
      </c>
      <c r="D581" s="1" t="s">
        <v>531</v>
      </c>
      <c r="E581" s="1" t="s">
        <v>187</v>
      </c>
      <c r="I581" s="1" t="s">
        <v>240</v>
      </c>
    </row>
    <row r="582">
      <c r="A582" s="1">
        <v>580.0</v>
      </c>
      <c r="B582" s="1">
        <v>8.0</v>
      </c>
      <c r="C582" s="1">
        <v>0.874701606808092</v>
      </c>
      <c r="D582" s="1" t="s">
        <v>532</v>
      </c>
      <c r="E582" s="1" t="s">
        <v>187</v>
      </c>
      <c r="I582" s="1" t="s">
        <v>240</v>
      </c>
    </row>
    <row r="583">
      <c r="A583" s="1">
        <v>581.0</v>
      </c>
      <c r="B583" s="1">
        <v>8.0</v>
      </c>
      <c r="C583" s="1">
        <v>0.888856693817057</v>
      </c>
      <c r="D583" s="1" t="s">
        <v>533</v>
      </c>
      <c r="E583" s="1" t="s">
        <v>187</v>
      </c>
      <c r="I583" s="1" t="s">
        <v>240</v>
      </c>
    </row>
    <row r="584">
      <c r="A584" s="1">
        <v>582.0</v>
      </c>
      <c r="B584" s="1">
        <v>8.0</v>
      </c>
      <c r="C584" s="1">
        <v>0.488399928143318</v>
      </c>
      <c r="D584" s="1" t="s">
        <v>534</v>
      </c>
      <c r="E584" s="1" t="s">
        <v>187</v>
      </c>
      <c r="I584" s="1" t="s">
        <v>240</v>
      </c>
    </row>
    <row r="585">
      <c r="A585" s="1">
        <v>583.0</v>
      </c>
      <c r="B585" s="1">
        <v>8.0</v>
      </c>
      <c r="C585" s="1">
        <v>0.488399928143318</v>
      </c>
      <c r="D585" s="1" t="s">
        <v>535</v>
      </c>
      <c r="E585" s="1" t="s">
        <v>187</v>
      </c>
      <c r="I585" s="1" t="s">
        <v>240</v>
      </c>
    </row>
    <row r="586">
      <c r="A586" s="1">
        <v>584.0</v>
      </c>
      <c r="B586" s="1">
        <v>8.0</v>
      </c>
      <c r="C586" s="1">
        <v>0.544271774076269</v>
      </c>
      <c r="D586" s="1" t="s">
        <v>536</v>
      </c>
      <c r="E586" s="1" t="s">
        <v>187</v>
      </c>
      <c r="I586" s="1" t="s">
        <v>240</v>
      </c>
    </row>
    <row r="587">
      <c r="A587" s="1">
        <v>585.0</v>
      </c>
      <c r="B587" s="1">
        <v>2.0</v>
      </c>
      <c r="C587" s="1">
        <v>0.957136880937013</v>
      </c>
      <c r="D587" s="1" t="s">
        <v>537</v>
      </c>
      <c r="E587" s="1" t="s">
        <v>187</v>
      </c>
      <c r="I587" s="1" t="s">
        <v>240</v>
      </c>
    </row>
    <row r="588">
      <c r="A588" s="1">
        <v>586.0</v>
      </c>
      <c r="B588" s="1">
        <v>6.0</v>
      </c>
      <c r="C588" s="1">
        <v>0.375152912329428</v>
      </c>
      <c r="D588" s="1" t="s">
        <v>538</v>
      </c>
      <c r="E588" s="1" t="s">
        <v>187</v>
      </c>
      <c r="I588" s="1" t="s">
        <v>240</v>
      </c>
    </row>
    <row r="589">
      <c r="A589" s="1">
        <v>587.0</v>
      </c>
      <c r="B589" s="1">
        <v>8.0</v>
      </c>
      <c r="C589" s="1">
        <v>0.94047542659788</v>
      </c>
      <c r="D589" s="1" t="s">
        <v>539</v>
      </c>
      <c r="E589" s="1" t="s">
        <v>187</v>
      </c>
      <c r="I589" s="1" t="s">
        <v>240</v>
      </c>
    </row>
    <row r="590">
      <c r="A590" s="1">
        <v>588.0</v>
      </c>
      <c r="B590" s="1">
        <v>8.0</v>
      </c>
      <c r="C590" s="1">
        <v>0.841633669546397</v>
      </c>
      <c r="D590" s="1" t="s">
        <v>540</v>
      </c>
      <c r="E590" s="1" t="s">
        <v>187</v>
      </c>
      <c r="I590" s="1" t="s">
        <v>240</v>
      </c>
    </row>
    <row r="591">
      <c r="A591" s="1">
        <v>589.0</v>
      </c>
      <c r="B591" s="1">
        <v>8.0</v>
      </c>
      <c r="C591" s="1">
        <v>0.795048205467298</v>
      </c>
      <c r="D591" s="1" t="s">
        <v>541</v>
      </c>
      <c r="E591" s="1" t="s">
        <v>187</v>
      </c>
      <c r="I591" s="1" t="s">
        <v>240</v>
      </c>
    </row>
    <row r="592">
      <c r="A592" s="1">
        <v>590.0</v>
      </c>
      <c r="B592" s="1">
        <v>8.0</v>
      </c>
      <c r="C592" s="1">
        <v>0.795376634415927</v>
      </c>
      <c r="D592" s="1" t="s">
        <v>542</v>
      </c>
      <c r="E592" s="1" t="s">
        <v>187</v>
      </c>
      <c r="I592" s="1" t="s">
        <v>240</v>
      </c>
    </row>
    <row r="593">
      <c r="A593" s="1">
        <v>591.0</v>
      </c>
      <c r="B593" s="1">
        <v>2.0</v>
      </c>
      <c r="C593" s="1">
        <v>0.534988441644364</v>
      </c>
      <c r="D593" s="1" t="s">
        <v>543</v>
      </c>
      <c r="E593" s="1" t="s">
        <v>187</v>
      </c>
      <c r="I593" s="1" t="s">
        <v>240</v>
      </c>
    </row>
    <row r="594">
      <c r="A594" s="1">
        <v>592.0</v>
      </c>
      <c r="B594" s="1">
        <v>2.0</v>
      </c>
      <c r="C594" s="1">
        <v>0.687397881118323</v>
      </c>
      <c r="D594" s="1" t="s">
        <v>544</v>
      </c>
      <c r="E594" s="1" t="s">
        <v>187</v>
      </c>
      <c r="I594" s="1" t="s">
        <v>240</v>
      </c>
    </row>
    <row r="595">
      <c r="A595" s="1">
        <v>593.0</v>
      </c>
      <c r="B595" s="1">
        <v>8.0</v>
      </c>
      <c r="C595" s="1">
        <v>0.595995654463692</v>
      </c>
      <c r="D595" s="1" t="s">
        <v>545</v>
      </c>
      <c r="E595" s="1" t="s">
        <v>187</v>
      </c>
      <c r="I595" s="1" t="s">
        <v>240</v>
      </c>
    </row>
    <row r="596">
      <c r="A596" s="1">
        <v>594.0</v>
      </c>
      <c r="B596" s="1">
        <v>8.0</v>
      </c>
      <c r="C596" s="1">
        <v>0.750757530593</v>
      </c>
      <c r="D596" s="1" t="s">
        <v>546</v>
      </c>
      <c r="E596" s="1" t="s">
        <v>187</v>
      </c>
      <c r="I596" s="1" t="s">
        <v>240</v>
      </c>
    </row>
    <row r="597">
      <c r="A597" s="1">
        <v>595.0</v>
      </c>
      <c r="B597" s="1">
        <v>8.0</v>
      </c>
      <c r="C597" s="1">
        <v>0.929247163632466</v>
      </c>
      <c r="D597" s="1" t="s">
        <v>547</v>
      </c>
      <c r="E597" s="1" t="s">
        <v>187</v>
      </c>
      <c r="I597" s="1" t="s">
        <v>240</v>
      </c>
    </row>
    <row r="598">
      <c r="A598" s="1">
        <v>596.0</v>
      </c>
      <c r="B598" s="1">
        <v>2.0</v>
      </c>
      <c r="C598" s="1">
        <v>0.963995887148489</v>
      </c>
      <c r="D598" s="1" t="s">
        <v>548</v>
      </c>
      <c r="E598" s="1" t="s">
        <v>187</v>
      </c>
      <c r="I598" s="1" t="s">
        <v>240</v>
      </c>
    </row>
    <row r="599">
      <c r="A599" s="1">
        <v>597.0</v>
      </c>
      <c r="B599" s="1">
        <v>9.0</v>
      </c>
      <c r="C599" s="1">
        <v>0.655956568511479</v>
      </c>
      <c r="D599" s="1" t="s">
        <v>549</v>
      </c>
      <c r="E599" s="1" t="s">
        <v>187</v>
      </c>
      <c r="I599" s="1" t="s">
        <v>240</v>
      </c>
    </row>
    <row r="600">
      <c r="A600" s="1">
        <v>598.0</v>
      </c>
      <c r="B600" s="1">
        <v>8.0</v>
      </c>
      <c r="C600" s="1">
        <v>0.905518597261682</v>
      </c>
      <c r="D600" s="1" t="s">
        <v>550</v>
      </c>
      <c r="E600" s="1" t="s">
        <v>187</v>
      </c>
      <c r="I600" s="1" t="s">
        <v>240</v>
      </c>
    </row>
    <row r="601">
      <c r="A601" s="1">
        <v>599.0</v>
      </c>
      <c r="B601" s="1">
        <v>2.0</v>
      </c>
      <c r="C601" s="1">
        <v>0.39432039618363</v>
      </c>
      <c r="D601" s="1" t="s">
        <v>551</v>
      </c>
      <c r="E601" s="1" t="s">
        <v>10</v>
      </c>
      <c r="F601" s="1" t="s">
        <v>18</v>
      </c>
      <c r="G601" s="1" t="s">
        <v>11</v>
      </c>
      <c r="H601" s="1">
        <v>2019.0</v>
      </c>
      <c r="I601" s="1" t="s">
        <v>240</v>
      </c>
    </row>
    <row r="602">
      <c r="A602" s="1">
        <v>600.0</v>
      </c>
      <c r="B602" s="1">
        <v>2.0</v>
      </c>
      <c r="C602" s="1">
        <v>0.528440266978965</v>
      </c>
      <c r="D602" s="1" t="s">
        <v>552</v>
      </c>
      <c r="E602" s="1" t="s">
        <v>10</v>
      </c>
      <c r="F602" s="1" t="s">
        <v>18</v>
      </c>
      <c r="G602" s="1" t="s">
        <v>11</v>
      </c>
      <c r="H602" s="1">
        <v>2019.0</v>
      </c>
      <c r="I602" s="1" t="s">
        <v>240</v>
      </c>
    </row>
    <row r="603">
      <c r="A603" s="1">
        <v>601.0</v>
      </c>
      <c r="B603" s="1">
        <v>2.0</v>
      </c>
      <c r="C603" s="1">
        <v>0.369547457096685</v>
      </c>
      <c r="D603" s="1" t="s">
        <v>553</v>
      </c>
      <c r="E603" s="1" t="s">
        <v>173</v>
      </c>
      <c r="G603" s="2">
        <v>46213.0</v>
      </c>
      <c r="H603" s="1">
        <v>2015.0</v>
      </c>
      <c r="I603" s="1" t="s">
        <v>240</v>
      </c>
    </row>
    <row r="604">
      <c r="A604" s="1">
        <v>602.0</v>
      </c>
      <c r="B604" s="1">
        <v>7.0</v>
      </c>
      <c r="C604" s="1">
        <v>0.403855826987749</v>
      </c>
      <c r="D604" s="1" t="s">
        <v>554</v>
      </c>
      <c r="E604" s="1" t="s">
        <v>173</v>
      </c>
      <c r="G604" s="2">
        <v>46213.0</v>
      </c>
      <c r="H604" s="1">
        <v>2015.0</v>
      </c>
      <c r="I604" s="1" t="s">
        <v>240</v>
      </c>
    </row>
    <row r="605">
      <c r="A605" s="1">
        <v>603.0</v>
      </c>
      <c r="B605" s="1">
        <v>2.0</v>
      </c>
      <c r="C605" s="1">
        <v>0.354081436435545</v>
      </c>
      <c r="D605" s="1" t="s">
        <v>555</v>
      </c>
      <c r="E605" s="1" t="s">
        <v>102</v>
      </c>
      <c r="G605" s="1" t="s">
        <v>11</v>
      </c>
      <c r="H605" s="1">
        <v>2010.0</v>
      </c>
      <c r="I605" s="1" t="s">
        <v>240</v>
      </c>
    </row>
    <row r="606">
      <c r="A606" s="1">
        <v>604.0</v>
      </c>
      <c r="B606" s="1">
        <v>2.0</v>
      </c>
      <c r="C606" s="1">
        <v>0.468360250853917</v>
      </c>
      <c r="D606" s="1" t="s">
        <v>556</v>
      </c>
      <c r="E606" s="1" t="s">
        <v>102</v>
      </c>
      <c r="G606" s="1" t="s">
        <v>11</v>
      </c>
      <c r="H606" s="1">
        <v>2010.0</v>
      </c>
      <c r="I606" s="1" t="s">
        <v>240</v>
      </c>
    </row>
    <row r="607">
      <c r="A607" s="1">
        <v>605.0</v>
      </c>
      <c r="B607" s="1">
        <v>2.0</v>
      </c>
      <c r="C607" s="1">
        <v>0.481500617207762</v>
      </c>
      <c r="D607" s="1" t="s">
        <v>557</v>
      </c>
      <c r="E607" s="1" t="s">
        <v>102</v>
      </c>
      <c r="G607" s="1" t="s">
        <v>11</v>
      </c>
      <c r="H607" s="1">
        <v>2010.0</v>
      </c>
      <c r="I607" s="1" t="s">
        <v>240</v>
      </c>
    </row>
    <row r="608">
      <c r="A608" s="1">
        <v>606.0</v>
      </c>
      <c r="B608" s="1">
        <v>2.0</v>
      </c>
      <c r="C608" s="1">
        <v>0.510865592428603</v>
      </c>
      <c r="D608" s="1" t="s">
        <v>558</v>
      </c>
      <c r="E608" s="1" t="s">
        <v>102</v>
      </c>
      <c r="G608" s="1" t="s">
        <v>11</v>
      </c>
      <c r="H608" s="1">
        <v>2010.0</v>
      </c>
      <c r="I608" s="1" t="s">
        <v>240</v>
      </c>
    </row>
    <row r="609">
      <c r="A609" s="1">
        <v>607.0</v>
      </c>
      <c r="B609" s="1">
        <v>2.0</v>
      </c>
      <c r="C609" s="1">
        <v>0.782569629983753</v>
      </c>
      <c r="D609" s="1" t="s">
        <v>559</v>
      </c>
      <c r="E609" s="1" t="s">
        <v>102</v>
      </c>
      <c r="G609" s="1" t="s">
        <v>11</v>
      </c>
      <c r="H609" s="1">
        <v>2010.0</v>
      </c>
      <c r="I609" s="1" t="s">
        <v>240</v>
      </c>
    </row>
    <row r="610">
      <c r="A610" s="1">
        <v>608.0</v>
      </c>
      <c r="B610" s="1">
        <v>2.0</v>
      </c>
      <c r="C610" s="1">
        <v>0.838500044047459</v>
      </c>
      <c r="D610" s="1" t="s">
        <v>560</v>
      </c>
      <c r="E610" s="1" t="s">
        <v>102</v>
      </c>
      <c r="G610" s="1" t="s">
        <v>11</v>
      </c>
      <c r="H610" s="1">
        <v>2010.0</v>
      </c>
      <c r="I610" s="1" t="s">
        <v>240</v>
      </c>
    </row>
    <row r="611">
      <c r="A611" s="1">
        <v>609.0</v>
      </c>
      <c r="B611" s="1">
        <v>7.0</v>
      </c>
      <c r="C611" s="1">
        <v>0.613861059137553</v>
      </c>
      <c r="D611" s="1" t="s">
        <v>561</v>
      </c>
      <c r="E611" s="1" t="s">
        <v>102</v>
      </c>
      <c r="G611" s="1" t="s">
        <v>11</v>
      </c>
      <c r="H611" s="1">
        <v>2010.0</v>
      </c>
      <c r="I611" s="1" t="s">
        <v>240</v>
      </c>
    </row>
    <row r="612">
      <c r="A612" s="1">
        <v>610.0</v>
      </c>
      <c r="B612" s="1">
        <v>2.0</v>
      </c>
      <c r="C612" s="1">
        <v>0.383828234283974</v>
      </c>
      <c r="D612" s="1" t="s">
        <v>562</v>
      </c>
      <c r="E612" s="1" t="s">
        <v>102</v>
      </c>
      <c r="G612" s="1" t="s">
        <v>11</v>
      </c>
      <c r="H612" s="1">
        <v>2010.0</v>
      </c>
      <c r="I612" s="1" t="s">
        <v>240</v>
      </c>
    </row>
    <row r="613">
      <c r="A613" s="1">
        <v>611.0</v>
      </c>
      <c r="B613" s="1">
        <v>9.0</v>
      </c>
      <c r="C613" s="1">
        <v>0.315446156115395</v>
      </c>
      <c r="D613" s="1" t="s">
        <v>563</v>
      </c>
      <c r="E613" s="1" t="s">
        <v>102</v>
      </c>
      <c r="G613" s="1" t="s">
        <v>11</v>
      </c>
      <c r="H613" s="1">
        <v>2010.0</v>
      </c>
      <c r="I613" s="1" t="s">
        <v>240</v>
      </c>
    </row>
    <row r="614">
      <c r="A614" s="1">
        <v>612.0</v>
      </c>
      <c r="B614" s="1">
        <v>9.0</v>
      </c>
      <c r="C614" s="1">
        <v>0.615266796624465</v>
      </c>
      <c r="D614" s="1" t="s">
        <v>564</v>
      </c>
      <c r="E614" s="1" t="s">
        <v>102</v>
      </c>
      <c r="G614" s="1" t="s">
        <v>11</v>
      </c>
      <c r="H614" s="1">
        <v>2010.0</v>
      </c>
      <c r="I614" s="1" t="s">
        <v>240</v>
      </c>
    </row>
    <row r="615">
      <c r="A615" s="1">
        <v>613.0</v>
      </c>
      <c r="B615" s="1">
        <v>2.0</v>
      </c>
      <c r="C615" s="1">
        <v>0.468638953903071</v>
      </c>
      <c r="D615" s="1" t="s">
        <v>565</v>
      </c>
      <c r="E615" s="1" t="s">
        <v>102</v>
      </c>
      <c r="G615" s="1" t="s">
        <v>11</v>
      </c>
      <c r="H615" s="1">
        <v>2010.0</v>
      </c>
      <c r="I615" s="1" t="s">
        <v>240</v>
      </c>
    </row>
    <row r="616">
      <c r="A616" s="1">
        <v>614.0</v>
      </c>
      <c r="B616" s="1">
        <v>2.0</v>
      </c>
      <c r="C616" s="1">
        <v>0.488376063732522</v>
      </c>
      <c r="D616" s="1" t="s">
        <v>566</v>
      </c>
      <c r="E616" s="1" t="s">
        <v>10</v>
      </c>
      <c r="F616" s="1" t="s">
        <v>118</v>
      </c>
      <c r="H616" s="1">
        <v>2011.0</v>
      </c>
      <c r="I616" s="1" t="s">
        <v>240</v>
      </c>
    </row>
    <row r="617">
      <c r="A617" s="1">
        <v>615.0</v>
      </c>
      <c r="B617" s="1">
        <v>2.0</v>
      </c>
      <c r="C617" s="1">
        <v>0.586809311348268</v>
      </c>
      <c r="D617" s="1" t="s">
        <v>567</v>
      </c>
      <c r="E617" s="1" t="s">
        <v>10</v>
      </c>
      <c r="F617" s="1" t="s">
        <v>118</v>
      </c>
      <c r="H617" s="1">
        <v>2011.0</v>
      </c>
      <c r="I617" s="1" t="s">
        <v>240</v>
      </c>
    </row>
    <row r="618">
      <c r="A618" s="1">
        <v>616.0</v>
      </c>
      <c r="B618" s="1">
        <v>9.0</v>
      </c>
      <c r="C618" s="1">
        <v>0.812304443703208</v>
      </c>
      <c r="D618" s="1" t="s">
        <v>568</v>
      </c>
      <c r="E618" s="1" t="s">
        <v>10</v>
      </c>
      <c r="F618" s="1" t="s">
        <v>118</v>
      </c>
      <c r="H618" s="1">
        <v>2011.0</v>
      </c>
      <c r="I618" s="1" t="s">
        <v>240</v>
      </c>
    </row>
    <row r="619">
      <c r="A619" s="1">
        <v>617.0</v>
      </c>
      <c r="B619" s="1">
        <v>2.0</v>
      </c>
      <c r="C619" s="1">
        <v>0.719414034431643</v>
      </c>
      <c r="D619" s="1" t="s">
        <v>569</v>
      </c>
      <c r="E619" s="1" t="s">
        <v>45</v>
      </c>
      <c r="F619" s="1" t="s">
        <v>18</v>
      </c>
      <c r="H619" s="1">
        <v>2022.0</v>
      </c>
      <c r="I619" s="1" t="s">
        <v>240</v>
      </c>
    </row>
    <row r="620">
      <c r="A620" s="1">
        <v>618.0</v>
      </c>
      <c r="B620" s="1">
        <v>2.0</v>
      </c>
      <c r="C620" s="1">
        <v>0.701373162943454</v>
      </c>
      <c r="D620" s="1" t="s">
        <v>570</v>
      </c>
      <c r="E620" s="1" t="s">
        <v>45</v>
      </c>
      <c r="F620" s="1" t="s">
        <v>18</v>
      </c>
      <c r="H620" s="1">
        <v>2022.0</v>
      </c>
      <c r="I620" s="1" t="s">
        <v>240</v>
      </c>
    </row>
    <row r="621">
      <c r="A621" s="1">
        <v>619.0</v>
      </c>
      <c r="B621" s="1">
        <v>2.0</v>
      </c>
      <c r="C621" s="1">
        <v>0.639112054357776</v>
      </c>
      <c r="D621" s="1" t="s">
        <v>571</v>
      </c>
      <c r="E621" s="1" t="s">
        <v>45</v>
      </c>
      <c r="F621" s="1" t="s">
        <v>18</v>
      </c>
      <c r="H621" s="1">
        <v>2022.0</v>
      </c>
      <c r="I621" s="1" t="s">
        <v>240</v>
      </c>
    </row>
    <row r="622">
      <c r="A622" s="1">
        <v>620.0</v>
      </c>
      <c r="B622" s="1">
        <v>8.0</v>
      </c>
      <c r="C622" s="1">
        <v>0.597939641875479</v>
      </c>
      <c r="D622" s="1" t="s">
        <v>572</v>
      </c>
      <c r="E622" s="1" t="s">
        <v>45</v>
      </c>
      <c r="F622" s="1" t="s">
        <v>18</v>
      </c>
      <c r="H622" s="1">
        <v>2022.0</v>
      </c>
      <c r="I622" s="1" t="s">
        <v>240</v>
      </c>
    </row>
    <row r="623">
      <c r="A623" s="1">
        <v>621.0</v>
      </c>
      <c r="B623" s="1">
        <v>2.0</v>
      </c>
      <c r="C623" s="1">
        <v>0.447484365875665</v>
      </c>
      <c r="D623" s="1" t="s">
        <v>573</v>
      </c>
      <c r="E623" s="1" t="s">
        <v>45</v>
      </c>
      <c r="F623" s="1" t="s">
        <v>18</v>
      </c>
      <c r="H623" s="1">
        <v>2022.0</v>
      </c>
      <c r="I623" s="1" t="s">
        <v>240</v>
      </c>
    </row>
    <row r="624">
      <c r="A624" s="1">
        <v>622.0</v>
      </c>
      <c r="B624" s="1">
        <v>8.0</v>
      </c>
      <c r="C624" s="1">
        <v>0.494679757880709</v>
      </c>
      <c r="D624" s="1" t="s">
        <v>574</v>
      </c>
      <c r="E624" s="1" t="s">
        <v>45</v>
      </c>
      <c r="F624" s="1" t="s">
        <v>18</v>
      </c>
      <c r="H624" s="1">
        <v>2022.0</v>
      </c>
      <c r="I624" s="1" t="s">
        <v>240</v>
      </c>
    </row>
    <row r="625">
      <c r="A625" s="1">
        <v>623.0</v>
      </c>
      <c r="B625" s="1">
        <v>8.0</v>
      </c>
      <c r="C625" s="1">
        <v>0.529755654530196</v>
      </c>
      <c r="D625" s="1" t="s">
        <v>575</v>
      </c>
      <c r="E625" s="1" t="s">
        <v>45</v>
      </c>
      <c r="F625" s="1" t="s">
        <v>18</v>
      </c>
      <c r="H625" s="1">
        <v>2022.0</v>
      </c>
      <c r="I625" s="1" t="s">
        <v>240</v>
      </c>
    </row>
    <row r="626">
      <c r="A626" s="1">
        <v>624.0</v>
      </c>
      <c r="B626" s="1">
        <v>8.0</v>
      </c>
      <c r="C626" s="1">
        <v>0.655602068946513</v>
      </c>
      <c r="D626" s="1" t="s">
        <v>576</v>
      </c>
      <c r="E626" s="1" t="s">
        <v>45</v>
      </c>
      <c r="F626" s="1" t="s">
        <v>18</v>
      </c>
      <c r="H626" s="1">
        <v>2022.0</v>
      </c>
      <c r="I626" s="1" t="s">
        <v>240</v>
      </c>
    </row>
    <row r="627">
      <c r="A627" s="1">
        <v>625.0</v>
      </c>
      <c r="B627" s="1">
        <v>2.0</v>
      </c>
      <c r="C627" s="1">
        <v>0.965381401561782</v>
      </c>
      <c r="D627" s="1" t="s">
        <v>577</v>
      </c>
      <c r="E627" s="1" t="s">
        <v>45</v>
      </c>
      <c r="F627" s="1" t="s">
        <v>18</v>
      </c>
      <c r="H627" s="1">
        <v>2022.0</v>
      </c>
      <c r="I627" s="1" t="s">
        <v>240</v>
      </c>
    </row>
    <row r="628">
      <c r="A628" s="1">
        <v>626.0</v>
      </c>
      <c r="B628" s="1">
        <v>2.0</v>
      </c>
      <c r="C628" s="1">
        <v>0.95908710471557</v>
      </c>
      <c r="D628" s="1" t="s">
        <v>578</v>
      </c>
      <c r="E628" s="1" t="s">
        <v>45</v>
      </c>
      <c r="F628" s="1" t="s">
        <v>18</v>
      </c>
      <c r="H628" s="1">
        <v>2022.0</v>
      </c>
      <c r="I628" s="1" t="s">
        <v>240</v>
      </c>
    </row>
    <row r="629">
      <c r="A629" s="1">
        <v>627.0</v>
      </c>
      <c r="B629" s="1">
        <v>2.0</v>
      </c>
      <c r="C629" s="1">
        <v>0.687104767992772</v>
      </c>
      <c r="D629" s="1" t="s">
        <v>579</v>
      </c>
      <c r="E629" s="1" t="s">
        <v>45</v>
      </c>
      <c r="F629" s="1" t="s">
        <v>18</v>
      </c>
      <c r="H629" s="1">
        <v>2022.0</v>
      </c>
      <c r="I629" s="1" t="s">
        <v>240</v>
      </c>
    </row>
    <row r="630">
      <c r="A630" s="1">
        <v>628.0</v>
      </c>
      <c r="B630" s="1">
        <v>2.0</v>
      </c>
      <c r="C630" s="1">
        <v>0.790258263934445</v>
      </c>
      <c r="D630" s="1" t="s">
        <v>580</v>
      </c>
      <c r="E630" s="1" t="s">
        <v>45</v>
      </c>
      <c r="F630" s="1" t="s">
        <v>18</v>
      </c>
      <c r="H630" s="1">
        <v>2022.0</v>
      </c>
      <c r="I630" s="1" t="s">
        <v>240</v>
      </c>
    </row>
    <row r="631">
      <c r="A631" s="1">
        <v>629.0</v>
      </c>
      <c r="B631" s="1">
        <v>2.0</v>
      </c>
      <c r="C631" s="1">
        <v>0.567591460267371</v>
      </c>
      <c r="D631" s="1" t="s">
        <v>581</v>
      </c>
      <c r="E631" s="1" t="s">
        <v>45</v>
      </c>
      <c r="F631" s="1" t="s">
        <v>18</v>
      </c>
      <c r="H631" s="1">
        <v>2022.0</v>
      </c>
      <c r="I631" s="1" t="s">
        <v>240</v>
      </c>
    </row>
    <row r="632">
      <c r="A632" s="1">
        <v>630.0</v>
      </c>
      <c r="B632" s="1">
        <v>2.0</v>
      </c>
      <c r="C632" s="1">
        <v>0.720334941163994</v>
      </c>
      <c r="D632" s="1" t="s">
        <v>582</v>
      </c>
      <c r="E632" s="1" t="s">
        <v>45</v>
      </c>
      <c r="F632" s="1" t="s">
        <v>18</v>
      </c>
      <c r="H632" s="1">
        <v>2022.0</v>
      </c>
      <c r="I632" s="1" t="s">
        <v>240</v>
      </c>
    </row>
    <row r="633">
      <c r="A633" s="1">
        <v>631.0</v>
      </c>
      <c r="B633" s="1">
        <v>2.0</v>
      </c>
      <c r="C633" s="1">
        <v>0.899257882185058</v>
      </c>
      <c r="D633" s="1" t="s">
        <v>583</v>
      </c>
      <c r="E633" s="1" t="s">
        <v>45</v>
      </c>
      <c r="F633" s="1" t="s">
        <v>18</v>
      </c>
      <c r="H633" s="1">
        <v>2022.0</v>
      </c>
      <c r="I633" s="1" t="s">
        <v>240</v>
      </c>
    </row>
    <row r="634">
      <c r="A634" s="1">
        <v>632.0</v>
      </c>
      <c r="B634" s="1">
        <v>2.0</v>
      </c>
      <c r="C634" s="1">
        <v>0.657084533707339</v>
      </c>
      <c r="D634" s="1" t="s">
        <v>584</v>
      </c>
      <c r="E634" s="1" t="s">
        <v>45</v>
      </c>
      <c r="F634" s="1" t="s">
        <v>18</v>
      </c>
      <c r="H634" s="1">
        <v>2022.0</v>
      </c>
      <c r="I634" s="1" t="s">
        <v>240</v>
      </c>
    </row>
    <row r="635">
      <c r="A635" s="1">
        <v>633.0</v>
      </c>
      <c r="B635" s="1">
        <v>2.0</v>
      </c>
      <c r="C635" s="1">
        <v>0.482095726905021</v>
      </c>
      <c r="D635" s="1" t="s">
        <v>585</v>
      </c>
      <c r="E635" s="1" t="s">
        <v>45</v>
      </c>
      <c r="F635" s="1" t="s">
        <v>18</v>
      </c>
      <c r="H635" s="1">
        <v>2022.0</v>
      </c>
      <c r="I635" s="1" t="s">
        <v>240</v>
      </c>
    </row>
    <row r="636">
      <c r="A636" s="1">
        <v>634.0</v>
      </c>
      <c r="B636" s="1">
        <v>2.0</v>
      </c>
      <c r="C636" s="1">
        <v>0.633977206808298</v>
      </c>
      <c r="D636" s="1" t="s">
        <v>586</v>
      </c>
      <c r="E636" s="1" t="s">
        <v>45</v>
      </c>
      <c r="F636" s="1" t="s">
        <v>18</v>
      </c>
      <c r="H636" s="1">
        <v>2022.0</v>
      </c>
      <c r="I636" s="1" t="s">
        <v>240</v>
      </c>
    </row>
    <row r="637">
      <c r="A637" s="1">
        <v>635.0</v>
      </c>
      <c r="B637" s="1">
        <v>2.0</v>
      </c>
      <c r="C637" s="1">
        <v>0.728268674621605</v>
      </c>
      <c r="D637" s="1" t="s">
        <v>587</v>
      </c>
      <c r="E637" s="1" t="s">
        <v>45</v>
      </c>
      <c r="F637" s="1" t="s">
        <v>18</v>
      </c>
      <c r="H637" s="1">
        <v>2022.0</v>
      </c>
      <c r="I637" s="1" t="s">
        <v>240</v>
      </c>
    </row>
    <row r="638">
      <c r="A638" s="1">
        <v>636.0</v>
      </c>
      <c r="B638" s="1">
        <v>4.0</v>
      </c>
      <c r="C638" s="1">
        <v>0.974998723698592</v>
      </c>
      <c r="D638" s="1" t="s">
        <v>160</v>
      </c>
      <c r="E638" s="1" t="s">
        <v>41</v>
      </c>
      <c r="F638" s="1" t="s">
        <v>142</v>
      </c>
      <c r="H638" s="1">
        <v>2024.0</v>
      </c>
      <c r="I638" s="1" t="s">
        <v>240</v>
      </c>
    </row>
    <row r="639">
      <c r="A639" s="1">
        <v>637.0</v>
      </c>
      <c r="B639" s="1">
        <v>2.0</v>
      </c>
      <c r="C639" s="1">
        <v>0.957136040022227</v>
      </c>
      <c r="D639" s="1" t="s">
        <v>588</v>
      </c>
      <c r="E639" s="1" t="s">
        <v>41</v>
      </c>
      <c r="F639" s="1" t="s">
        <v>142</v>
      </c>
      <c r="H639" s="1">
        <v>2024.0</v>
      </c>
      <c r="I639" s="1" t="s">
        <v>240</v>
      </c>
    </row>
    <row r="640">
      <c r="A640" s="1">
        <v>638.0</v>
      </c>
      <c r="B640" s="1">
        <v>2.0</v>
      </c>
      <c r="C640" s="1">
        <v>0.97428290502654</v>
      </c>
      <c r="D640" s="1" t="s">
        <v>433</v>
      </c>
      <c r="E640" s="1" t="s">
        <v>41</v>
      </c>
      <c r="F640" s="1" t="s">
        <v>142</v>
      </c>
      <c r="H640" s="1">
        <v>2024.0</v>
      </c>
      <c r="I640" s="1" t="s">
        <v>240</v>
      </c>
    </row>
    <row r="641">
      <c r="A641" s="1">
        <v>639.0</v>
      </c>
      <c r="B641" s="1">
        <v>6.0</v>
      </c>
      <c r="C641" s="1">
        <v>0.974283498006716</v>
      </c>
      <c r="D641" s="1" t="s">
        <v>589</v>
      </c>
      <c r="E641" s="1" t="s">
        <v>41</v>
      </c>
      <c r="F641" s="1" t="s">
        <v>142</v>
      </c>
      <c r="H641" s="1">
        <v>2024.0</v>
      </c>
      <c r="I641" s="1" t="s">
        <v>240</v>
      </c>
    </row>
    <row r="642">
      <c r="A642" s="1">
        <v>640.0</v>
      </c>
      <c r="B642" s="1">
        <v>6.0</v>
      </c>
      <c r="C642" s="1">
        <v>0.978570191273324</v>
      </c>
      <c r="D642" s="1" t="s">
        <v>435</v>
      </c>
      <c r="E642" s="1" t="s">
        <v>41</v>
      </c>
      <c r="F642" s="1" t="s">
        <v>142</v>
      </c>
      <c r="H642" s="1">
        <v>2024.0</v>
      </c>
      <c r="I642" s="1" t="s">
        <v>240</v>
      </c>
    </row>
    <row r="643">
      <c r="A643" s="1">
        <v>641.0</v>
      </c>
      <c r="B643" s="1">
        <v>10.0</v>
      </c>
      <c r="C643" s="1">
        <v>0.535059485907919</v>
      </c>
      <c r="D643" s="1" t="s">
        <v>339</v>
      </c>
      <c r="E643" s="1" t="s">
        <v>41</v>
      </c>
      <c r="F643" s="1" t="s">
        <v>142</v>
      </c>
      <c r="H643" s="1">
        <v>2024.0</v>
      </c>
      <c r="I643" s="1" t="s">
        <v>240</v>
      </c>
    </row>
    <row r="644">
      <c r="A644" s="1">
        <v>642.0</v>
      </c>
      <c r="B644" s="1">
        <v>6.0</v>
      </c>
      <c r="C644" s="1">
        <v>0.976921328390548</v>
      </c>
      <c r="D644" s="1" t="s">
        <v>437</v>
      </c>
      <c r="E644" s="1" t="s">
        <v>41</v>
      </c>
      <c r="F644" s="1" t="s">
        <v>142</v>
      </c>
      <c r="H644" s="1">
        <v>2024.0</v>
      </c>
      <c r="I644" s="1" t="s">
        <v>240</v>
      </c>
    </row>
    <row r="645">
      <c r="A645" s="1">
        <v>643.0</v>
      </c>
      <c r="B645" s="1">
        <v>4.0</v>
      </c>
      <c r="C645" s="1">
        <v>0.973528364203671</v>
      </c>
      <c r="D645" s="1" t="s">
        <v>162</v>
      </c>
      <c r="E645" s="1" t="s">
        <v>41</v>
      </c>
      <c r="F645" s="1" t="s">
        <v>142</v>
      </c>
      <c r="H645" s="1">
        <v>2024.0</v>
      </c>
      <c r="I645" s="1" t="s">
        <v>240</v>
      </c>
    </row>
    <row r="646">
      <c r="A646" s="1">
        <v>644.0</v>
      </c>
      <c r="B646" s="1">
        <v>2.0</v>
      </c>
      <c r="C646" s="1">
        <v>0.974997634290587</v>
      </c>
      <c r="D646" s="1" t="s">
        <v>341</v>
      </c>
      <c r="E646" s="1" t="s">
        <v>41</v>
      </c>
      <c r="F646" s="1" t="s">
        <v>142</v>
      </c>
      <c r="H646" s="1">
        <v>2024.0</v>
      </c>
      <c r="I646" s="1" t="s">
        <v>240</v>
      </c>
    </row>
    <row r="647">
      <c r="A647" s="1">
        <v>645.0</v>
      </c>
      <c r="B647" s="1">
        <v>9.0</v>
      </c>
      <c r="C647" s="1">
        <v>0.640436350128275</v>
      </c>
      <c r="D647" s="1" t="s">
        <v>590</v>
      </c>
      <c r="E647" s="1" t="s">
        <v>41</v>
      </c>
      <c r="F647" s="1" t="s">
        <v>142</v>
      </c>
      <c r="H647" s="1">
        <v>2024.0</v>
      </c>
      <c r="I647" s="1" t="s">
        <v>240</v>
      </c>
    </row>
    <row r="648">
      <c r="A648" s="1">
        <v>646.0</v>
      </c>
      <c r="B648" s="1">
        <v>8.0</v>
      </c>
      <c r="C648" s="1">
        <v>0.536435192635614</v>
      </c>
      <c r="D648" s="1" t="s">
        <v>591</v>
      </c>
      <c r="E648" s="1" t="s">
        <v>41</v>
      </c>
      <c r="F648" s="1" t="s">
        <v>142</v>
      </c>
      <c r="H648" s="1">
        <v>2024.0</v>
      </c>
      <c r="I648" s="1" t="s">
        <v>240</v>
      </c>
    </row>
    <row r="649">
      <c r="A649" s="1">
        <v>647.0</v>
      </c>
      <c r="B649" s="1">
        <v>9.0</v>
      </c>
      <c r="C649" s="1">
        <v>0.938924293111095</v>
      </c>
      <c r="D649" s="1" t="s">
        <v>592</v>
      </c>
      <c r="E649" s="1" t="s">
        <v>41</v>
      </c>
      <c r="F649" s="1" t="s">
        <v>142</v>
      </c>
      <c r="H649" s="1">
        <v>2024.0</v>
      </c>
      <c r="I649" s="1" t="s">
        <v>240</v>
      </c>
    </row>
    <row r="650">
      <c r="A650" s="1">
        <v>648.0</v>
      </c>
      <c r="B650" s="1">
        <v>8.0</v>
      </c>
      <c r="C650" s="1">
        <v>0.976312992296618</v>
      </c>
      <c r="D650" s="1" t="s">
        <v>593</v>
      </c>
      <c r="E650" s="1" t="s">
        <v>41</v>
      </c>
      <c r="F650" s="1" t="s">
        <v>142</v>
      </c>
      <c r="H650" s="1">
        <v>2024.0</v>
      </c>
      <c r="I650" s="1" t="s">
        <v>240</v>
      </c>
    </row>
    <row r="651">
      <c r="A651" s="1">
        <v>649.0</v>
      </c>
      <c r="B651" s="1">
        <v>8.0</v>
      </c>
      <c r="C651" s="1">
        <v>0.97499825175714</v>
      </c>
      <c r="D651" s="1" t="s">
        <v>594</v>
      </c>
      <c r="E651" s="1" t="s">
        <v>41</v>
      </c>
      <c r="F651" s="1" t="s">
        <v>142</v>
      </c>
      <c r="H651" s="1">
        <v>2024.0</v>
      </c>
      <c r="I651" s="1" t="s">
        <v>240</v>
      </c>
    </row>
    <row r="652">
      <c r="A652" s="1">
        <v>650.0</v>
      </c>
      <c r="B652" s="1">
        <v>8.0</v>
      </c>
      <c r="C652" s="1">
        <v>0.975673472484771</v>
      </c>
      <c r="D652" s="1" t="s">
        <v>595</v>
      </c>
      <c r="E652" s="1" t="s">
        <v>41</v>
      </c>
      <c r="F652" s="1" t="s">
        <v>142</v>
      </c>
      <c r="H652" s="1">
        <v>2024.0</v>
      </c>
      <c r="I652" s="1" t="s">
        <v>240</v>
      </c>
    </row>
    <row r="653">
      <c r="A653" s="1">
        <v>651.0</v>
      </c>
      <c r="B653" s="1">
        <v>9.0</v>
      </c>
      <c r="C653" s="1">
        <v>0.551255075973449</v>
      </c>
      <c r="D653" s="1" t="s">
        <v>348</v>
      </c>
      <c r="E653" s="1" t="s">
        <v>41</v>
      </c>
      <c r="F653" s="1" t="s">
        <v>142</v>
      </c>
      <c r="H653" s="1">
        <v>2024.0</v>
      </c>
      <c r="I653" s="1" t="s">
        <v>240</v>
      </c>
    </row>
    <row r="654">
      <c r="A654" s="1">
        <v>652.0</v>
      </c>
      <c r="B654" s="1">
        <v>6.0</v>
      </c>
      <c r="C654" s="1">
        <v>0.866554440228732</v>
      </c>
      <c r="D654" s="1" t="s">
        <v>441</v>
      </c>
      <c r="E654" s="1" t="s">
        <v>41</v>
      </c>
      <c r="F654" s="1" t="s">
        <v>142</v>
      </c>
      <c r="H654" s="1">
        <v>2024.0</v>
      </c>
      <c r="I654" s="1" t="s">
        <v>240</v>
      </c>
    </row>
    <row r="655">
      <c r="A655" s="1">
        <v>653.0</v>
      </c>
      <c r="B655" s="1">
        <v>8.0</v>
      </c>
      <c r="C655" s="1">
        <v>0.751603510172079</v>
      </c>
      <c r="D655" s="1" t="s">
        <v>442</v>
      </c>
      <c r="E655" s="1" t="s">
        <v>41</v>
      </c>
      <c r="F655" s="1" t="s">
        <v>142</v>
      </c>
      <c r="H655" s="1">
        <v>2024.0</v>
      </c>
      <c r="I655" s="1" t="s">
        <v>240</v>
      </c>
    </row>
    <row r="656">
      <c r="A656" s="1">
        <v>654.0</v>
      </c>
      <c r="B656" s="1">
        <v>2.0</v>
      </c>
      <c r="C656" s="1">
        <v>0.974283594028774</v>
      </c>
      <c r="D656" s="1" t="s">
        <v>351</v>
      </c>
      <c r="E656" s="1" t="s">
        <v>41</v>
      </c>
      <c r="F656" s="1" t="s">
        <v>142</v>
      </c>
      <c r="H656" s="1">
        <v>2024.0</v>
      </c>
      <c r="I656" s="1" t="s">
        <v>240</v>
      </c>
    </row>
    <row r="657">
      <c r="A657" s="1">
        <v>655.0</v>
      </c>
      <c r="B657" s="1">
        <v>2.0</v>
      </c>
      <c r="C657" s="1">
        <v>0.97187246883058</v>
      </c>
      <c r="D657" s="1" t="s">
        <v>443</v>
      </c>
      <c r="E657" s="1" t="s">
        <v>41</v>
      </c>
      <c r="F657" s="1" t="s">
        <v>142</v>
      </c>
      <c r="H657" s="1">
        <v>2024.0</v>
      </c>
      <c r="I657" s="1" t="s">
        <v>240</v>
      </c>
    </row>
    <row r="658">
      <c r="A658" s="1">
        <v>656.0</v>
      </c>
      <c r="B658" s="1">
        <v>2.0</v>
      </c>
      <c r="C658" s="1">
        <v>0.808149367646283</v>
      </c>
      <c r="D658" s="1" t="s">
        <v>596</v>
      </c>
      <c r="E658" s="1" t="s">
        <v>173</v>
      </c>
      <c r="F658" s="1" t="s">
        <v>18</v>
      </c>
      <c r="G658" s="1" t="s">
        <v>42</v>
      </c>
      <c r="H658" s="1">
        <v>2021.0</v>
      </c>
      <c r="I658" s="1" t="s">
        <v>240</v>
      </c>
    </row>
    <row r="659">
      <c r="A659" s="1">
        <v>657.0</v>
      </c>
      <c r="B659" s="1">
        <v>2.0</v>
      </c>
      <c r="C659" s="1">
        <v>0.484283407920565</v>
      </c>
      <c r="D659" s="1" t="s">
        <v>597</v>
      </c>
      <c r="E659" s="1" t="s">
        <v>173</v>
      </c>
      <c r="F659" s="1" t="s">
        <v>18</v>
      </c>
      <c r="G659" s="1" t="s">
        <v>42</v>
      </c>
      <c r="H659" s="1">
        <v>2021.0</v>
      </c>
      <c r="I659" s="1" t="s">
        <v>240</v>
      </c>
    </row>
    <row r="660">
      <c r="A660" s="1">
        <v>658.0</v>
      </c>
      <c r="B660" s="1">
        <v>2.0</v>
      </c>
      <c r="C660" s="1">
        <v>0.328208433191394</v>
      </c>
      <c r="D660" s="1" t="s">
        <v>598</v>
      </c>
      <c r="E660" s="1" t="s">
        <v>173</v>
      </c>
      <c r="F660" s="1" t="s">
        <v>18</v>
      </c>
      <c r="G660" s="1" t="s">
        <v>42</v>
      </c>
      <c r="H660" s="1">
        <v>2021.0</v>
      </c>
      <c r="I660" s="1" t="s">
        <v>240</v>
      </c>
    </row>
    <row r="661">
      <c r="A661" s="1">
        <v>659.0</v>
      </c>
      <c r="B661" s="1">
        <v>8.0</v>
      </c>
      <c r="C661" s="1">
        <v>0.978570893807877</v>
      </c>
      <c r="D661" s="1" t="s">
        <v>599</v>
      </c>
      <c r="E661" s="1" t="s">
        <v>173</v>
      </c>
      <c r="F661" s="1" t="s">
        <v>18</v>
      </c>
      <c r="G661" s="1" t="s">
        <v>42</v>
      </c>
      <c r="H661" s="1">
        <v>2021.0</v>
      </c>
      <c r="I661" s="1" t="s">
        <v>240</v>
      </c>
    </row>
    <row r="662">
      <c r="A662" s="1">
        <v>660.0</v>
      </c>
      <c r="B662" s="1">
        <v>8.0</v>
      </c>
      <c r="C662" s="1">
        <v>0.576584880200165</v>
      </c>
      <c r="D662" s="1" t="s">
        <v>600</v>
      </c>
      <c r="E662" s="1" t="s">
        <v>173</v>
      </c>
      <c r="F662" s="1" t="s">
        <v>18</v>
      </c>
      <c r="G662" s="1" t="s">
        <v>42</v>
      </c>
      <c r="H662" s="1">
        <v>2021.0</v>
      </c>
      <c r="I662" s="1" t="s">
        <v>240</v>
      </c>
    </row>
    <row r="663">
      <c r="A663" s="1">
        <v>661.0</v>
      </c>
      <c r="B663" s="1">
        <v>8.0</v>
      </c>
      <c r="C663" s="1">
        <v>0.549108020621338</v>
      </c>
      <c r="D663" s="1" t="s">
        <v>601</v>
      </c>
      <c r="E663" s="1" t="s">
        <v>173</v>
      </c>
      <c r="F663" s="1" t="s">
        <v>18</v>
      </c>
      <c r="G663" s="1" t="s">
        <v>42</v>
      </c>
      <c r="H663" s="1">
        <v>2021.0</v>
      </c>
      <c r="I663" s="1" t="s">
        <v>240</v>
      </c>
    </row>
    <row r="664">
      <c r="A664" s="1">
        <v>662.0</v>
      </c>
      <c r="B664" s="1">
        <v>2.0</v>
      </c>
      <c r="C664" s="1">
        <v>0.93059264312479</v>
      </c>
      <c r="D664" s="1" t="s">
        <v>602</v>
      </c>
      <c r="E664" s="1" t="s">
        <v>173</v>
      </c>
      <c r="F664" s="1" t="s">
        <v>18</v>
      </c>
      <c r="G664" s="1" t="s">
        <v>42</v>
      </c>
      <c r="H664" s="1">
        <v>2021.0</v>
      </c>
      <c r="I664" s="1" t="s">
        <v>240</v>
      </c>
    </row>
    <row r="665">
      <c r="A665" s="1">
        <v>663.0</v>
      </c>
      <c r="B665" s="1">
        <v>2.0</v>
      </c>
      <c r="C665" s="1">
        <v>0.762841337154318</v>
      </c>
      <c r="D665" s="1" t="s">
        <v>603</v>
      </c>
      <c r="E665" s="1" t="s">
        <v>173</v>
      </c>
      <c r="F665" s="1" t="s">
        <v>18</v>
      </c>
      <c r="G665" s="1" t="s">
        <v>42</v>
      </c>
      <c r="H665" s="1">
        <v>2021.0</v>
      </c>
      <c r="I665" s="1" t="s">
        <v>240</v>
      </c>
    </row>
    <row r="666">
      <c r="A666" s="1">
        <v>664.0</v>
      </c>
      <c r="B666" s="1">
        <v>9.0</v>
      </c>
      <c r="C666" s="1">
        <v>0.348812593314936</v>
      </c>
      <c r="D666" s="1" t="s">
        <v>604</v>
      </c>
      <c r="E666" s="1" t="s">
        <v>173</v>
      </c>
      <c r="F666" s="1" t="s">
        <v>18</v>
      </c>
      <c r="G666" s="1" t="s">
        <v>42</v>
      </c>
      <c r="H666" s="1">
        <v>2021.0</v>
      </c>
      <c r="I666" s="1" t="s">
        <v>240</v>
      </c>
    </row>
    <row r="667">
      <c r="A667" s="1">
        <v>665.0</v>
      </c>
      <c r="B667" s="1">
        <v>2.0</v>
      </c>
      <c r="C667" s="1">
        <v>0.81902892260435</v>
      </c>
      <c r="D667" s="1" t="s">
        <v>605</v>
      </c>
      <c r="E667" s="1" t="s">
        <v>173</v>
      </c>
      <c r="F667" s="1" t="s">
        <v>18</v>
      </c>
      <c r="G667" s="1" t="s">
        <v>42</v>
      </c>
      <c r="H667" s="1">
        <v>2021.0</v>
      </c>
      <c r="I667" s="1" t="s">
        <v>240</v>
      </c>
    </row>
    <row r="668">
      <c r="A668" s="1">
        <v>666.0</v>
      </c>
      <c r="B668" s="1">
        <v>2.0</v>
      </c>
      <c r="C668" s="1">
        <v>0.479396443272179</v>
      </c>
      <c r="D668" s="1" t="s">
        <v>606</v>
      </c>
      <c r="E668" s="1" t="s">
        <v>173</v>
      </c>
      <c r="F668" s="1" t="s">
        <v>18</v>
      </c>
      <c r="G668" s="1" t="s">
        <v>42</v>
      </c>
      <c r="H668" s="1">
        <v>2021.0</v>
      </c>
      <c r="I668" s="1" t="s">
        <v>240</v>
      </c>
    </row>
    <row r="669">
      <c r="A669" s="1">
        <v>667.0</v>
      </c>
      <c r="B669" s="1">
        <v>2.0</v>
      </c>
      <c r="C669" s="1">
        <v>0.684584498823538</v>
      </c>
      <c r="D669" s="1" t="s">
        <v>607</v>
      </c>
      <c r="E669" s="1" t="s">
        <v>173</v>
      </c>
      <c r="F669" s="1" t="s">
        <v>18</v>
      </c>
      <c r="G669" s="1" t="s">
        <v>42</v>
      </c>
      <c r="H669" s="1">
        <v>2021.0</v>
      </c>
      <c r="I669" s="1" t="s">
        <v>240</v>
      </c>
    </row>
    <row r="670">
      <c r="A670" s="1">
        <v>668.0</v>
      </c>
      <c r="B670" s="1">
        <v>7.0</v>
      </c>
      <c r="C670" s="1">
        <v>0.657981639542929</v>
      </c>
      <c r="D670" s="1" t="s">
        <v>608</v>
      </c>
      <c r="E670" s="1" t="s">
        <v>24</v>
      </c>
      <c r="F670" s="1" t="s">
        <v>25</v>
      </c>
      <c r="G670" s="1" t="s">
        <v>609</v>
      </c>
      <c r="H670" s="1">
        <v>2016.0</v>
      </c>
      <c r="I670" s="1" t="s">
        <v>240</v>
      </c>
    </row>
    <row r="671">
      <c r="A671" s="1">
        <v>669.0</v>
      </c>
      <c r="B671" s="1">
        <v>2.0</v>
      </c>
      <c r="C671" s="1">
        <v>0.348497338133608</v>
      </c>
      <c r="D671" s="1" t="s">
        <v>610</v>
      </c>
      <c r="E671" s="1" t="s">
        <v>24</v>
      </c>
      <c r="F671" s="1" t="s">
        <v>25</v>
      </c>
      <c r="G671" s="1" t="s">
        <v>609</v>
      </c>
      <c r="H671" s="1">
        <v>2016.0</v>
      </c>
      <c r="I671" s="1" t="s">
        <v>240</v>
      </c>
    </row>
    <row r="672">
      <c r="A672" s="1">
        <v>670.0</v>
      </c>
      <c r="B672" s="1">
        <v>2.0</v>
      </c>
      <c r="C672" s="1">
        <v>0.70446954071</v>
      </c>
      <c r="D672" s="1" t="s">
        <v>611</v>
      </c>
      <c r="E672" s="1" t="s">
        <v>173</v>
      </c>
      <c r="G672" s="1" t="s">
        <v>26</v>
      </c>
      <c r="H672" s="1">
        <v>2015.0</v>
      </c>
      <c r="I672" s="1" t="s">
        <v>240</v>
      </c>
    </row>
    <row r="673">
      <c r="A673" s="1">
        <v>671.0</v>
      </c>
      <c r="B673" s="1">
        <v>8.0</v>
      </c>
      <c r="C673" s="1">
        <v>0.980434173637893</v>
      </c>
      <c r="D673" s="1" t="s">
        <v>612</v>
      </c>
      <c r="E673" s="1" t="s">
        <v>41</v>
      </c>
      <c r="F673" s="1" t="s">
        <v>18</v>
      </c>
      <c r="G673" s="1" t="s">
        <v>42</v>
      </c>
      <c r="H673" s="1">
        <v>2024.0</v>
      </c>
      <c r="I673" s="1" t="s">
        <v>240</v>
      </c>
    </row>
    <row r="674">
      <c r="A674" s="1">
        <v>672.0</v>
      </c>
      <c r="B674" s="1">
        <v>8.0</v>
      </c>
      <c r="C674" s="1">
        <v>0.979999358079172</v>
      </c>
      <c r="D674" s="1" t="s">
        <v>613</v>
      </c>
      <c r="E674" s="1" t="s">
        <v>41</v>
      </c>
      <c r="F674" s="1" t="s">
        <v>18</v>
      </c>
      <c r="G674" s="1" t="s">
        <v>42</v>
      </c>
      <c r="H674" s="1">
        <v>2024.0</v>
      </c>
      <c r="I674" s="1" t="s">
        <v>240</v>
      </c>
    </row>
    <row r="675">
      <c r="A675" s="1">
        <v>673.0</v>
      </c>
      <c r="B675" s="1">
        <v>2.0</v>
      </c>
      <c r="C675" s="1">
        <v>0.609859214106011</v>
      </c>
      <c r="D675" s="1" t="s">
        <v>614</v>
      </c>
      <c r="E675" s="1" t="s">
        <v>41</v>
      </c>
      <c r="F675" s="1" t="s">
        <v>18</v>
      </c>
      <c r="G675" s="1" t="s">
        <v>42</v>
      </c>
      <c r="H675" s="1">
        <v>2024.0</v>
      </c>
      <c r="I675" s="1" t="s">
        <v>240</v>
      </c>
    </row>
    <row r="676">
      <c r="A676" s="1">
        <v>674.0</v>
      </c>
      <c r="B676" s="1">
        <v>4.0</v>
      </c>
      <c r="C676" s="1">
        <v>0.967855668777459</v>
      </c>
      <c r="D676" s="1" t="s">
        <v>57</v>
      </c>
      <c r="E676" s="1" t="s">
        <v>58</v>
      </c>
      <c r="F676" s="1" t="s">
        <v>18</v>
      </c>
      <c r="G676" s="1" t="s">
        <v>42</v>
      </c>
      <c r="H676" s="1">
        <v>2022.0</v>
      </c>
      <c r="I676" s="1" t="s">
        <v>240</v>
      </c>
    </row>
    <row r="677">
      <c r="A677" s="1">
        <v>675.0</v>
      </c>
      <c r="B677" s="1">
        <v>6.0</v>
      </c>
      <c r="C677" s="1">
        <v>0.970966539379796</v>
      </c>
      <c r="D677" s="1" t="s">
        <v>60</v>
      </c>
      <c r="E677" s="1" t="s">
        <v>58</v>
      </c>
      <c r="F677" s="1" t="s">
        <v>18</v>
      </c>
      <c r="G677" s="1" t="s">
        <v>42</v>
      </c>
      <c r="H677" s="1">
        <v>2022.0</v>
      </c>
      <c r="I677" s="1" t="s">
        <v>240</v>
      </c>
    </row>
    <row r="678">
      <c r="A678" s="1">
        <v>676.0</v>
      </c>
      <c r="B678" s="1">
        <v>8.0</v>
      </c>
      <c r="C678" s="1">
        <v>0.981631950129675</v>
      </c>
      <c r="D678" s="1" t="s">
        <v>615</v>
      </c>
      <c r="E678" s="1" t="s">
        <v>58</v>
      </c>
      <c r="F678" s="1" t="s">
        <v>18</v>
      </c>
      <c r="G678" s="1" t="s">
        <v>42</v>
      </c>
      <c r="H678" s="1">
        <v>2022.0</v>
      </c>
      <c r="I678" s="1" t="s">
        <v>240</v>
      </c>
    </row>
    <row r="679">
      <c r="A679" s="1">
        <v>677.0</v>
      </c>
      <c r="B679" s="1">
        <v>2.0</v>
      </c>
      <c r="C679" s="1">
        <v>0.691732366128914</v>
      </c>
      <c r="D679" s="1" t="s">
        <v>616</v>
      </c>
      <c r="E679" s="1" t="s">
        <v>111</v>
      </c>
      <c r="G679" s="1" t="s">
        <v>11</v>
      </c>
      <c r="H679" s="1">
        <v>2014.0</v>
      </c>
      <c r="I679" s="1" t="s">
        <v>240</v>
      </c>
    </row>
    <row r="680">
      <c r="A680" s="1">
        <v>678.0</v>
      </c>
      <c r="B680" s="1">
        <v>2.0</v>
      </c>
      <c r="C680" s="1">
        <v>0.627015832104653</v>
      </c>
      <c r="D680" s="1" t="s">
        <v>617</v>
      </c>
      <c r="E680" s="1" t="s">
        <v>111</v>
      </c>
      <c r="G680" s="1" t="s">
        <v>11</v>
      </c>
      <c r="H680" s="1">
        <v>2014.0</v>
      </c>
      <c r="I680" s="1" t="s">
        <v>240</v>
      </c>
    </row>
    <row r="681">
      <c r="A681" s="1">
        <v>679.0</v>
      </c>
      <c r="B681" s="1">
        <v>7.0</v>
      </c>
      <c r="C681" s="1">
        <v>0.323577401542279</v>
      </c>
      <c r="D681" s="1" t="s">
        <v>618</v>
      </c>
      <c r="E681" s="1" t="s">
        <v>111</v>
      </c>
      <c r="G681" s="1" t="s">
        <v>11</v>
      </c>
      <c r="H681" s="1">
        <v>2014.0</v>
      </c>
      <c r="I681" s="1" t="s">
        <v>240</v>
      </c>
    </row>
    <row r="682">
      <c r="A682" s="1">
        <v>680.0</v>
      </c>
      <c r="B682" s="1">
        <v>2.0</v>
      </c>
      <c r="C682" s="1">
        <v>0.745331407158961</v>
      </c>
      <c r="D682" s="1" t="s">
        <v>619</v>
      </c>
      <c r="E682" s="1" t="s">
        <v>111</v>
      </c>
      <c r="G682" s="1" t="s">
        <v>11</v>
      </c>
      <c r="H682" s="1">
        <v>2014.0</v>
      </c>
      <c r="I682" s="1" t="s">
        <v>240</v>
      </c>
    </row>
    <row r="683">
      <c r="A683" s="1">
        <v>681.0</v>
      </c>
      <c r="B683" s="1">
        <v>2.0</v>
      </c>
      <c r="C683" s="1">
        <v>0.604954234222031</v>
      </c>
      <c r="D683" s="1" t="s">
        <v>620</v>
      </c>
      <c r="E683" s="1" t="s">
        <v>111</v>
      </c>
      <c r="G683" s="1" t="s">
        <v>11</v>
      </c>
      <c r="H683" s="1">
        <v>2014.0</v>
      </c>
      <c r="I683" s="1" t="s">
        <v>240</v>
      </c>
    </row>
    <row r="684">
      <c r="A684" s="1">
        <v>682.0</v>
      </c>
      <c r="B684" s="1">
        <v>2.0</v>
      </c>
      <c r="C684" s="1">
        <v>0.808682126171201</v>
      </c>
      <c r="D684" s="1" t="s">
        <v>621</v>
      </c>
      <c r="E684" s="1" t="s">
        <v>111</v>
      </c>
      <c r="G684" s="1" t="s">
        <v>11</v>
      </c>
      <c r="H684" s="1">
        <v>2014.0</v>
      </c>
      <c r="I684" s="1" t="s">
        <v>240</v>
      </c>
    </row>
    <row r="685">
      <c r="A685" s="1">
        <v>683.0</v>
      </c>
      <c r="B685" s="1">
        <v>2.0</v>
      </c>
      <c r="C685" s="1">
        <v>0.403975117271041</v>
      </c>
      <c r="D685" s="1" t="s">
        <v>622</v>
      </c>
      <c r="E685" s="1" t="s">
        <v>111</v>
      </c>
      <c r="G685" s="1" t="s">
        <v>11</v>
      </c>
      <c r="H685" s="1">
        <v>2014.0</v>
      </c>
      <c r="I685" s="1" t="s">
        <v>240</v>
      </c>
    </row>
    <row r="686">
      <c r="A686" s="1">
        <v>684.0</v>
      </c>
      <c r="B686" s="1">
        <v>2.0</v>
      </c>
      <c r="C686" s="1">
        <v>0.534749996979702</v>
      </c>
      <c r="D686" s="1" t="s">
        <v>623</v>
      </c>
      <c r="E686" s="1" t="s">
        <v>111</v>
      </c>
      <c r="G686" s="1" t="s">
        <v>11</v>
      </c>
      <c r="H686" s="1">
        <v>2014.0</v>
      </c>
      <c r="I686" s="1" t="s">
        <v>240</v>
      </c>
    </row>
    <row r="687">
      <c r="A687" s="1">
        <v>685.0</v>
      </c>
      <c r="B687" s="1">
        <v>2.0</v>
      </c>
      <c r="C687" s="1">
        <v>0.825758675384203</v>
      </c>
      <c r="D687" s="1" t="s">
        <v>624</v>
      </c>
      <c r="E687" s="1" t="s">
        <v>111</v>
      </c>
      <c r="G687" s="1" t="s">
        <v>11</v>
      </c>
      <c r="H687" s="1">
        <v>2014.0</v>
      </c>
      <c r="I687" s="1" t="s">
        <v>240</v>
      </c>
    </row>
    <row r="688">
      <c r="A688" s="1">
        <v>686.0</v>
      </c>
      <c r="B688" s="1">
        <v>6.0</v>
      </c>
      <c r="C688" s="1">
        <v>0.763293152068131</v>
      </c>
      <c r="D688" s="1" t="s">
        <v>625</v>
      </c>
      <c r="E688" s="1" t="s">
        <v>24</v>
      </c>
      <c r="F688" s="1" t="s">
        <v>18</v>
      </c>
      <c r="G688" s="1" t="s">
        <v>42</v>
      </c>
      <c r="H688" s="1">
        <v>2024.0</v>
      </c>
      <c r="I688" s="1" t="s">
        <v>240</v>
      </c>
    </row>
    <row r="689">
      <c r="A689" s="1">
        <v>687.0</v>
      </c>
      <c r="B689" s="1">
        <v>8.0</v>
      </c>
      <c r="C689" s="1">
        <v>0.965382380003489</v>
      </c>
      <c r="D689" s="1" t="s">
        <v>363</v>
      </c>
      <c r="E689" s="1" t="s">
        <v>50</v>
      </c>
      <c r="G689" s="1" t="s">
        <v>26</v>
      </c>
      <c r="H689" s="1">
        <v>2022.0</v>
      </c>
      <c r="I689" s="1" t="s">
        <v>240</v>
      </c>
    </row>
    <row r="690">
      <c r="A690" s="1">
        <v>688.0</v>
      </c>
      <c r="B690" s="1">
        <v>2.0</v>
      </c>
      <c r="C690" s="1">
        <v>0.974283840934759</v>
      </c>
      <c r="D690" s="1" t="s">
        <v>626</v>
      </c>
      <c r="E690" s="1" t="s">
        <v>50</v>
      </c>
      <c r="G690" s="1" t="s">
        <v>26</v>
      </c>
      <c r="H690" s="1">
        <v>2022.0</v>
      </c>
      <c r="I690" s="1" t="s">
        <v>240</v>
      </c>
    </row>
    <row r="691">
      <c r="A691" s="1">
        <v>689.0</v>
      </c>
      <c r="B691" s="1">
        <v>2.0</v>
      </c>
      <c r="C691" s="1">
        <v>0.737456244791512</v>
      </c>
      <c r="D691" s="1" t="s">
        <v>627</v>
      </c>
      <c r="E691" s="1" t="s">
        <v>50</v>
      </c>
      <c r="G691" s="1" t="s">
        <v>26</v>
      </c>
      <c r="H691" s="1">
        <v>2022.0</v>
      </c>
      <c r="I691" s="1" t="s">
        <v>240</v>
      </c>
    </row>
    <row r="692">
      <c r="A692" s="1">
        <v>690.0</v>
      </c>
      <c r="B692" s="1">
        <v>2.0</v>
      </c>
      <c r="C692" s="1">
        <v>0.974283940885108</v>
      </c>
      <c r="D692" s="1" t="s">
        <v>628</v>
      </c>
      <c r="E692" s="1" t="s">
        <v>50</v>
      </c>
      <c r="G692" s="1" t="s">
        <v>26</v>
      </c>
      <c r="H692" s="1">
        <v>2022.0</v>
      </c>
      <c r="I692" s="1" t="s">
        <v>240</v>
      </c>
    </row>
    <row r="693">
      <c r="A693" s="1">
        <v>691.0</v>
      </c>
      <c r="B693" s="1">
        <v>2.0</v>
      </c>
      <c r="C693" s="1">
        <v>0.973527660097952</v>
      </c>
      <c r="D693" s="1" t="s">
        <v>367</v>
      </c>
      <c r="E693" s="1" t="s">
        <v>50</v>
      </c>
      <c r="G693" s="1" t="s">
        <v>26</v>
      </c>
      <c r="H693" s="1">
        <v>2022.0</v>
      </c>
      <c r="I693" s="1" t="s">
        <v>240</v>
      </c>
    </row>
    <row r="694">
      <c r="A694" s="1">
        <v>692.0</v>
      </c>
      <c r="B694" s="1">
        <v>2.0</v>
      </c>
      <c r="C694" s="1">
        <v>0.572456550481601</v>
      </c>
      <c r="D694" s="1" t="s">
        <v>629</v>
      </c>
      <c r="E694" s="1" t="s">
        <v>102</v>
      </c>
      <c r="F694" s="1" t="s">
        <v>18</v>
      </c>
      <c r="G694" s="1" t="s">
        <v>42</v>
      </c>
      <c r="H694" s="1">
        <v>2009.0</v>
      </c>
      <c r="I694" s="1" t="s">
        <v>630</v>
      </c>
    </row>
    <row r="695">
      <c r="A695" s="1">
        <v>693.0</v>
      </c>
      <c r="B695" s="1">
        <v>3.0</v>
      </c>
      <c r="C695" s="1">
        <v>0.274030267987185</v>
      </c>
      <c r="D695" s="1" t="s">
        <v>631</v>
      </c>
      <c r="E695" s="1" t="s">
        <v>102</v>
      </c>
      <c r="F695" s="1" t="s">
        <v>18</v>
      </c>
      <c r="G695" s="1" t="s">
        <v>42</v>
      </c>
      <c r="H695" s="1">
        <v>2009.0</v>
      </c>
      <c r="I695" s="1" t="s">
        <v>630</v>
      </c>
    </row>
    <row r="696">
      <c r="A696" s="1">
        <v>694.0</v>
      </c>
      <c r="B696" s="1">
        <v>3.0</v>
      </c>
      <c r="C696" s="1">
        <v>0.680280507318525</v>
      </c>
      <c r="D696" s="1" t="s">
        <v>632</v>
      </c>
      <c r="E696" s="1" t="s">
        <v>102</v>
      </c>
      <c r="F696" s="1" t="s">
        <v>18</v>
      </c>
      <c r="G696" s="1" t="s">
        <v>42</v>
      </c>
      <c r="H696" s="1">
        <v>2009.0</v>
      </c>
      <c r="I696" s="1" t="s">
        <v>630</v>
      </c>
    </row>
    <row r="697">
      <c r="A697" s="1">
        <v>695.0</v>
      </c>
      <c r="B697" s="1">
        <v>3.0</v>
      </c>
      <c r="C697" s="1">
        <v>0.569395740618594</v>
      </c>
      <c r="D697" s="1" t="s">
        <v>633</v>
      </c>
      <c r="E697" s="1" t="s">
        <v>102</v>
      </c>
      <c r="F697" s="1" t="s">
        <v>18</v>
      </c>
      <c r="G697" s="1" t="s">
        <v>42</v>
      </c>
      <c r="H697" s="1">
        <v>2009.0</v>
      </c>
      <c r="I697" s="1" t="s">
        <v>630</v>
      </c>
    </row>
    <row r="698">
      <c r="A698" s="1">
        <v>696.0</v>
      </c>
      <c r="B698" s="1">
        <v>3.0</v>
      </c>
      <c r="C698" s="1">
        <v>0.41999308654524</v>
      </c>
      <c r="D698" s="1" t="s">
        <v>634</v>
      </c>
      <c r="E698" s="1" t="s">
        <v>102</v>
      </c>
      <c r="F698" s="1" t="s">
        <v>18</v>
      </c>
      <c r="G698" s="1" t="s">
        <v>42</v>
      </c>
      <c r="H698" s="1">
        <v>2009.0</v>
      </c>
      <c r="I698" s="1" t="s">
        <v>630</v>
      </c>
    </row>
    <row r="699">
      <c r="A699" s="1">
        <v>697.0</v>
      </c>
      <c r="B699" s="1">
        <v>2.0</v>
      </c>
      <c r="C699" s="1">
        <v>0.586227742772371</v>
      </c>
      <c r="D699" s="1" t="s">
        <v>635</v>
      </c>
      <c r="E699" s="1" t="s">
        <v>102</v>
      </c>
      <c r="F699" s="1" t="s">
        <v>18</v>
      </c>
      <c r="G699" s="1" t="s">
        <v>42</v>
      </c>
      <c r="H699" s="1">
        <v>2009.0</v>
      </c>
      <c r="I699" s="1" t="s">
        <v>630</v>
      </c>
    </row>
    <row r="700">
      <c r="A700" s="1">
        <v>698.0</v>
      </c>
      <c r="B700" s="1">
        <v>2.0</v>
      </c>
      <c r="C700" s="1">
        <v>0.56271916273604</v>
      </c>
      <c r="D700" s="1" t="s">
        <v>636</v>
      </c>
      <c r="E700" s="1" t="s">
        <v>102</v>
      </c>
      <c r="F700" s="1" t="s">
        <v>18</v>
      </c>
      <c r="G700" s="1" t="s">
        <v>42</v>
      </c>
      <c r="H700" s="1">
        <v>2009.0</v>
      </c>
      <c r="I700" s="1" t="s">
        <v>630</v>
      </c>
    </row>
    <row r="701">
      <c r="A701" s="1">
        <v>699.0</v>
      </c>
      <c r="B701" s="1">
        <v>3.0</v>
      </c>
      <c r="C701" s="1">
        <v>0.579190751993871</v>
      </c>
      <c r="D701" s="1" t="s">
        <v>637</v>
      </c>
      <c r="E701" s="1" t="s">
        <v>102</v>
      </c>
      <c r="F701" s="1" t="s">
        <v>18</v>
      </c>
      <c r="G701" s="1" t="s">
        <v>42</v>
      </c>
      <c r="H701" s="1">
        <v>2009.0</v>
      </c>
      <c r="I701" s="1" t="s">
        <v>630</v>
      </c>
    </row>
    <row r="702">
      <c r="A702" s="1">
        <v>700.0</v>
      </c>
      <c r="B702" s="1">
        <v>3.0</v>
      </c>
      <c r="C702" s="1">
        <v>0.668251940052933</v>
      </c>
      <c r="D702" s="1" t="s">
        <v>638</v>
      </c>
      <c r="E702" s="1" t="s">
        <v>102</v>
      </c>
      <c r="F702" s="1" t="s">
        <v>18</v>
      </c>
      <c r="G702" s="1" t="s">
        <v>42</v>
      </c>
      <c r="H702" s="1">
        <v>2009.0</v>
      </c>
      <c r="I702" s="1" t="s">
        <v>630</v>
      </c>
    </row>
    <row r="703">
      <c r="A703" s="1">
        <v>701.0</v>
      </c>
      <c r="B703" s="1">
        <v>3.0</v>
      </c>
      <c r="C703" s="1">
        <v>0.4661238313296</v>
      </c>
      <c r="D703" s="1" t="s">
        <v>639</v>
      </c>
      <c r="E703" s="1" t="s">
        <v>102</v>
      </c>
      <c r="F703" s="1" t="s">
        <v>18</v>
      </c>
      <c r="G703" s="1" t="s">
        <v>42</v>
      </c>
      <c r="H703" s="1">
        <v>2009.0</v>
      </c>
      <c r="I703" s="1" t="s">
        <v>630</v>
      </c>
    </row>
    <row r="704">
      <c r="A704" s="1">
        <v>702.0</v>
      </c>
      <c r="B704" s="1">
        <v>2.0</v>
      </c>
      <c r="C704" s="1">
        <v>0.584626978693081</v>
      </c>
      <c r="D704" s="1" t="s">
        <v>640</v>
      </c>
      <c r="E704" s="1" t="s">
        <v>102</v>
      </c>
      <c r="F704" s="1" t="s">
        <v>18</v>
      </c>
      <c r="G704" s="1" t="s">
        <v>42</v>
      </c>
      <c r="H704" s="1">
        <v>2009.0</v>
      </c>
      <c r="I704" s="1" t="s">
        <v>630</v>
      </c>
    </row>
    <row r="705">
      <c r="A705" s="1">
        <v>703.0</v>
      </c>
      <c r="B705" s="1">
        <v>2.0</v>
      </c>
      <c r="C705" s="1">
        <v>0.534759216205056</v>
      </c>
      <c r="D705" s="1" t="s">
        <v>641</v>
      </c>
      <c r="E705" s="1" t="s">
        <v>102</v>
      </c>
      <c r="F705" s="1" t="s">
        <v>18</v>
      </c>
      <c r="G705" s="1" t="s">
        <v>42</v>
      </c>
      <c r="H705" s="1">
        <v>2009.0</v>
      </c>
      <c r="I705" s="1" t="s">
        <v>630</v>
      </c>
    </row>
    <row r="706">
      <c r="A706" s="1">
        <v>704.0</v>
      </c>
      <c r="B706" s="1">
        <v>3.0</v>
      </c>
      <c r="C706" s="1">
        <v>0.602343508160656</v>
      </c>
      <c r="D706" s="1" t="s">
        <v>642</v>
      </c>
      <c r="E706" s="1" t="s">
        <v>102</v>
      </c>
      <c r="F706" s="1" t="s">
        <v>18</v>
      </c>
      <c r="G706" s="1" t="s">
        <v>42</v>
      </c>
      <c r="H706" s="1">
        <v>2009.0</v>
      </c>
      <c r="I706" s="1" t="s">
        <v>630</v>
      </c>
    </row>
    <row r="707">
      <c r="A707" s="1">
        <v>705.0</v>
      </c>
      <c r="B707" s="1">
        <v>3.0</v>
      </c>
      <c r="C707" s="1">
        <v>0.676906638880513</v>
      </c>
      <c r="D707" s="1" t="s">
        <v>643</v>
      </c>
      <c r="E707" s="1" t="s">
        <v>102</v>
      </c>
      <c r="F707" s="1" t="s">
        <v>18</v>
      </c>
      <c r="G707" s="1" t="s">
        <v>42</v>
      </c>
      <c r="H707" s="1">
        <v>2009.0</v>
      </c>
      <c r="I707" s="1" t="s">
        <v>630</v>
      </c>
    </row>
    <row r="708">
      <c r="A708" s="1">
        <v>706.0</v>
      </c>
      <c r="B708" s="1">
        <v>3.0</v>
      </c>
      <c r="C708" s="1">
        <v>0.603671014002119</v>
      </c>
      <c r="D708" s="1" t="s">
        <v>644</v>
      </c>
      <c r="E708" s="1" t="s">
        <v>102</v>
      </c>
      <c r="F708" s="1" t="s">
        <v>18</v>
      </c>
      <c r="G708" s="1" t="s">
        <v>42</v>
      </c>
      <c r="H708" s="1">
        <v>2009.0</v>
      </c>
      <c r="I708" s="1" t="s">
        <v>630</v>
      </c>
    </row>
    <row r="709">
      <c r="A709" s="1">
        <v>707.0</v>
      </c>
      <c r="B709" s="1">
        <v>3.0</v>
      </c>
      <c r="C709" s="1">
        <v>0.631457246122139</v>
      </c>
      <c r="D709" s="1" t="s">
        <v>645</v>
      </c>
      <c r="E709" s="1" t="s">
        <v>102</v>
      </c>
      <c r="F709" s="1" t="s">
        <v>18</v>
      </c>
      <c r="G709" s="1" t="s">
        <v>42</v>
      </c>
      <c r="H709" s="1">
        <v>2009.0</v>
      </c>
      <c r="I709" s="1" t="s">
        <v>630</v>
      </c>
    </row>
    <row r="710">
      <c r="A710" s="1">
        <v>708.0</v>
      </c>
      <c r="B710" s="1">
        <v>3.0</v>
      </c>
      <c r="C710" s="1">
        <v>0.784598390650469</v>
      </c>
      <c r="D710" s="1" t="s">
        <v>646</v>
      </c>
      <c r="E710" s="1" t="s">
        <v>102</v>
      </c>
      <c r="F710" s="1" t="s">
        <v>18</v>
      </c>
      <c r="G710" s="1" t="s">
        <v>42</v>
      </c>
      <c r="H710" s="1">
        <v>2009.0</v>
      </c>
      <c r="I710" s="1" t="s">
        <v>630</v>
      </c>
    </row>
    <row r="711">
      <c r="A711" s="1">
        <v>709.0</v>
      </c>
      <c r="B711" s="1">
        <v>2.0</v>
      </c>
      <c r="C711" s="1">
        <v>0.555628148105724</v>
      </c>
      <c r="D711" s="1" t="s">
        <v>647</v>
      </c>
      <c r="E711" s="1" t="s">
        <v>102</v>
      </c>
      <c r="F711" s="1" t="s">
        <v>18</v>
      </c>
      <c r="G711" s="1" t="s">
        <v>42</v>
      </c>
      <c r="H711" s="1">
        <v>2009.0</v>
      </c>
      <c r="I711" s="1" t="s">
        <v>630</v>
      </c>
    </row>
    <row r="712">
      <c r="A712" s="1">
        <v>710.0</v>
      </c>
      <c r="B712" s="1">
        <v>3.0</v>
      </c>
      <c r="C712" s="1">
        <v>0.422137028777234</v>
      </c>
      <c r="D712" s="1" t="s">
        <v>648</v>
      </c>
      <c r="E712" s="1" t="s">
        <v>102</v>
      </c>
      <c r="F712" s="1" t="s">
        <v>18</v>
      </c>
      <c r="G712" s="1" t="s">
        <v>42</v>
      </c>
      <c r="H712" s="1">
        <v>2009.0</v>
      </c>
      <c r="I712" s="1" t="s">
        <v>630</v>
      </c>
    </row>
    <row r="713">
      <c r="A713" s="1">
        <v>711.0</v>
      </c>
      <c r="B713" s="1">
        <v>3.0</v>
      </c>
      <c r="C713" s="1">
        <v>0.403673809240079</v>
      </c>
      <c r="D713" s="1" t="s">
        <v>649</v>
      </c>
      <c r="E713" s="1" t="s">
        <v>102</v>
      </c>
      <c r="F713" s="1" t="s">
        <v>18</v>
      </c>
      <c r="G713" s="1" t="s">
        <v>42</v>
      </c>
      <c r="H713" s="1">
        <v>2009.0</v>
      </c>
      <c r="I713" s="1" t="s">
        <v>630</v>
      </c>
    </row>
    <row r="714">
      <c r="A714" s="1">
        <v>712.0</v>
      </c>
      <c r="B714" s="1">
        <v>3.0</v>
      </c>
      <c r="C714" s="1">
        <v>0.52449638540142</v>
      </c>
      <c r="D714" s="1" t="s">
        <v>650</v>
      </c>
      <c r="E714" s="1" t="s">
        <v>10</v>
      </c>
      <c r="F714" s="1" t="s">
        <v>18</v>
      </c>
      <c r="G714" s="1" t="s">
        <v>42</v>
      </c>
      <c r="H714" s="1">
        <v>2014.0</v>
      </c>
      <c r="I714" s="1" t="s">
        <v>630</v>
      </c>
    </row>
    <row r="715">
      <c r="A715" s="1">
        <v>713.0</v>
      </c>
      <c r="B715" s="1">
        <v>3.0</v>
      </c>
      <c r="C715" s="1">
        <v>0.528326162472941</v>
      </c>
      <c r="D715" s="1" t="s">
        <v>651</v>
      </c>
      <c r="E715" s="1" t="s">
        <v>10</v>
      </c>
      <c r="F715" s="1" t="s">
        <v>18</v>
      </c>
      <c r="G715" s="1" t="s">
        <v>42</v>
      </c>
      <c r="H715" s="1">
        <v>2014.0</v>
      </c>
      <c r="I715" s="1" t="s">
        <v>630</v>
      </c>
    </row>
    <row r="716">
      <c r="A716" s="1">
        <v>714.0</v>
      </c>
      <c r="B716" s="1">
        <v>2.0</v>
      </c>
      <c r="C716" s="1">
        <v>0.391572185362112</v>
      </c>
      <c r="D716" s="1" t="s">
        <v>652</v>
      </c>
      <c r="E716" s="1" t="s">
        <v>10</v>
      </c>
      <c r="F716" s="1" t="s">
        <v>18</v>
      </c>
      <c r="G716" s="1" t="s">
        <v>42</v>
      </c>
      <c r="H716" s="1">
        <v>2014.0</v>
      </c>
      <c r="I716" s="1" t="s">
        <v>630</v>
      </c>
    </row>
    <row r="717">
      <c r="A717" s="1">
        <v>715.0</v>
      </c>
      <c r="B717" s="1">
        <v>3.0</v>
      </c>
      <c r="C717" s="1">
        <v>0.464046962605128</v>
      </c>
      <c r="D717" s="1" t="s">
        <v>653</v>
      </c>
      <c r="E717" s="1" t="s">
        <v>10</v>
      </c>
      <c r="F717" s="1" t="s">
        <v>18</v>
      </c>
      <c r="G717" s="1" t="s">
        <v>42</v>
      </c>
      <c r="H717" s="1">
        <v>2014.0</v>
      </c>
      <c r="I717" s="1" t="s">
        <v>630</v>
      </c>
    </row>
    <row r="718">
      <c r="A718" s="1">
        <v>716.0</v>
      </c>
      <c r="B718" s="1">
        <v>3.0</v>
      </c>
      <c r="C718" s="1">
        <v>0.637863857664938</v>
      </c>
      <c r="D718" s="1" t="s">
        <v>654</v>
      </c>
      <c r="E718" s="1" t="s">
        <v>10</v>
      </c>
      <c r="F718" s="1" t="s">
        <v>18</v>
      </c>
      <c r="G718" s="1" t="s">
        <v>42</v>
      </c>
      <c r="H718" s="1">
        <v>2014.0</v>
      </c>
      <c r="I718" s="1" t="s">
        <v>630</v>
      </c>
    </row>
    <row r="719">
      <c r="A719" s="1">
        <v>717.0</v>
      </c>
      <c r="B719" s="1">
        <v>2.0</v>
      </c>
      <c r="C719" s="1">
        <v>0.490837574928279</v>
      </c>
      <c r="D719" s="1" t="s">
        <v>655</v>
      </c>
      <c r="E719" s="1" t="s">
        <v>10</v>
      </c>
      <c r="F719" s="1" t="s">
        <v>18</v>
      </c>
      <c r="G719" s="1" t="s">
        <v>42</v>
      </c>
      <c r="H719" s="1">
        <v>2014.0</v>
      </c>
      <c r="I719" s="1" t="s">
        <v>630</v>
      </c>
    </row>
    <row r="720">
      <c r="A720" s="1">
        <v>718.0</v>
      </c>
      <c r="B720" s="1">
        <v>3.0</v>
      </c>
      <c r="C720" s="1">
        <v>0.455986250746386</v>
      </c>
      <c r="D720" s="1" t="s">
        <v>656</v>
      </c>
      <c r="E720" s="1" t="s">
        <v>10</v>
      </c>
      <c r="F720" s="1" t="s">
        <v>18</v>
      </c>
      <c r="G720" s="1" t="s">
        <v>42</v>
      </c>
      <c r="H720" s="1">
        <v>2014.0</v>
      </c>
      <c r="I720" s="1" t="s">
        <v>630</v>
      </c>
    </row>
    <row r="721">
      <c r="A721" s="1">
        <v>719.0</v>
      </c>
      <c r="B721" s="1">
        <v>3.0</v>
      </c>
      <c r="C721" s="1">
        <v>0.46238766975075</v>
      </c>
      <c r="D721" s="1" t="s">
        <v>657</v>
      </c>
      <c r="E721" s="1" t="s">
        <v>10</v>
      </c>
      <c r="F721" s="1" t="s">
        <v>18</v>
      </c>
      <c r="G721" s="1" t="s">
        <v>42</v>
      </c>
      <c r="H721" s="1">
        <v>2014.0</v>
      </c>
      <c r="I721" s="1" t="s">
        <v>630</v>
      </c>
    </row>
    <row r="722">
      <c r="A722" s="1">
        <v>720.0</v>
      </c>
      <c r="B722" s="1">
        <v>3.0</v>
      </c>
      <c r="C722" s="1">
        <v>0.400210731276557</v>
      </c>
      <c r="D722" s="1" t="s">
        <v>658</v>
      </c>
      <c r="E722" s="1" t="s">
        <v>10</v>
      </c>
      <c r="F722" s="1" t="s">
        <v>18</v>
      </c>
      <c r="G722" s="1" t="s">
        <v>42</v>
      </c>
      <c r="H722" s="1">
        <v>2014.0</v>
      </c>
      <c r="I722" s="1" t="s">
        <v>630</v>
      </c>
    </row>
    <row r="723">
      <c r="A723" s="1">
        <v>721.0</v>
      </c>
      <c r="B723" s="1">
        <v>3.0</v>
      </c>
      <c r="C723" s="1">
        <v>0.460431773113533</v>
      </c>
      <c r="D723" s="1" t="s">
        <v>659</v>
      </c>
      <c r="E723" s="1" t="s">
        <v>10</v>
      </c>
      <c r="F723" s="1" t="s">
        <v>18</v>
      </c>
      <c r="G723" s="1" t="s">
        <v>42</v>
      </c>
      <c r="H723" s="1">
        <v>2014.0</v>
      </c>
      <c r="I723" s="1" t="s">
        <v>630</v>
      </c>
    </row>
    <row r="724">
      <c r="A724" s="1">
        <v>722.0</v>
      </c>
      <c r="B724" s="1">
        <v>3.0</v>
      </c>
      <c r="C724" s="1">
        <v>0.622039416721212</v>
      </c>
      <c r="D724" s="1" t="s">
        <v>660</v>
      </c>
      <c r="E724" s="1" t="s">
        <v>10</v>
      </c>
      <c r="F724" s="1" t="s">
        <v>18</v>
      </c>
      <c r="G724" s="1" t="s">
        <v>42</v>
      </c>
      <c r="H724" s="1">
        <v>2014.0</v>
      </c>
      <c r="I724" s="1" t="s">
        <v>630</v>
      </c>
    </row>
    <row r="725">
      <c r="A725" s="1">
        <v>723.0</v>
      </c>
      <c r="B725" s="1">
        <v>2.0</v>
      </c>
      <c r="C725" s="1">
        <v>0.397742853534212</v>
      </c>
      <c r="D725" s="1" t="s">
        <v>661</v>
      </c>
      <c r="E725" s="1" t="s">
        <v>10</v>
      </c>
      <c r="F725" s="1" t="s">
        <v>18</v>
      </c>
      <c r="G725" s="1" t="s">
        <v>42</v>
      </c>
      <c r="H725" s="1">
        <v>2014.0</v>
      </c>
      <c r="I725" s="1" t="s">
        <v>630</v>
      </c>
    </row>
    <row r="726">
      <c r="A726" s="1">
        <v>724.0</v>
      </c>
      <c r="B726" s="1">
        <v>9.0</v>
      </c>
      <c r="C726" s="1">
        <v>0.480132938395226</v>
      </c>
      <c r="D726" s="1" t="s">
        <v>662</v>
      </c>
      <c r="E726" s="1" t="s">
        <v>10</v>
      </c>
      <c r="F726" s="1" t="s">
        <v>18</v>
      </c>
      <c r="G726" s="1" t="s">
        <v>42</v>
      </c>
      <c r="H726" s="1">
        <v>2014.0</v>
      </c>
      <c r="I726" s="1" t="s">
        <v>630</v>
      </c>
    </row>
    <row r="727">
      <c r="A727" s="1">
        <v>725.0</v>
      </c>
      <c r="B727" s="1">
        <v>9.0</v>
      </c>
      <c r="C727" s="1">
        <v>0.479207353255481</v>
      </c>
      <c r="D727" s="1" t="s">
        <v>663</v>
      </c>
      <c r="E727" s="1" t="s">
        <v>10</v>
      </c>
      <c r="F727" s="1" t="s">
        <v>18</v>
      </c>
      <c r="G727" s="1" t="s">
        <v>42</v>
      </c>
      <c r="H727" s="1">
        <v>2014.0</v>
      </c>
      <c r="I727" s="1" t="s">
        <v>630</v>
      </c>
    </row>
    <row r="728">
      <c r="A728" s="1">
        <v>726.0</v>
      </c>
      <c r="B728" s="1">
        <v>9.0</v>
      </c>
      <c r="C728" s="1">
        <v>0.544439763029294</v>
      </c>
      <c r="D728" s="1" t="s">
        <v>664</v>
      </c>
      <c r="E728" s="1" t="s">
        <v>10</v>
      </c>
      <c r="F728" s="1" t="s">
        <v>18</v>
      </c>
      <c r="G728" s="1" t="s">
        <v>42</v>
      </c>
      <c r="H728" s="1">
        <v>2014.0</v>
      </c>
      <c r="I728" s="1" t="s">
        <v>630</v>
      </c>
    </row>
    <row r="729">
      <c r="A729" s="1">
        <v>727.0</v>
      </c>
      <c r="B729" s="1">
        <v>3.0</v>
      </c>
      <c r="C729" s="1">
        <v>0.535310036558235</v>
      </c>
      <c r="D729" s="1" t="s">
        <v>665</v>
      </c>
      <c r="E729" s="1" t="s">
        <v>10</v>
      </c>
      <c r="F729" s="1" t="s">
        <v>18</v>
      </c>
      <c r="G729" s="1" t="s">
        <v>42</v>
      </c>
      <c r="H729" s="1">
        <v>2014.0</v>
      </c>
      <c r="I729" s="1" t="s">
        <v>630</v>
      </c>
    </row>
    <row r="730">
      <c r="A730" s="1">
        <v>728.0</v>
      </c>
      <c r="B730" s="1">
        <v>3.0</v>
      </c>
      <c r="C730" s="1">
        <v>0.722849126103159</v>
      </c>
      <c r="D730" s="1" t="s">
        <v>666</v>
      </c>
      <c r="E730" s="1" t="s">
        <v>10</v>
      </c>
      <c r="F730" s="1" t="s">
        <v>18</v>
      </c>
      <c r="G730" s="1" t="s">
        <v>42</v>
      </c>
      <c r="H730" s="1">
        <v>2014.0</v>
      </c>
      <c r="I730" s="1" t="s">
        <v>630</v>
      </c>
    </row>
    <row r="731">
      <c r="A731" s="1">
        <v>729.0</v>
      </c>
      <c r="B731" s="1">
        <v>3.0</v>
      </c>
      <c r="C731" s="1">
        <v>0.50837259002045</v>
      </c>
      <c r="D731" s="1" t="s">
        <v>667</v>
      </c>
      <c r="E731" s="1" t="s">
        <v>10</v>
      </c>
      <c r="F731" s="1" t="s">
        <v>18</v>
      </c>
      <c r="G731" s="1" t="s">
        <v>42</v>
      </c>
      <c r="H731" s="1">
        <v>2014.0</v>
      </c>
      <c r="I731" s="1" t="s">
        <v>630</v>
      </c>
    </row>
    <row r="732">
      <c r="A732" s="1">
        <v>730.0</v>
      </c>
      <c r="B732" s="1">
        <v>2.0</v>
      </c>
      <c r="C732" s="1">
        <v>0.56573618495843</v>
      </c>
      <c r="D732" s="1" t="s">
        <v>668</v>
      </c>
      <c r="E732" s="1" t="s">
        <v>10</v>
      </c>
      <c r="F732" s="1" t="s">
        <v>18</v>
      </c>
      <c r="G732" s="1" t="s">
        <v>42</v>
      </c>
      <c r="H732" s="1">
        <v>2014.0</v>
      </c>
      <c r="I732" s="1" t="s">
        <v>630</v>
      </c>
    </row>
    <row r="733">
      <c r="A733" s="1">
        <v>731.0</v>
      </c>
      <c r="B733" s="1">
        <v>9.0</v>
      </c>
      <c r="C733" s="1">
        <v>0.384257561133012</v>
      </c>
      <c r="D733" s="1" t="s">
        <v>669</v>
      </c>
      <c r="E733" s="1" t="s">
        <v>10</v>
      </c>
      <c r="F733" s="1" t="s">
        <v>18</v>
      </c>
      <c r="G733" s="1" t="s">
        <v>42</v>
      </c>
      <c r="H733" s="1">
        <v>2014.0</v>
      </c>
      <c r="I733" s="1" t="s">
        <v>630</v>
      </c>
    </row>
    <row r="734">
      <c r="A734" s="1">
        <v>732.0</v>
      </c>
      <c r="B734" s="1">
        <v>2.0</v>
      </c>
      <c r="C734" s="1">
        <v>0.501803882152791</v>
      </c>
      <c r="D734" s="1" t="s">
        <v>670</v>
      </c>
      <c r="E734" s="1" t="s">
        <v>10</v>
      </c>
      <c r="F734" s="1" t="s">
        <v>18</v>
      </c>
      <c r="G734" s="1" t="s">
        <v>42</v>
      </c>
      <c r="H734" s="1">
        <v>2014.0</v>
      </c>
      <c r="I734" s="1" t="s">
        <v>630</v>
      </c>
    </row>
    <row r="735">
      <c r="A735" s="1">
        <v>733.0</v>
      </c>
      <c r="B735" s="1">
        <v>9.0</v>
      </c>
      <c r="C735" s="1">
        <v>0.446644147704364</v>
      </c>
      <c r="D735" s="1" t="s">
        <v>671</v>
      </c>
      <c r="E735" s="1" t="s">
        <v>10</v>
      </c>
      <c r="F735" s="1" t="s">
        <v>18</v>
      </c>
      <c r="G735" s="1" t="s">
        <v>42</v>
      </c>
      <c r="H735" s="1">
        <v>2014.0</v>
      </c>
      <c r="I735" s="1" t="s">
        <v>630</v>
      </c>
    </row>
    <row r="736">
      <c r="A736" s="1">
        <v>734.0</v>
      </c>
      <c r="B736" s="1">
        <v>2.0</v>
      </c>
      <c r="C736" s="1">
        <v>0.545867938104898</v>
      </c>
      <c r="D736" s="1" t="s">
        <v>672</v>
      </c>
      <c r="E736" s="1" t="s">
        <v>10</v>
      </c>
      <c r="F736" s="1" t="s">
        <v>18</v>
      </c>
      <c r="G736" s="1" t="s">
        <v>42</v>
      </c>
      <c r="H736" s="1">
        <v>2014.0</v>
      </c>
      <c r="I736" s="1" t="s">
        <v>630</v>
      </c>
    </row>
    <row r="737">
      <c r="A737" s="1">
        <v>735.0</v>
      </c>
      <c r="B737" s="1">
        <v>2.0</v>
      </c>
      <c r="C737" s="1">
        <v>0.564862970711302</v>
      </c>
      <c r="D737" s="1" t="s">
        <v>673</v>
      </c>
      <c r="E737" s="1" t="s">
        <v>10</v>
      </c>
      <c r="F737" s="1" t="s">
        <v>18</v>
      </c>
      <c r="G737" s="1" t="s">
        <v>42</v>
      </c>
      <c r="H737" s="1">
        <v>2014.0</v>
      </c>
      <c r="I737" s="1" t="s">
        <v>630</v>
      </c>
    </row>
    <row r="738">
      <c r="A738" s="1">
        <v>736.0</v>
      </c>
      <c r="B738" s="1">
        <v>2.0</v>
      </c>
      <c r="C738" s="1">
        <v>0.492874223741574</v>
      </c>
      <c r="D738" s="1" t="s">
        <v>674</v>
      </c>
      <c r="E738" s="1" t="s">
        <v>10</v>
      </c>
      <c r="F738" s="1" t="s">
        <v>18</v>
      </c>
      <c r="G738" s="1" t="s">
        <v>42</v>
      </c>
      <c r="H738" s="1">
        <v>2014.0</v>
      </c>
      <c r="I738" s="1" t="s">
        <v>630</v>
      </c>
    </row>
    <row r="739">
      <c r="A739" s="1">
        <v>737.0</v>
      </c>
      <c r="B739" s="1">
        <v>3.0</v>
      </c>
      <c r="C739" s="1">
        <v>0.79663677502321</v>
      </c>
      <c r="D739" s="1" t="s">
        <v>675</v>
      </c>
      <c r="E739" s="1" t="s">
        <v>58</v>
      </c>
      <c r="G739" s="1" t="s">
        <v>42</v>
      </c>
      <c r="H739" s="1">
        <v>2024.0</v>
      </c>
      <c r="I739" s="1" t="s">
        <v>630</v>
      </c>
    </row>
    <row r="740">
      <c r="A740" s="1">
        <v>738.0</v>
      </c>
      <c r="B740" s="1">
        <v>3.0</v>
      </c>
      <c r="C740" s="1">
        <v>0.87062602391384</v>
      </c>
      <c r="D740" s="1" t="s">
        <v>676</v>
      </c>
      <c r="E740" s="1" t="s">
        <v>58</v>
      </c>
      <c r="G740" s="1" t="s">
        <v>42</v>
      </c>
      <c r="H740" s="1">
        <v>2024.0</v>
      </c>
      <c r="I740" s="1" t="s">
        <v>630</v>
      </c>
    </row>
    <row r="741">
      <c r="A741" s="1">
        <v>739.0</v>
      </c>
      <c r="B741" s="1">
        <v>3.0</v>
      </c>
      <c r="C741" s="1">
        <v>0.531424508545245</v>
      </c>
      <c r="D741" s="1" t="s">
        <v>677</v>
      </c>
      <c r="E741" s="1" t="s">
        <v>58</v>
      </c>
      <c r="G741" s="1" t="s">
        <v>42</v>
      </c>
      <c r="H741" s="1">
        <v>2024.0</v>
      </c>
      <c r="I741" s="1" t="s">
        <v>630</v>
      </c>
    </row>
    <row r="742">
      <c r="A742" s="1">
        <v>740.0</v>
      </c>
      <c r="B742" s="1">
        <v>7.0</v>
      </c>
      <c r="C742" s="1">
        <v>0.877777480306466</v>
      </c>
      <c r="D742" s="1" t="s">
        <v>678</v>
      </c>
      <c r="E742" s="1" t="s">
        <v>58</v>
      </c>
      <c r="G742" s="1" t="s">
        <v>42</v>
      </c>
      <c r="H742" s="1">
        <v>2024.0</v>
      </c>
      <c r="I742" s="1" t="s">
        <v>630</v>
      </c>
    </row>
    <row r="743">
      <c r="A743" s="1">
        <v>741.0</v>
      </c>
      <c r="B743" s="1">
        <v>6.0</v>
      </c>
      <c r="C743" s="1">
        <v>0.301280733244383</v>
      </c>
      <c r="D743" s="1" t="s">
        <v>679</v>
      </c>
      <c r="E743" s="1" t="s">
        <v>58</v>
      </c>
      <c r="G743" s="1" t="s">
        <v>42</v>
      </c>
      <c r="H743" s="1">
        <v>2024.0</v>
      </c>
      <c r="I743" s="1" t="s">
        <v>630</v>
      </c>
    </row>
    <row r="744">
      <c r="A744" s="1">
        <v>742.0</v>
      </c>
      <c r="B744" s="1">
        <v>2.0</v>
      </c>
      <c r="C744" s="1">
        <v>0.264666921793901</v>
      </c>
      <c r="D744" s="1" t="s">
        <v>680</v>
      </c>
      <c r="E744" s="1" t="s">
        <v>58</v>
      </c>
      <c r="G744" s="1" t="s">
        <v>42</v>
      </c>
      <c r="H744" s="1">
        <v>2024.0</v>
      </c>
      <c r="I744" s="1" t="s">
        <v>630</v>
      </c>
    </row>
    <row r="745">
      <c r="A745" s="1">
        <v>743.0</v>
      </c>
      <c r="B745" s="1">
        <v>4.0</v>
      </c>
      <c r="C745" s="1">
        <v>0.967855668777459</v>
      </c>
      <c r="D745" s="1" t="s">
        <v>57</v>
      </c>
      <c r="E745" s="1" t="s">
        <v>58</v>
      </c>
      <c r="G745" s="1" t="s">
        <v>42</v>
      </c>
      <c r="H745" s="1">
        <v>2024.0</v>
      </c>
      <c r="I745" s="1" t="s">
        <v>630</v>
      </c>
    </row>
    <row r="746">
      <c r="A746" s="1">
        <v>744.0</v>
      </c>
      <c r="B746" s="1">
        <v>6.0</v>
      </c>
      <c r="C746" s="1">
        <v>0.970966539379796</v>
      </c>
      <c r="D746" s="1" t="s">
        <v>60</v>
      </c>
      <c r="E746" s="1" t="s">
        <v>58</v>
      </c>
      <c r="G746" s="1" t="s">
        <v>42</v>
      </c>
      <c r="H746" s="1">
        <v>2024.0</v>
      </c>
      <c r="I746" s="1" t="s">
        <v>630</v>
      </c>
    </row>
    <row r="747">
      <c r="A747" s="1">
        <v>745.0</v>
      </c>
      <c r="B747" s="1">
        <v>2.0</v>
      </c>
      <c r="C747" s="1">
        <v>0.412922139337497</v>
      </c>
      <c r="D747" s="1" t="s">
        <v>681</v>
      </c>
      <c r="E747" s="1" t="s">
        <v>58</v>
      </c>
      <c r="G747" s="1" t="s">
        <v>42</v>
      </c>
      <c r="H747" s="1">
        <v>2024.0</v>
      </c>
      <c r="I747" s="1" t="s">
        <v>630</v>
      </c>
    </row>
    <row r="748">
      <c r="A748" s="1">
        <v>746.0</v>
      </c>
      <c r="B748" s="1">
        <v>3.0</v>
      </c>
      <c r="C748" s="1">
        <v>0.6258506024917</v>
      </c>
      <c r="D748" s="1" t="s">
        <v>682</v>
      </c>
      <c r="E748" s="1" t="s">
        <v>58</v>
      </c>
      <c r="G748" s="1" t="s">
        <v>42</v>
      </c>
      <c r="H748" s="1">
        <v>2024.0</v>
      </c>
      <c r="I748" s="1" t="s">
        <v>630</v>
      </c>
    </row>
    <row r="749">
      <c r="A749" s="1">
        <v>747.0</v>
      </c>
      <c r="B749" s="1">
        <v>6.0</v>
      </c>
      <c r="C749" s="1">
        <v>0.505314244564344</v>
      </c>
      <c r="D749" s="1" t="s">
        <v>683</v>
      </c>
      <c r="E749" s="1" t="s">
        <v>58</v>
      </c>
      <c r="G749" s="1" t="s">
        <v>42</v>
      </c>
      <c r="H749" s="1">
        <v>2024.0</v>
      </c>
      <c r="I749" s="1" t="s">
        <v>630</v>
      </c>
    </row>
    <row r="750">
      <c r="A750" s="1">
        <v>748.0</v>
      </c>
      <c r="B750" s="1">
        <v>6.0</v>
      </c>
      <c r="C750" s="1">
        <v>0.482052285185571</v>
      </c>
      <c r="D750" s="1" t="s">
        <v>684</v>
      </c>
      <c r="E750" s="1" t="s">
        <v>58</v>
      </c>
      <c r="G750" s="1" t="s">
        <v>42</v>
      </c>
      <c r="H750" s="1">
        <v>2024.0</v>
      </c>
      <c r="I750" s="1" t="s">
        <v>630</v>
      </c>
    </row>
    <row r="751">
      <c r="A751" s="1">
        <v>749.0</v>
      </c>
      <c r="B751" s="1">
        <v>10.0</v>
      </c>
      <c r="C751" s="1">
        <v>0.64939389330111</v>
      </c>
      <c r="D751" s="1" t="s">
        <v>685</v>
      </c>
      <c r="E751" s="1" t="s">
        <v>58</v>
      </c>
      <c r="G751" s="1" t="s">
        <v>42</v>
      </c>
      <c r="H751" s="1">
        <v>2024.0</v>
      </c>
      <c r="I751" s="1" t="s">
        <v>630</v>
      </c>
    </row>
    <row r="752">
      <c r="A752" s="1">
        <v>750.0</v>
      </c>
      <c r="B752" s="1">
        <v>3.0</v>
      </c>
      <c r="C752" s="1">
        <v>0.389659294468452</v>
      </c>
      <c r="D752" s="1" t="s">
        <v>686</v>
      </c>
      <c r="E752" s="1" t="s">
        <v>58</v>
      </c>
      <c r="G752" s="1" t="s">
        <v>42</v>
      </c>
      <c r="H752" s="1">
        <v>2024.0</v>
      </c>
      <c r="I752" s="1" t="s">
        <v>630</v>
      </c>
    </row>
    <row r="753">
      <c r="A753" s="1">
        <v>751.0</v>
      </c>
      <c r="B753" s="1">
        <v>6.0</v>
      </c>
      <c r="C753" s="1">
        <v>0.512997394107196</v>
      </c>
      <c r="D753" s="1" t="s">
        <v>687</v>
      </c>
      <c r="E753" s="1" t="s">
        <v>58</v>
      </c>
      <c r="G753" s="1" t="s">
        <v>42</v>
      </c>
      <c r="H753" s="1">
        <v>2024.0</v>
      </c>
      <c r="I753" s="1" t="s">
        <v>630</v>
      </c>
    </row>
    <row r="754">
      <c r="A754" s="1">
        <v>752.0</v>
      </c>
      <c r="B754" s="1">
        <v>3.0</v>
      </c>
      <c r="C754" s="1">
        <v>0.730593015384227</v>
      </c>
      <c r="D754" s="1" t="s">
        <v>688</v>
      </c>
      <c r="E754" s="1" t="s">
        <v>58</v>
      </c>
      <c r="G754" s="1" t="s">
        <v>42</v>
      </c>
      <c r="H754" s="1">
        <v>2024.0</v>
      </c>
      <c r="I754" s="1" t="s">
        <v>630</v>
      </c>
    </row>
    <row r="755">
      <c r="A755" s="1">
        <v>753.0</v>
      </c>
      <c r="B755" s="1">
        <v>3.0</v>
      </c>
      <c r="C755" s="1">
        <v>0.697694428252408</v>
      </c>
      <c r="D755" s="1" t="s">
        <v>689</v>
      </c>
      <c r="E755" s="1" t="s">
        <v>58</v>
      </c>
      <c r="G755" s="1" t="s">
        <v>42</v>
      </c>
      <c r="H755" s="1">
        <v>2024.0</v>
      </c>
      <c r="I755" s="1" t="s">
        <v>630</v>
      </c>
    </row>
    <row r="756">
      <c r="A756" s="1">
        <v>754.0</v>
      </c>
      <c r="B756" s="1">
        <v>7.0</v>
      </c>
      <c r="C756" s="1">
        <v>0.551290944899754</v>
      </c>
      <c r="D756" s="1" t="s">
        <v>690</v>
      </c>
      <c r="E756" s="1" t="s">
        <v>58</v>
      </c>
      <c r="G756" s="1" t="s">
        <v>42</v>
      </c>
      <c r="H756" s="1">
        <v>2024.0</v>
      </c>
      <c r="I756" s="1" t="s">
        <v>630</v>
      </c>
    </row>
    <row r="757">
      <c r="A757" s="1">
        <v>755.0</v>
      </c>
      <c r="B757" s="1">
        <v>3.0</v>
      </c>
      <c r="C757" s="1">
        <v>0.476553724597711</v>
      </c>
      <c r="D757" s="1" t="s">
        <v>691</v>
      </c>
      <c r="E757" s="1" t="s">
        <v>58</v>
      </c>
      <c r="G757" s="1" t="s">
        <v>42</v>
      </c>
      <c r="H757" s="1">
        <v>2024.0</v>
      </c>
      <c r="I757" s="1" t="s">
        <v>630</v>
      </c>
    </row>
    <row r="758">
      <c r="A758" s="1">
        <v>756.0</v>
      </c>
      <c r="B758" s="1">
        <v>3.0</v>
      </c>
      <c r="C758" s="1">
        <v>0.550997178410753</v>
      </c>
      <c r="D758" s="1" t="s">
        <v>692</v>
      </c>
      <c r="E758" s="1" t="s">
        <v>58</v>
      </c>
      <c r="G758" s="1" t="s">
        <v>42</v>
      </c>
      <c r="H758" s="1">
        <v>2024.0</v>
      </c>
      <c r="I758" s="1" t="s">
        <v>630</v>
      </c>
    </row>
    <row r="759">
      <c r="A759" s="1">
        <v>757.0</v>
      </c>
      <c r="B759" s="1">
        <v>3.0</v>
      </c>
      <c r="C759" s="1">
        <v>0.697437280572513</v>
      </c>
      <c r="D759" s="1" t="s">
        <v>693</v>
      </c>
      <c r="E759" s="1" t="s">
        <v>58</v>
      </c>
      <c r="G759" s="1" t="s">
        <v>42</v>
      </c>
      <c r="H759" s="1">
        <v>2024.0</v>
      </c>
      <c r="I759" s="1" t="s">
        <v>630</v>
      </c>
    </row>
    <row r="760">
      <c r="A760" s="1">
        <v>758.0</v>
      </c>
      <c r="B760" s="1">
        <v>3.0</v>
      </c>
      <c r="C760" s="1">
        <v>0.665310690491378</v>
      </c>
      <c r="D760" s="1" t="s">
        <v>694</v>
      </c>
      <c r="E760" s="1" t="s">
        <v>58</v>
      </c>
      <c r="G760" s="1" t="s">
        <v>42</v>
      </c>
      <c r="H760" s="1">
        <v>2024.0</v>
      </c>
      <c r="I760" s="1" t="s">
        <v>630</v>
      </c>
    </row>
    <row r="761">
      <c r="A761" s="1">
        <v>759.0</v>
      </c>
      <c r="B761" s="1">
        <v>3.0</v>
      </c>
      <c r="C761" s="1">
        <v>0.469051754134589</v>
      </c>
      <c r="D761" s="1" t="s">
        <v>695</v>
      </c>
      <c r="E761" s="1" t="s">
        <v>58</v>
      </c>
      <c r="G761" s="1" t="s">
        <v>42</v>
      </c>
      <c r="H761" s="1">
        <v>2024.0</v>
      </c>
      <c r="I761" s="1" t="s">
        <v>630</v>
      </c>
    </row>
    <row r="762">
      <c r="A762" s="1">
        <v>760.0</v>
      </c>
      <c r="B762" s="1">
        <v>3.0</v>
      </c>
      <c r="C762" s="1">
        <v>0.638399385983514</v>
      </c>
      <c r="D762" s="1" t="s">
        <v>696</v>
      </c>
      <c r="E762" s="1" t="s">
        <v>58</v>
      </c>
      <c r="G762" s="1" t="s">
        <v>42</v>
      </c>
      <c r="H762" s="1">
        <v>2024.0</v>
      </c>
      <c r="I762" s="1" t="s">
        <v>630</v>
      </c>
    </row>
    <row r="763">
      <c r="A763" s="1">
        <v>761.0</v>
      </c>
      <c r="B763" s="1">
        <v>10.0</v>
      </c>
      <c r="C763" s="1">
        <v>0.634051834611567</v>
      </c>
      <c r="D763" s="1" t="s">
        <v>697</v>
      </c>
      <c r="E763" s="1" t="s">
        <v>58</v>
      </c>
      <c r="G763" s="1" t="s">
        <v>42</v>
      </c>
      <c r="H763" s="1">
        <v>2024.0</v>
      </c>
      <c r="I763" s="1" t="s">
        <v>630</v>
      </c>
    </row>
    <row r="764">
      <c r="A764" s="1">
        <v>762.0</v>
      </c>
      <c r="B764" s="1">
        <v>10.0</v>
      </c>
      <c r="C764" s="1">
        <v>0.638681352295308</v>
      </c>
      <c r="D764" s="1" t="s">
        <v>698</v>
      </c>
      <c r="E764" s="1" t="s">
        <v>58</v>
      </c>
      <c r="G764" s="1" t="s">
        <v>42</v>
      </c>
      <c r="H764" s="1">
        <v>2024.0</v>
      </c>
      <c r="I764" s="1" t="s">
        <v>630</v>
      </c>
    </row>
    <row r="765">
      <c r="A765" s="1">
        <v>763.0</v>
      </c>
      <c r="B765" s="1">
        <v>3.0</v>
      </c>
      <c r="C765" s="1">
        <v>0.451389520373725</v>
      </c>
      <c r="D765" s="1" t="s">
        <v>699</v>
      </c>
      <c r="H765" s="1">
        <v>2006.0</v>
      </c>
      <c r="I765" s="1" t="s">
        <v>630</v>
      </c>
    </row>
    <row r="766">
      <c r="A766" s="1">
        <v>764.0</v>
      </c>
      <c r="B766" s="1">
        <v>3.0</v>
      </c>
      <c r="C766" s="1">
        <v>0.703088490190742</v>
      </c>
      <c r="D766" s="1" t="s">
        <v>700</v>
      </c>
      <c r="H766" s="1">
        <v>2006.0</v>
      </c>
      <c r="I766" s="1" t="s">
        <v>630</v>
      </c>
    </row>
    <row r="767">
      <c r="A767" s="1">
        <v>765.0</v>
      </c>
      <c r="B767" s="1">
        <v>3.0</v>
      </c>
      <c r="C767" s="1">
        <v>0.762553019338068</v>
      </c>
      <c r="D767" s="1" t="s">
        <v>701</v>
      </c>
      <c r="H767" s="1">
        <v>2006.0</v>
      </c>
      <c r="I767" s="1" t="s">
        <v>630</v>
      </c>
    </row>
    <row r="768">
      <c r="A768" s="1">
        <v>766.0</v>
      </c>
      <c r="B768" s="1">
        <v>3.0</v>
      </c>
      <c r="C768" s="1">
        <v>0.766484568356369</v>
      </c>
      <c r="D768" s="1" t="s">
        <v>702</v>
      </c>
      <c r="H768" s="1">
        <v>2006.0</v>
      </c>
      <c r="I768" s="1" t="s">
        <v>630</v>
      </c>
    </row>
    <row r="769">
      <c r="A769" s="1">
        <v>767.0</v>
      </c>
      <c r="B769" s="1">
        <v>9.0</v>
      </c>
      <c r="C769" s="1">
        <v>0.449091653816456</v>
      </c>
      <c r="D769" s="1" t="s">
        <v>703</v>
      </c>
      <c r="H769" s="1">
        <v>2006.0</v>
      </c>
      <c r="I769" s="1" t="s">
        <v>630</v>
      </c>
    </row>
    <row r="770">
      <c r="A770" s="1">
        <v>768.0</v>
      </c>
      <c r="B770" s="1">
        <v>7.0</v>
      </c>
      <c r="C770" s="1">
        <v>0.413289033022275</v>
      </c>
      <c r="D770" s="1" t="s">
        <v>704</v>
      </c>
      <c r="H770" s="1">
        <v>2006.0</v>
      </c>
      <c r="I770" s="1" t="s">
        <v>630</v>
      </c>
    </row>
    <row r="771">
      <c r="A771" s="1">
        <v>769.0</v>
      </c>
      <c r="B771" s="1">
        <v>7.0</v>
      </c>
      <c r="C771" s="1">
        <v>0.543692505363613</v>
      </c>
      <c r="D771" s="1" t="s">
        <v>705</v>
      </c>
      <c r="H771" s="1">
        <v>2006.0</v>
      </c>
      <c r="I771" s="1" t="s">
        <v>630</v>
      </c>
    </row>
    <row r="772">
      <c r="A772" s="1">
        <v>770.0</v>
      </c>
      <c r="B772" s="1">
        <v>7.0</v>
      </c>
      <c r="C772" s="1">
        <v>0.434547848167209</v>
      </c>
      <c r="D772" s="1" t="s">
        <v>706</v>
      </c>
      <c r="H772" s="1">
        <v>2006.0</v>
      </c>
      <c r="I772" s="1" t="s">
        <v>630</v>
      </c>
    </row>
    <row r="773">
      <c r="A773" s="1">
        <v>771.0</v>
      </c>
      <c r="B773" s="1">
        <v>3.0</v>
      </c>
      <c r="C773" s="1">
        <v>0.688231906223235</v>
      </c>
      <c r="D773" s="1" t="s">
        <v>707</v>
      </c>
      <c r="H773" s="1">
        <v>2006.0</v>
      </c>
      <c r="I773" s="1" t="s">
        <v>630</v>
      </c>
    </row>
    <row r="774">
      <c r="A774" s="1">
        <v>772.0</v>
      </c>
      <c r="B774" s="1">
        <v>2.0</v>
      </c>
      <c r="C774" s="1">
        <v>0.396447684023832</v>
      </c>
      <c r="D774" s="1" t="s">
        <v>708</v>
      </c>
      <c r="H774" s="1">
        <v>2006.0</v>
      </c>
      <c r="I774" s="1" t="s">
        <v>630</v>
      </c>
    </row>
    <row r="775">
      <c r="A775" s="1">
        <v>773.0</v>
      </c>
      <c r="B775" s="1">
        <v>9.0</v>
      </c>
      <c r="C775" s="1">
        <v>0.445722619164501</v>
      </c>
      <c r="D775" s="1" t="s">
        <v>709</v>
      </c>
      <c r="H775" s="1">
        <v>2006.0</v>
      </c>
      <c r="I775" s="1" t="s">
        <v>630</v>
      </c>
    </row>
    <row r="776">
      <c r="A776" s="1">
        <v>774.0</v>
      </c>
      <c r="B776" s="1">
        <v>9.0</v>
      </c>
      <c r="C776" s="1">
        <v>0.355846438658901</v>
      </c>
      <c r="D776" s="1" t="s">
        <v>710</v>
      </c>
      <c r="H776" s="1">
        <v>2006.0</v>
      </c>
      <c r="I776" s="1" t="s">
        <v>630</v>
      </c>
    </row>
    <row r="777">
      <c r="A777" s="1">
        <v>775.0</v>
      </c>
      <c r="B777" s="1">
        <v>7.0</v>
      </c>
      <c r="C777" s="1">
        <v>0.323709857127229</v>
      </c>
      <c r="D777" s="1" t="s">
        <v>711</v>
      </c>
      <c r="H777" s="1">
        <v>2006.0</v>
      </c>
      <c r="I777" s="1" t="s">
        <v>630</v>
      </c>
    </row>
    <row r="778">
      <c r="A778" s="1">
        <v>776.0</v>
      </c>
      <c r="B778" s="1">
        <v>7.0</v>
      </c>
      <c r="C778" s="1">
        <v>0.364624090165089</v>
      </c>
      <c r="D778" s="1" t="s">
        <v>712</v>
      </c>
      <c r="H778" s="1">
        <v>2006.0</v>
      </c>
      <c r="I778" s="1" t="s">
        <v>630</v>
      </c>
    </row>
    <row r="779">
      <c r="A779" s="1">
        <v>777.0</v>
      </c>
      <c r="B779" s="1">
        <v>7.0</v>
      </c>
      <c r="C779" s="1">
        <v>0.509814495640667</v>
      </c>
      <c r="D779" s="1" t="s">
        <v>713</v>
      </c>
      <c r="H779" s="1">
        <v>2006.0</v>
      </c>
      <c r="I779" s="1" t="s">
        <v>630</v>
      </c>
    </row>
    <row r="780">
      <c r="A780" s="1">
        <v>778.0</v>
      </c>
      <c r="B780" s="1">
        <v>7.0</v>
      </c>
      <c r="C780" s="1">
        <v>0.339503054454762</v>
      </c>
      <c r="D780" s="1" t="s">
        <v>714</v>
      </c>
      <c r="H780" s="1">
        <v>2006.0</v>
      </c>
      <c r="I780" s="1" t="s">
        <v>630</v>
      </c>
    </row>
    <row r="781">
      <c r="A781" s="1">
        <v>779.0</v>
      </c>
      <c r="B781" s="1">
        <v>7.0</v>
      </c>
      <c r="C781" s="1">
        <v>0.87408108175293</v>
      </c>
      <c r="D781" s="1" t="s">
        <v>715</v>
      </c>
      <c r="H781" s="1">
        <v>2006.0</v>
      </c>
      <c r="I781" s="1" t="s">
        <v>630</v>
      </c>
    </row>
    <row r="782">
      <c r="A782" s="1">
        <v>780.0</v>
      </c>
      <c r="B782" s="1">
        <v>7.0</v>
      </c>
      <c r="C782" s="1">
        <v>0.869503325879403</v>
      </c>
      <c r="D782" s="1" t="s">
        <v>716</v>
      </c>
      <c r="H782" s="1">
        <v>2006.0</v>
      </c>
      <c r="I782" s="1" t="s">
        <v>630</v>
      </c>
    </row>
    <row r="783">
      <c r="A783" s="1">
        <v>781.0</v>
      </c>
      <c r="B783" s="1">
        <v>3.0</v>
      </c>
      <c r="C783" s="1">
        <v>0.409728648336845</v>
      </c>
      <c r="D783" s="1" t="s">
        <v>717</v>
      </c>
      <c r="H783" s="1">
        <v>2006.0</v>
      </c>
      <c r="I783" s="1" t="s">
        <v>630</v>
      </c>
    </row>
    <row r="784">
      <c r="A784" s="1">
        <v>782.0</v>
      </c>
      <c r="B784" s="1">
        <v>3.0</v>
      </c>
      <c r="C784" s="1">
        <v>0.575885423039217</v>
      </c>
      <c r="D784" s="1" t="s">
        <v>718</v>
      </c>
      <c r="H784" s="1">
        <v>2006.0</v>
      </c>
      <c r="I784" s="1" t="s">
        <v>630</v>
      </c>
    </row>
    <row r="785">
      <c r="A785" s="1">
        <v>783.0</v>
      </c>
      <c r="B785" s="1">
        <v>3.0</v>
      </c>
      <c r="C785" s="1">
        <v>0.809519325702446</v>
      </c>
      <c r="D785" s="1" t="s">
        <v>719</v>
      </c>
      <c r="H785" s="1">
        <v>2006.0</v>
      </c>
      <c r="I785" s="1" t="s">
        <v>630</v>
      </c>
    </row>
    <row r="786">
      <c r="A786" s="1">
        <v>784.0</v>
      </c>
      <c r="B786" s="1">
        <v>3.0</v>
      </c>
      <c r="C786" s="1">
        <v>0.317706256414084</v>
      </c>
      <c r="D786" s="1" t="s">
        <v>720</v>
      </c>
      <c r="H786" s="1">
        <v>2006.0</v>
      </c>
      <c r="I786" s="1" t="s">
        <v>630</v>
      </c>
    </row>
    <row r="787">
      <c r="A787" s="1">
        <v>785.0</v>
      </c>
      <c r="B787" s="1">
        <v>3.0</v>
      </c>
      <c r="C787" s="1">
        <v>0.720976712877988</v>
      </c>
      <c r="D787" s="1" t="s">
        <v>721</v>
      </c>
      <c r="H787" s="1">
        <v>2006.0</v>
      </c>
      <c r="I787" s="1" t="s">
        <v>630</v>
      </c>
    </row>
    <row r="788">
      <c r="A788" s="1">
        <v>786.0</v>
      </c>
      <c r="B788" s="1">
        <v>9.0</v>
      </c>
      <c r="C788" s="1">
        <v>0.531409145907769</v>
      </c>
      <c r="D788" s="1" t="s">
        <v>722</v>
      </c>
      <c r="H788" s="1">
        <v>2006.0</v>
      </c>
      <c r="I788" s="1" t="s">
        <v>630</v>
      </c>
    </row>
    <row r="789">
      <c r="A789" s="1">
        <v>787.0</v>
      </c>
      <c r="B789" s="1">
        <v>3.0</v>
      </c>
      <c r="C789" s="1">
        <v>0.487554986340882</v>
      </c>
      <c r="D789" s="1" t="s">
        <v>723</v>
      </c>
      <c r="H789" s="1">
        <v>2006.0</v>
      </c>
      <c r="I789" s="1" t="s">
        <v>630</v>
      </c>
    </row>
    <row r="790">
      <c r="A790" s="1">
        <v>788.0</v>
      </c>
      <c r="B790" s="1">
        <v>3.0</v>
      </c>
      <c r="C790" s="1">
        <v>0.568143087071948</v>
      </c>
      <c r="D790" s="1" t="s">
        <v>724</v>
      </c>
      <c r="H790" s="1">
        <v>2006.0</v>
      </c>
      <c r="I790" s="1" t="s">
        <v>630</v>
      </c>
    </row>
    <row r="791">
      <c r="A791" s="1">
        <v>789.0</v>
      </c>
      <c r="B791" s="1">
        <v>2.0</v>
      </c>
      <c r="C791" s="1">
        <v>0.462547879666328</v>
      </c>
      <c r="D791" s="1" t="s">
        <v>725</v>
      </c>
      <c r="H791" s="1">
        <v>2006.0</v>
      </c>
      <c r="I791" s="1" t="s">
        <v>630</v>
      </c>
    </row>
    <row r="792">
      <c r="A792" s="1">
        <v>790.0</v>
      </c>
      <c r="B792" s="1">
        <v>7.0</v>
      </c>
      <c r="C792" s="1">
        <v>0.711585380725947</v>
      </c>
      <c r="D792" s="1" t="s">
        <v>726</v>
      </c>
      <c r="H792" s="1">
        <v>2006.0</v>
      </c>
      <c r="I792" s="1" t="s">
        <v>630</v>
      </c>
    </row>
    <row r="793">
      <c r="A793" s="1">
        <v>791.0</v>
      </c>
      <c r="B793" s="1">
        <v>7.0</v>
      </c>
      <c r="C793" s="1">
        <v>0.837670061068291</v>
      </c>
      <c r="D793" s="1" t="s">
        <v>727</v>
      </c>
      <c r="H793" s="1">
        <v>2006.0</v>
      </c>
      <c r="I793" s="1" t="s">
        <v>630</v>
      </c>
    </row>
    <row r="794">
      <c r="A794" s="1">
        <v>792.0</v>
      </c>
      <c r="B794" s="1">
        <v>7.0</v>
      </c>
      <c r="C794" s="1">
        <v>0.815915987500818</v>
      </c>
      <c r="D794" s="1" t="s">
        <v>728</v>
      </c>
      <c r="H794" s="1">
        <v>2006.0</v>
      </c>
      <c r="I794" s="1" t="s">
        <v>630</v>
      </c>
    </row>
    <row r="795">
      <c r="A795" s="1">
        <v>793.0</v>
      </c>
      <c r="B795" s="1">
        <v>3.0</v>
      </c>
      <c r="C795" s="1">
        <v>0.29527796075028</v>
      </c>
      <c r="D795" s="1" t="s">
        <v>729</v>
      </c>
      <c r="H795" s="1">
        <v>2006.0</v>
      </c>
      <c r="I795" s="1" t="s">
        <v>630</v>
      </c>
    </row>
    <row r="796">
      <c r="A796" s="1">
        <v>794.0</v>
      </c>
      <c r="B796" s="1">
        <v>3.0</v>
      </c>
      <c r="C796" s="1">
        <v>0.453373853324187</v>
      </c>
      <c r="D796" s="1" t="s">
        <v>730</v>
      </c>
      <c r="E796" s="1" t="s">
        <v>173</v>
      </c>
      <c r="F796" s="1" t="s">
        <v>18</v>
      </c>
      <c r="G796" s="1" t="s">
        <v>42</v>
      </c>
      <c r="H796" s="1">
        <v>2022.0</v>
      </c>
      <c r="I796" s="1" t="s">
        <v>630</v>
      </c>
    </row>
    <row r="797">
      <c r="A797" s="1">
        <v>795.0</v>
      </c>
      <c r="B797" s="1">
        <v>3.0</v>
      </c>
      <c r="C797" s="1">
        <v>0.445360834570015</v>
      </c>
      <c r="D797" s="1" t="s">
        <v>731</v>
      </c>
      <c r="E797" s="1" t="s">
        <v>173</v>
      </c>
      <c r="F797" s="1" t="s">
        <v>18</v>
      </c>
      <c r="G797" s="1" t="s">
        <v>42</v>
      </c>
      <c r="H797" s="1">
        <v>2022.0</v>
      </c>
      <c r="I797" s="1" t="s">
        <v>630</v>
      </c>
    </row>
    <row r="798">
      <c r="A798" s="1">
        <v>796.0</v>
      </c>
      <c r="B798" s="1">
        <v>9.0</v>
      </c>
      <c r="C798" s="1">
        <v>0.540673512830386</v>
      </c>
      <c r="D798" s="1" t="s">
        <v>732</v>
      </c>
      <c r="E798" s="1" t="s">
        <v>173</v>
      </c>
      <c r="F798" s="1" t="s">
        <v>18</v>
      </c>
      <c r="G798" s="1" t="s">
        <v>42</v>
      </c>
      <c r="H798" s="1">
        <v>2022.0</v>
      </c>
      <c r="I798" s="1" t="s">
        <v>630</v>
      </c>
    </row>
    <row r="799">
      <c r="A799" s="1">
        <v>797.0</v>
      </c>
      <c r="B799" s="1">
        <v>3.0</v>
      </c>
      <c r="C799" s="1">
        <v>0.290735818037114</v>
      </c>
      <c r="D799" s="1" t="s">
        <v>733</v>
      </c>
      <c r="E799" s="1" t="s">
        <v>173</v>
      </c>
      <c r="F799" s="1" t="s">
        <v>18</v>
      </c>
      <c r="G799" s="1" t="s">
        <v>42</v>
      </c>
      <c r="H799" s="1">
        <v>2022.0</v>
      </c>
      <c r="I799" s="1" t="s">
        <v>630</v>
      </c>
    </row>
    <row r="800">
      <c r="A800" s="1">
        <v>798.0</v>
      </c>
      <c r="B800" s="1">
        <v>3.0</v>
      </c>
      <c r="C800" s="1">
        <v>0.590111604405274</v>
      </c>
      <c r="D800" s="1" t="s">
        <v>734</v>
      </c>
      <c r="E800" s="1" t="s">
        <v>173</v>
      </c>
      <c r="F800" s="1" t="s">
        <v>18</v>
      </c>
      <c r="G800" s="1" t="s">
        <v>42</v>
      </c>
      <c r="H800" s="1">
        <v>2022.0</v>
      </c>
      <c r="I800" s="1" t="s">
        <v>630</v>
      </c>
    </row>
    <row r="801">
      <c r="A801" s="1">
        <v>799.0</v>
      </c>
      <c r="B801" s="1">
        <v>3.0</v>
      </c>
      <c r="C801" s="1">
        <v>0.625545944900963</v>
      </c>
      <c r="D801" s="1" t="s">
        <v>735</v>
      </c>
      <c r="E801" s="1" t="s">
        <v>173</v>
      </c>
      <c r="F801" s="1" t="s">
        <v>18</v>
      </c>
      <c r="G801" s="1" t="s">
        <v>42</v>
      </c>
      <c r="H801" s="1">
        <v>2022.0</v>
      </c>
      <c r="I801" s="1" t="s">
        <v>630</v>
      </c>
    </row>
    <row r="802">
      <c r="A802" s="1">
        <v>800.0</v>
      </c>
      <c r="B802" s="1">
        <v>6.0</v>
      </c>
      <c r="C802" s="1">
        <v>0.325100691722359</v>
      </c>
      <c r="D802" s="1" t="s">
        <v>736</v>
      </c>
      <c r="E802" s="1" t="s">
        <v>173</v>
      </c>
      <c r="F802" s="1" t="s">
        <v>18</v>
      </c>
      <c r="G802" s="1" t="s">
        <v>42</v>
      </c>
      <c r="H802" s="1">
        <v>2022.0</v>
      </c>
      <c r="I802" s="1" t="s">
        <v>630</v>
      </c>
    </row>
    <row r="803">
      <c r="A803" s="1">
        <v>801.0</v>
      </c>
      <c r="B803" s="1">
        <v>7.0</v>
      </c>
      <c r="C803" s="1">
        <v>0.664710892613039</v>
      </c>
      <c r="D803" s="1" t="s">
        <v>737</v>
      </c>
      <c r="E803" s="1" t="s">
        <v>173</v>
      </c>
      <c r="F803" s="1" t="s">
        <v>18</v>
      </c>
      <c r="G803" s="1" t="s">
        <v>42</v>
      </c>
      <c r="H803" s="1">
        <v>2022.0</v>
      </c>
      <c r="I803" s="1" t="s">
        <v>630</v>
      </c>
    </row>
    <row r="804">
      <c r="A804" s="1">
        <v>802.0</v>
      </c>
      <c r="B804" s="1">
        <v>7.0</v>
      </c>
      <c r="C804" s="1">
        <v>0.445436858233566</v>
      </c>
      <c r="D804" s="1" t="s">
        <v>738</v>
      </c>
      <c r="E804" s="1" t="s">
        <v>173</v>
      </c>
      <c r="F804" s="1" t="s">
        <v>18</v>
      </c>
      <c r="G804" s="1" t="s">
        <v>42</v>
      </c>
      <c r="H804" s="1">
        <v>2022.0</v>
      </c>
      <c r="I804" s="1" t="s">
        <v>630</v>
      </c>
    </row>
    <row r="805">
      <c r="A805" s="1">
        <v>803.0</v>
      </c>
      <c r="B805" s="1">
        <v>7.0</v>
      </c>
      <c r="C805" s="1">
        <v>0.361698993414796</v>
      </c>
      <c r="D805" s="1" t="s">
        <v>739</v>
      </c>
      <c r="E805" s="1" t="s">
        <v>173</v>
      </c>
      <c r="F805" s="1" t="s">
        <v>18</v>
      </c>
      <c r="G805" s="1" t="s">
        <v>42</v>
      </c>
      <c r="H805" s="1">
        <v>2022.0</v>
      </c>
      <c r="I805" s="1" t="s">
        <v>630</v>
      </c>
    </row>
    <row r="806">
      <c r="A806" s="1">
        <v>804.0</v>
      </c>
      <c r="B806" s="1">
        <v>7.0</v>
      </c>
      <c r="C806" s="1">
        <v>0.45703127891445</v>
      </c>
      <c r="D806" s="1" t="s">
        <v>740</v>
      </c>
      <c r="E806" s="1" t="s">
        <v>173</v>
      </c>
      <c r="F806" s="1" t="s">
        <v>18</v>
      </c>
      <c r="G806" s="1" t="s">
        <v>42</v>
      </c>
      <c r="H806" s="1">
        <v>2022.0</v>
      </c>
      <c r="I806" s="1" t="s">
        <v>630</v>
      </c>
    </row>
    <row r="807">
      <c r="A807" s="1">
        <v>805.0</v>
      </c>
      <c r="B807" s="1">
        <v>3.0</v>
      </c>
      <c r="C807" s="1">
        <v>0.605724680532937</v>
      </c>
      <c r="D807" s="1" t="s">
        <v>741</v>
      </c>
      <c r="E807" s="1" t="s">
        <v>173</v>
      </c>
      <c r="F807" s="1" t="s">
        <v>18</v>
      </c>
      <c r="G807" s="1" t="s">
        <v>42</v>
      </c>
      <c r="H807" s="1">
        <v>2022.0</v>
      </c>
      <c r="I807" s="1" t="s">
        <v>630</v>
      </c>
    </row>
    <row r="808">
      <c r="A808" s="1">
        <v>806.0</v>
      </c>
      <c r="B808" s="1">
        <v>3.0</v>
      </c>
      <c r="C808" s="1">
        <v>0.613215636065485</v>
      </c>
      <c r="D808" s="1" t="s">
        <v>742</v>
      </c>
      <c r="E808" s="1" t="s">
        <v>173</v>
      </c>
      <c r="F808" s="1" t="s">
        <v>18</v>
      </c>
      <c r="G808" s="1" t="s">
        <v>42</v>
      </c>
      <c r="H808" s="1">
        <v>2022.0</v>
      </c>
      <c r="I808" s="1" t="s">
        <v>630</v>
      </c>
    </row>
    <row r="809">
      <c r="A809" s="1">
        <v>807.0</v>
      </c>
      <c r="B809" s="1">
        <v>9.0</v>
      </c>
      <c r="C809" s="1">
        <v>0.591066117136766</v>
      </c>
      <c r="D809" s="1" t="s">
        <v>743</v>
      </c>
      <c r="E809" s="1" t="s">
        <v>173</v>
      </c>
      <c r="F809" s="1" t="s">
        <v>18</v>
      </c>
      <c r="G809" s="1" t="s">
        <v>42</v>
      </c>
      <c r="H809" s="1">
        <v>2022.0</v>
      </c>
      <c r="I809" s="1" t="s">
        <v>630</v>
      </c>
    </row>
    <row r="810">
      <c r="A810" s="1">
        <v>808.0</v>
      </c>
      <c r="B810" s="1">
        <v>3.0</v>
      </c>
      <c r="C810" s="1">
        <v>0.770645152302006</v>
      </c>
      <c r="D810" s="1" t="s">
        <v>744</v>
      </c>
      <c r="E810" s="1" t="s">
        <v>173</v>
      </c>
      <c r="F810" s="1" t="s">
        <v>18</v>
      </c>
      <c r="G810" s="1" t="s">
        <v>42</v>
      </c>
      <c r="H810" s="1">
        <v>2022.0</v>
      </c>
      <c r="I810" s="1" t="s">
        <v>630</v>
      </c>
    </row>
    <row r="811">
      <c r="A811" s="1">
        <v>809.0</v>
      </c>
      <c r="B811" s="1">
        <v>3.0</v>
      </c>
      <c r="C811" s="1">
        <v>0.312201085887084</v>
      </c>
      <c r="D811" s="1" t="s">
        <v>745</v>
      </c>
      <c r="E811" s="1" t="s">
        <v>173</v>
      </c>
      <c r="F811" s="1" t="s">
        <v>18</v>
      </c>
      <c r="G811" s="1" t="s">
        <v>42</v>
      </c>
      <c r="H811" s="1">
        <v>2022.0</v>
      </c>
      <c r="I811" s="1" t="s">
        <v>630</v>
      </c>
    </row>
    <row r="812">
      <c r="A812" s="1">
        <v>810.0</v>
      </c>
      <c r="B812" s="1">
        <v>3.0</v>
      </c>
      <c r="C812" s="1">
        <v>0.301401499710803</v>
      </c>
      <c r="D812" s="1" t="s">
        <v>746</v>
      </c>
      <c r="E812" s="1" t="s">
        <v>173</v>
      </c>
      <c r="F812" s="1" t="s">
        <v>18</v>
      </c>
      <c r="G812" s="1" t="s">
        <v>42</v>
      </c>
      <c r="H812" s="1">
        <v>2022.0</v>
      </c>
      <c r="I812" s="1" t="s">
        <v>630</v>
      </c>
    </row>
    <row r="813">
      <c r="A813" s="1">
        <v>811.0</v>
      </c>
      <c r="B813" s="1">
        <v>3.0</v>
      </c>
      <c r="C813" s="1">
        <v>0.570262603157525</v>
      </c>
      <c r="D813" s="1" t="s">
        <v>747</v>
      </c>
      <c r="E813" s="1" t="s">
        <v>107</v>
      </c>
      <c r="F813" s="1" t="s">
        <v>18</v>
      </c>
      <c r="H813" s="1">
        <v>2024.0</v>
      </c>
      <c r="I813" s="1" t="s">
        <v>630</v>
      </c>
    </row>
    <row r="814">
      <c r="A814" s="1">
        <v>812.0</v>
      </c>
      <c r="B814" s="1">
        <v>3.0</v>
      </c>
      <c r="C814" s="1">
        <v>0.472117268810611</v>
      </c>
      <c r="D814" s="1" t="s">
        <v>748</v>
      </c>
      <c r="E814" s="1" t="s">
        <v>107</v>
      </c>
      <c r="F814" s="1" t="s">
        <v>18</v>
      </c>
      <c r="H814" s="1">
        <v>2024.0</v>
      </c>
      <c r="I814" s="1" t="s">
        <v>630</v>
      </c>
    </row>
    <row r="815">
      <c r="A815" s="1">
        <v>813.0</v>
      </c>
      <c r="B815" s="1">
        <v>2.0</v>
      </c>
      <c r="C815" s="1">
        <v>0.410423820863669</v>
      </c>
      <c r="D815" s="1" t="s">
        <v>749</v>
      </c>
      <c r="E815" s="1" t="s">
        <v>107</v>
      </c>
      <c r="F815" s="1" t="s">
        <v>18</v>
      </c>
      <c r="H815" s="1">
        <v>2024.0</v>
      </c>
      <c r="I815" s="1" t="s">
        <v>630</v>
      </c>
    </row>
    <row r="816">
      <c r="A816" s="1">
        <v>814.0</v>
      </c>
      <c r="B816" s="1">
        <v>3.0</v>
      </c>
      <c r="C816" s="1">
        <v>0.546263839982451</v>
      </c>
      <c r="D816" s="1" t="s">
        <v>750</v>
      </c>
      <c r="E816" s="1" t="s">
        <v>107</v>
      </c>
      <c r="F816" s="1" t="s">
        <v>18</v>
      </c>
      <c r="H816" s="1">
        <v>2024.0</v>
      </c>
      <c r="I816" s="1" t="s">
        <v>630</v>
      </c>
    </row>
    <row r="817">
      <c r="A817" s="1">
        <v>815.0</v>
      </c>
      <c r="B817" s="1">
        <v>3.0</v>
      </c>
      <c r="C817" s="1">
        <v>0.401542670735806</v>
      </c>
      <c r="D817" s="1" t="s">
        <v>751</v>
      </c>
      <c r="E817" s="1" t="s">
        <v>107</v>
      </c>
      <c r="F817" s="1" t="s">
        <v>18</v>
      </c>
      <c r="H817" s="1">
        <v>2024.0</v>
      </c>
      <c r="I817" s="1" t="s">
        <v>630</v>
      </c>
    </row>
    <row r="818">
      <c r="A818" s="1">
        <v>816.0</v>
      </c>
      <c r="B818" s="1">
        <v>2.0</v>
      </c>
      <c r="C818" s="1">
        <v>0.615116653916003</v>
      </c>
      <c r="D818" s="1" t="s">
        <v>752</v>
      </c>
      <c r="E818" s="1" t="s">
        <v>107</v>
      </c>
      <c r="F818" s="1" t="s">
        <v>18</v>
      </c>
      <c r="H818" s="1">
        <v>2024.0</v>
      </c>
      <c r="I818" s="1" t="s">
        <v>630</v>
      </c>
    </row>
    <row r="819">
      <c r="A819" s="1">
        <v>817.0</v>
      </c>
      <c r="B819" s="1">
        <v>2.0</v>
      </c>
      <c r="C819" s="1">
        <v>0.625553318066487</v>
      </c>
      <c r="D819" s="1" t="s">
        <v>753</v>
      </c>
      <c r="E819" s="1" t="s">
        <v>107</v>
      </c>
      <c r="F819" s="1" t="s">
        <v>18</v>
      </c>
      <c r="H819" s="1">
        <v>2024.0</v>
      </c>
      <c r="I819" s="1" t="s">
        <v>630</v>
      </c>
    </row>
    <row r="820">
      <c r="A820" s="1">
        <v>818.0</v>
      </c>
      <c r="B820" s="1">
        <v>2.0</v>
      </c>
      <c r="C820" s="1">
        <v>0.35274002207711</v>
      </c>
      <c r="D820" s="1" t="s">
        <v>754</v>
      </c>
      <c r="E820" s="1" t="s">
        <v>107</v>
      </c>
      <c r="F820" s="1" t="s">
        <v>18</v>
      </c>
      <c r="H820" s="1">
        <v>2024.0</v>
      </c>
      <c r="I820" s="1" t="s">
        <v>630</v>
      </c>
    </row>
    <row r="821">
      <c r="A821" s="1">
        <v>819.0</v>
      </c>
      <c r="B821" s="1">
        <v>3.0</v>
      </c>
      <c r="C821" s="1">
        <v>0.737242771335607</v>
      </c>
      <c r="D821" s="1" t="s">
        <v>755</v>
      </c>
      <c r="E821" s="1" t="s">
        <v>107</v>
      </c>
      <c r="F821" s="1" t="s">
        <v>18</v>
      </c>
      <c r="H821" s="1">
        <v>2024.0</v>
      </c>
      <c r="I821" s="1" t="s">
        <v>630</v>
      </c>
    </row>
    <row r="822">
      <c r="A822" s="1">
        <v>820.0</v>
      </c>
      <c r="B822" s="1">
        <v>3.0</v>
      </c>
      <c r="C822" s="1">
        <v>0.395915745353879</v>
      </c>
      <c r="D822" s="1" t="s">
        <v>756</v>
      </c>
      <c r="E822" s="1" t="s">
        <v>107</v>
      </c>
      <c r="F822" s="1" t="s">
        <v>18</v>
      </c>
      <c r="H822" s="1">
        <v>2024.0</v>
      </c>
      <c r="I822" s="1" t="s">
        <v>630</v>
      </c>
    </row>
    <row r="823">
      <c r="A823" s="1">
        <v>821.0</v>
      </c>
      <c r="B823" s="1">
        <v>3.0</v>
      </c>
      <c r="C823" s="1">
        <v>0.429426640447422</v>
      </c>
      <c r="D823" s="1" t="s">
        <v>757</v>
      </c>
      <c r="E823" s="1" t="s">
        <v>107</v>
      </c>
      <c r="F823" s="1" t="s">
        <v>18</v>
      </c>
      <c r="H823" s="1">
        <v>2024.0</v>
      </c>
      <c r="I823" s="1" t="s">
        <v>630</v>
      </c>
    </row>
    <row r="824">
      <c r="A824" s="1">
        <v>822.0</v>
      </c>
      <c r="B824" s="1">
        <v>5.0</v>
      </c>
      <c r="C824" s="1">
        <v>0.427880725090779</v>
      </c>
      <c r="D824" s="1" t="s">
        <v>758</v>
      </c>
      <c r="E824" s="1" t="s">
        <v>107</v>
      </c>
      <c r="F824" s="1" t="s">
        <v>18</v>
      </c>
      <c r="H824" s="1">
        <v>2024.0</v>
      </c>
      <c r="I824" s="1" t="s">
        <v>630</v>
      </c>
    </row>
    <row r="825">
      <c r="A825" s="1">
        <v>823.0</v>
      </c>
      <c r="B825" s="1">
        <v>3.0</v>
      </c>
      <c r="C825" s="1">
        <v>0.394839719556188</v>
      </c>
      <c r="D825" s="1" t="s">
        <v>759</v>
      </c>
      <c r="E825" s="1" t="s">
        <v>107</v>
      </c>
      <c r="F825" s="1" t="s">
        <v>18</v>
      </c>
      <c r="H825" s="1">
        <v>2024.0</v>
      </c>
      <c r="I825" s="1" t="s">
        <v>630</v>
      </c>
    </row>
    <row r="826">
      <c r="A826" s="1">
        <v>824.0</v>
      </c>
      <c r="B826" s="1">
        <v>3.0</v>
      </c>
      <c r="C826" s="1">
        <v>0.673701831788582</v>
      </c>
      <c r="D826" s="1" t="s">
        <v>760</v>
      </c>
      <c r="E826" s="1" t="s">
        <v>107</v>
      </c>
      <c r="F826" s="1" t="s">
        <v>18</v>
      </c>
      <c r="H826" s="1">
        <v>2024.0</v>
      </c>
      <c r="I826" s="1" t="s">
        <v>630</v>
      </c>
    </row>
    <row r="827">
      <c r="A827" s="1">
        <v>825.0</v>
      </c>
      <c r="B827" s="1">
        <v>3.0</v>
      </c>
      <c r="C827" s="1">
        <v>0.704784776583684</v>
      </c>
      <c r="D827" s="1" t="s">
        <v>761</v>
      </c>
      <c r="E827" s="1" t="s">
        <v>107</v>
      </c>
      <c r="F827" s="1" t="s">
        <v>18</v>
      </c>
      <c r="H827" s="1">
        <v>2024.0</v>
      </c>
      <c r="I827" s="1" t="s">
        <v>630</v>
      </c>
    </row>
    <row r="828">
      <c r="A828" s="1">
        <v>826.0</v>
      </c>
      <c r="B828" s="1">
        <v>3.0</v>
      </c>
      <c r="C828" s="1">
        <v>0.530108316837456</v>
      </c>
      <c r="D828" s="1" t="s">
        <v>762</v>
      </c>
      <c r="E828" s="1" t="s">
        <v>107</v>
      </c>
      <c r="F828" s="1" t="s">
        <v>18</v>
      </c>
      <c r="H828" s="1">
        <v>2024.0</v>
      </c>
      <c r="I828" s="1" t="s">
        <v>630</v>
      </c>
    </row>
    <row r="829">
      <c r="A829" s="1">
        <v>827.0</v>
      </c>
      <c r="B829" s="1">
        <v>3.0</v>
      </c>
      <c r="C829" s="1">
        <v>0.535966491561379</v>
      </c>
      <c r="D829" s="1" t="s">
        <v>763</v>
      </c>
      <c r="E829" s="1" t="s">
        <v>107</v>
      </c>
      <c r="F829" s="1" t="s">
        <v>18</v>
      </c>
      <c r="H829" s="1">
        <v>2024.0</v>
      </c>
      <c r="I829" s="1" t="s">
        <v>630</v>
      </c>
    </row>
    <row r="830">
      <c r="A830" s="1">
        <v>828.0</v>
      </c>
      <c r="B830" s="1">
        <v>3.0</v>
      </c>
      <c r="C830" s="1">
        <v>0.727463944425055</v>
      </c>
      <c r="D830" s="1" t="s">
        <v>764</v>
      </c>
      <c r="E830" s="1" t="s">
        <v>107</v>
      </c>
      <c r="F830" s="1" t="s">
        <v>18</v>
      </c>
      <c r="H830" s="1">
        <v>2024.0</v>
      </c>
      <c r="I830" s="1" t="s">
        <v>630</v>
      </c>
    </row>
    <row r="831">
      <c r="A831" s="1">
        <v>829.0</v>
      </c>
      <c r="B831" s="1">
        <v>2.0</v>
      </c>
      <c r="C831" s="1">
        <v>0.589694343802443</v>
      </c>
      <c r="D831" s="1" t="s">
        <v>765</v>
      </c>
      <c r="E831" s="1" t="s">
        <v>107</v>
      </c>
      <c r="F831" s="1" t="s">
        <v>18</v>
      </c>
      <c r="H831" s="1">
        <v>2024.0</v>
      </c>
      <c r="I831" s="1" t="s">
        <v>630</v>
      </c>
    </row>
    <row r="832">
      <c r="A832" s="1">
        <v>830.0</v>
      </c>
      <c r="B832" s="1">
        <v>2.0</v>
      </c>
      <c r="C832" s="1">
        <v>0.413896445014928</v>
      </c>
      <c r="D832" s="1" t="s">
        <v>766</v>
      </c>
      <c r="E832" s="1" t="s">
        <v>107</v>
      </c>
      <c r="F832" s="1" t="s">
        <v>18</v>
      </c>
      <c r="H832" s="1">
        <v>2024.0</v>
      </c>
      <c r="I832" s="1" t="s">
        <v>630</v>
      </c>
    </row>
    <row r="833">
      <c r="A833" s="1">
        <v>831.0</v>
      </c>
      <c r="B833" s="1">
        <v>9.0</v>
      </c>
      <c r="C833" s="1">
        <v>0.692507090856689</v>
      </c>
      <c r="D833" s="1" t="s">
        <v>767</v>
      </c>
      <c r="E833" s="1" t="s">
        <v>107</v>
      </c>
      <c r="F833" s="1" t="s">
        <v>18</v>
      </c>
      <c r="H833" s="1">
        <v>2024.0</v>
      </c>
      <c r="I833" s="1" t="s">
        <v>630</v>
      </c>
    </row>
    <row r="834">
      <c r="A834" s="1">
        <v>832.0</v>
      </c>
      <c r="B834" s="1">
        <v>2.0</v>
      </c>
      <c r="C834" s="1">
        <v>0.398485292551506</v>
      </c>
      <c r="D834" s="1" t="s">
        <v>768</v>
      </c>
      <c r="E834" s="1" t="s">
        <v>107</v>
      </c>
      <c r="F834" s="1" t="s">
        <v>18</v>
      </c>
      <c r="H834" s="1">
        <v>2024.0</v>
      </c>
      <c r="I834" s="1" t="s">
        <v>630</v>
      </c>
    </row>
    <row r="835">
      <c r="A835" s="1">
        <v>833.0</v>
      </c>
      <c r="B835" s="1">
        <v>2.0</v>
      </c>
      <c r="C835" s="1">
        <v>0.33613253627092</v>
      </c>
      <c r="D835" s="1" t="s">
        <v>769</v>
      </c>
      <c r="E835" s="1" t="s">
        <v>107</v>
      </c>
      <c r="F835" s="1" t="s">
        <v>18</v>
      </c>
      <c r="H835" s="1">
        <v>2024.0</v>
      </c>
      <c r="I835" s="1" t="s">
        <v>630</v>
      </c>
    </row>
    <row r="836">
      <c r="A836" s="1">
        <v>834.0</v>
      </c>
      <c r="B836" s="1">
        <v>2.0</v>
      </c>
      <c r="C836" s="1">
        <v>0.368777771416239</v>
      </c>
      <c r="D836" s="1" t="s">
        <v>770</v>
      </c>
      <c r="E836" s="1" t="s">
        <v>107</v>
      </c>
      <c r="F836" s="1" t="s">
        <v>18</v>
      </c>
      <c r="H836" s="1">
        <v>2024.0</v>
      </c>
      <c r="I836" s="1" t="s">
        <v>630</v>
      </c>
    </row>
    <row r="837">
      <c r="A837" s="1">
        <v>835.0</v>
      </c>
      <c r="B837" s="1">
        <v>9.0</v>
      </c>
      <c r="C837" s="1">
        <v>0.490996140448097</v>
      </c>
      <c r="D837" s="1" t="s">
        <v>771</v>
      </c>
      <c r="E837" s="1" t="s">
        <v>107</v>
      </c>
      <c r="F837" s="1" t="s">
        <v>18</v>
      </c>
      <c r="H837" s="1">
        <v>2024.0</v>
      </c>
      <c r="I837" s="1" t="s">
        <v>630</v>
      </c>
    </row>
    <row r="838">
      <c r="A838" s="1">
        <v>836.0</v>
      </c>
      <c r="B838" s="1">
        <v>3.0</v>
      </c>
      <c r="C838" s="1">
        <v>0.370545498268279</v>
      </c>
      <c r="D838" s="1" t="s">
        <v>772</v>
      </c>
      <c r="E838" s="1" t="s">
        <v>107</v>
      </c>
      <c r="F838" s="1" t="s">
        <v>18</v>
      </c>
      <c r="H838" s="1">
        <v>2024.0</v>
      </c>
      <c r="I838" s="1" t="s">
        <v>630</v>
      </c>
    </row>
    <row r="839">
      <c r="A839" s="1">
        <v>837.0</v>
      </c>
      <c r="B839" s="1">
        <v>2.0</v>
      </c>
      <c r="C839" s="1">
        <v>0.436774965143519</v>
      </c>
      <c r="D839" s="1" t="s">
        <v>773</v>
      </c>
      <c r="E839" s="1" t="s">
        <v>107</v>
      </c>
      <c r="F839" s="1" t="s">
        <v>18</v>
      </c>
      <c r="H839" s="1">
        <v>2024.0</v>
      </c>
      <c r="I839" s="1" t="s">
        <v>630</v>
      </c>
    </row>
    <row r="840">
      <c r="A840" s="1">
        <v>838.0</v>
      </c>
      <c r="B840" s="1">
        <v>2.0</v>
      </c>
      <c r="C840" s="1">
        <v>0.474265226888463</v>
      </c>
      <c r="D840" s="1" t="s">
        <v>774</v>
      </c>
      <c r="E840" s="1" t="s">
        <v>107</v>
      </c>
      <c r="F840" s="1" t="s">
        <v>18</v>
      </c>
      <c r="H840" s="1">
        <v>2024.0</v>
      </c>
      <c r="I840" s="1" t="s">
        <v>630</v>
      </c>
    </row>
    <row r="841">
      <c r="A841" s="1">
        <v>839.0</v>
      </c>
      <c r="B841" s="1">
        <v>2.0</v>
      </c>
      <c r="C841" s="1">
        <v>0.510490193193555</v>
      </c>
      <c r="D841" s="1" t="s">
        <v>775</v>
      </c>
      <c r="E841" s="1" t="s">
        <v>107</v>
      </c>
      <c r="F841" s="1" t="s">
        <v>18</v>
      </c>
      <c r="H841" s="1">
        <v>2024.0</v>
      </c>
      <c r="I841" s="1" t="s">
        <v>630</v>
      </c>
    </row>
    <row r="842">
      <c r="A842" s="1">
        <v>840.0</v>
      </c>
      <c r="B842" s="1">
        <v>2.0</v>
      </c>
      <c r="C842" s="1">
        <v>0.495258663600196</v>
      </c>
      <c r="D842" s="1" t="s">
        <v>776</v>
      </c>
      <c r="E842" s="1" t="s">
        <v>107</v>
      </c>
      <c r="F842" s="1" t="s">
        <v>18</v>
      </c>
      <c r="H842" s="1">
        <v>2024.0</v>
      </c>
      <c r="I842" s="1" t="s">
        <v>630</v>
      </c>
    </row>
    <row r="843">
      <c r="A843" s="1">
        <v>841.0</v>
      </c>
      <c r="B843" s="1">
        <v>2.0</v>
      </c>
      <c r="C843" s="1">
        <v>0.552648633140455</v>
      </c>
      <c r="D843" s="1" t="s">
        <v>777</v>
      </c>
      <c r="E843" s="1" t="s">
        <v>107</v>
      </c>
      <c r="F843" s="1" t="s">
        <v>18</v>
      </c>
      <c r="H843" s="1">
        <v>2024.0</v>
      </c>
      <c r="I843" s="1" t="s">
        <v>630</v>
      </c>
    </row>
    <row r="844">
      <c r="A844" s="1">
        <v>842.0</v>
      </c>
      <c r="B844" s="1">
        <v>3.0</v>
      </c>
      <c r="C844" s="1">
        <v>0.774979633524393</v>
      </c>
      <c r="D844" s="1" t="s">
        <v>778</v>
      </c>
      <c r="E844" s="1" t="s">
        <v>107</v>
      </c>
      <c r="F844" s="1" t="s">
        <v>18</v>
      </c>
      <c r="H844" s="1">
        <v>2024.0</v>
      </c>
      <c r="I844" s="1" t="s">
        <v>630</v>
      </c>
    </row>
    <row r="845">
      <c r="A845" s="1">
        <v>843.0</v>
      </c>
      <c r="B845" s="1">
        <v>3.0</v>
      </c>
      <c r="C845" s="1">
        <v>0.608559204373601</v>
      </c>
      <c r="D845" s="1" t="s">
        <v>779</v>
      </c>
      <c r="E845" s="1" t="s">
        <v>107</v>
      </c>
      <c r="F845" s="1" t="s">
        <v>18</v>
      </c>
      <c r="H845" s="1">
        <v>2024.0</v>
      </c>
      <c r="I845" s="1" t="s">
        <v>630</v>
      </c>
    </row>
    <row r="846">
      <c r="A846" s="1">
        <v>844.0</v>
      </c>
      <c r="B846" s="1">
        <v>2.0</v>
      </c>
      <c r="C846" s="1">
        <v>0.448207138116373</v>
      </c>
      <c r="D846" s="1" t="s">
        <v>780</v>
      </c>
      <c r="E846" s="1" t="s">
        <v>107</v>
      </c>
      <c r="F846" s="1" t="s">
        <v>18</v>
      </c>
      <c r="H846" s="1">
        <v>2024.0</v>
      </c>
      <c r="I846" s="1" t="s">
        <v>630</v>
      </c>
    </row>
    <row r="847">
      <c r="A847" s="1">
        <v>845.0</v>
      </c>
      <c r="B847" s="1">
        <v>3.0</v>
      </c>
      <c r="C847" s="1">
        <v>0.873155208332981</v>
      </c>
      <c r="D847" s="1" t="s">
        <v>781</v>
      </c>
      <c r="E847" s="1" t="s">
        <v>107</v>
      </c>
      <c r="F847" s="1" t="s">
        <v>18</v>
      </c>
      <c r="H847" s="1">
        <v>2024.0</v>
      </c>
      <c r="I847" s="1" t="s">
        <v>630</v>
      </c>
    </row>
    <row r="848">
      <c r="A848" s="1">
        <v>846.0</v>
      </c>
      <c r="B848" s="1">
        <v>3.0</v>
      </c>
      <c r="C848" s="1">
        <v>0.951392019303503</v>
      </c>
      <c r="D848" s="1" t="s">
        <v>782</v>
      </c>
      <c r="E848" s="1" t="s">
        <v>107</v>
      </c>
      <c r="F848" s="1" t="s">
        <v>18</v>
      </c>
      <c r="H848" s="1">
        <v>2024.0</v>
      </c>
      <c r="I848" s="1" t="s">
        <v>630</v>
      </c>
    </row>
    <row r="849">
      <c r="A849" s="1">
        <v>847.0</v>
      </c>
      <c r="B849" s="1">
        <v>3.0</v>
      </c>
      <c r="C849" s="1">
        <v>0.939044725968679</v>
      </c>
      <c r="D849" s="1" t="s">
        <v>783</v>
      </c>
      <c r="E849" s="1" t="s">
        <v>107</v>
      </c>
      <c r="F849" s="1" t="s">
        <v>18</v>
      </c>
      <c r="H849" s="1">
        <v>2024.0</v>
      </c>
      <c r="I849" s="1" t="s">
        <v>630</v>
      </c>
    </row>
    <row r="850">
      <c r="A850" s="1">
        <v>848.0</v>
      </c>
      <c r="B850" s="1">
        <v>3.0</v>
      </c>
      <c r="C850" s="1">
        <v>0.936974067771203</v>
      </c>
      <c r="D850" s="1" t="s">
        <v>784</v>
      </c>
      <c r="E850" s="1" t="s">
        <v>107</v>
      </c>
      <c r="F850" s="1" t="s">
        <v>18</v>
      </c>
      <c r="H850" s="1">
        <v>2024.0</v>
      </c>
      <c r="I850" s="1" t="s">
        <v>630</v>
      </c>
    </row>
    <row r="851">
      <c r="A851" s="1">
        <v>849.0</v>
      </c>
      <c r="B851" s="1">
        <v>3.0</v>
      </c>
      <c r="C851" s="1">
        <v>0.481290363870465</v>
      </c>
      <c r="D851" s="1" t="s">
        <v>785</v>
      </c>
      <c r="E851" s="1" t="s">
        <v>107</v>
      </c>
      <c r="F851" s="1" t="s">
        <v>18</v>
      </c>
      <c r="H851" s="1">
        <v>2024.0</v>
      </c>
      <c r="I851" s="1" t="s">
        <v>630</v>
      </c>
    </row>
    <row r="852">
      <c r="A852" s="1">
        <v>850.0</v>
      </c>
      <c r="B852" s="1">
        <v>7.0</v>
      </c>
      <c r="C852" s="1">
        <v>0.324783362811048</v>
      </c>
      <c r="D852" s="1" t="s">
        <v>786</v>
      </c>
      <c r="E852" s="1" t="s">
        <v>107</v>
      </c>
      <c r="F852" s="1" t="s">
        <v>18</v>
      </c>
      <c r="H852" s="1">
        <v>2024.0</v>
      </c>
      <c r="I852" s="1" t="s">
        <v>630</v>
      </c>
    </row>
    <row r="853">
      <c r="A853" s="1">
        <v>851.0</v>
      </c>
      <c r="B853" s="1">
        <v>2.0</v>
      </c>
      <c r="C853" s="1">
        <v>0.405856497293356</v>
      </c>
      <c r="D853" s="1" t="s">
        <v>787</v>
      </c>
      <c r="E853" s="1" t="s">
        <v>107</v>
      </c>
      <c r="F853" s="1" t="s">
        <v>18</v>
      </c>
      <c r="H853" s="1">
        <v>2024.0</v>
      </c>
      <c r="I853" s="1" t="s">
        <v>630</v>
      </c>
    </row>
    <row r="854">
      <c r="A854" s="1">
        <v>852.0</v>
      </c>
      <c r="B854" s="1">
        <v>2.0</v>
      </c>
      <c r="C854" s="1">
        <v>0.522926418545628</v>
      </c>
      <c r="D854" s="1" t="s">
        <v>788</v>
      </c>
      <c r="E854" s="1" t="s">
        <v>107</v>
      </c>
      <c r="F854" s="1" t="s">
        <v>18</v>
      </c>
      <c r="H854" s="1">
        <v>2024.0</v>
      </c>
      <c r="I854" s="1" t="s">
        <v>630</v>
      </c>
    </row>
    <row r="855">
      <c r="A855" s="1">
        <v>853.0</v>
      </c>
      <c r="B855" s="1">
        <v>3.0</v>
      </c>
      <c r="C855" s="1">
        <v>0.466196804358334</v>
      </c>
      <c r="D855" s="1" t="s">
        <v>789</v>
      </c>
      <c r="E855" s="1" t="s">
        <v>107</v>
      </c>
      <c r="F855" s="1" t="s">
        <v>18</v>
      </c>
      <c r="H855" s="1">
        <v>2024.0</v>
      </c>
      <c r="I855" s="1" t="s">
        <v>630</v>
      </c>
    </row>
    <row r="856">
      <c r="A856" s="1">
        <v>854.0</v>
      </c>
      <c r="B856" s="1">
        <v>3.0</v>
      </c>
      <c r="C856" s="1">
        <v>0.495131891863092</v>
      </c>
      <c r="D856" s="1" t="s">
        <v>790</v>
      </c>
      <c r="E856" s="1" t="s">
        <v>107</v>
      </c>
      <c r="F856" s="1" t="s">
        <v>18</v>
      </c>
      <c r="H856" s="1">
        <v>2024.0</v>
      </c>
      <c r="I856" s="1" t="s">
        <v>630</v>
      </c>
    </row>
    <row r="857">
      <c r="A857" s="1">
        <v>855.0</v>
      </c>
      <c r="B857" s="1">
        <v>3.0</v>
      </c>
      <c r="C857" s="1">
        <v>0.978047682276033</v>
      </c>
      <c r="D857" s="1" t="s">
        <v>791</v>
      </c>
      <c r="E857" s="1" t="s">
        <v>107</v>
      </c>
      <c r="F857" s="1" t="s">
        <v>18</v>
      </c>
      <c r="H857" s="1">
        <v>2024.0</v>
      </c>
      <c r="I857" s="1" t="s">
        <v>630</v>
      </c>
    </row>
    <row r="858">
      <c r="A858" s="1">
        <v>856.0</v>
      </c>
      <c r="B858" s="1">
        <v>3.0</v>
      </c>
      <c r="C858" s="1">
        <v>0.928870563617426</v>
      </c>
      <c r="D858" s="1" t="s">
        <v>792</v>
      </c>
      <c r="E858" s="1" t="s">
        <v>107</v>
      </c>
      <c r="F858" s="1" t="s">
        <v>18</v>
      </c>
      <c r="H858" s="1">
        <v>2024.0</v>
      </c>
      <c r="I858" s="1" t="s">
        <v>630</v>
      </c>
    </row>
    <row r="859">
      <c r="A859" s="1">
        <v>857.0</v>
      </c>
      <c r="B859" s="1">
        <v>2.0</v>
      </c>
      <c r="C859" s="1">
        <v>0.531469019785119</v>
      </c>
      <c r="D859" s="1" t="s">
        <v>793</v>
      </c>
      <c r="E859" s="1" t="s">
        <v>107</v>
      </c>
      <c r="F859" s="1" t="s">
        <v>18</v>
      </c>
      <c r="H859" s="1">
        <v>2024.0</v>
      </c>
      <c r="I859" s="1" t="s">
        <v>630</v>
      </c>
    </row>
    <row r="860">
      <c r="A860" s="1">
        <v>858.0</v>
      </c>
      <c r="B860" s="1">
        <v>2.0</v>
      </c>
      <c r="C860" s="1">
        <v>0.319644115099488</v>
      </c>
      <c r="D860" s="1" t="s">
        <v>794</v>
      </c>
      <c r="E860" s="1" t="s">
        <v>107</v>
      </c>
      <c r="F860" s="1" t="s">
        <v>18</v>
      </c>
      <c r="H860" s="1">
        <v>2024.0</v>
      </c>
      <c r="I860" s="1" t="s">
        <v>630</v>
      </c>
    </row>
    <row r="861">
      <c r="A861" s="1">
        <v>859.0</v>
      </c>
      <c r="B861" s="1">
        <v>2.0</v>
      </c>
      <c r="C861" s="1">
        <v>0.523107196786113</v>
      </c>
      <c r="D861" s="1" t="s">
        <v>795</v>
      </c>
      <c r="E861" s="1" t="s">
        <v>107</v>
      </c>
      <c r="F861" s="1" t="s">
        <v>18</v>
      </c>
      <c r="H861" s="1">
        <v>2024.0</v>
      </c>
      <c r="I861" s="1" t="s">
        <v>630</v>
      </c>
    </row>
    <row r="862">
      <c r="A862" s="1">
        <v>860.0</v>
      </c>
      <c r="B862" s="1">
        <v>3.0</v>
      </c>
      <c r="C862" s="1">
        <v>0.617827284630413</v>
      </c>
      <c r="D862" s="1" t="s">
        <v>796</v>
      </c>
      <c r="E862" s="1" t="s">
        <v>47</v>
      </c>
      <c r="G862" s="1" t="s">
        <v>42</v>
      </c>
      <c r="H862" s="1">
        <v>2016.0</v>
      </c>
      <c r="I862" s="1" t="s">
        <v>630</v>
      </c>
    </row>
    <row r="863">
      <c r="A863" s="1">
        <v>861.0</v>
      </c>
      <c r="B863" s="1">
        <v>3.0</v>
      </c>
      <c r="C863" s="1">
        <v>0.864193412284675</v>
      </c>
      <c r="D863" s="1" t="s">
        <v>797</v>
      </c>
      <c r="E863" s="1" t="s">
        <v>47</v>
      </c>
      <c r="G863" s="1" t="s">
        <v>42</v>
      </c>
      <c r="H863" s="1">
        <v>2016.0</v>
      </c>
      <c r="I863" s="1" t="s">
        <v>630</v>
      </c>
    </row>
    <row r="864">
      <c r="A864" s="1">
        <v>862.0</v>
      </c>
      <c r="B864" s="1">
        <v>9.0</v>
      </c>
      <c r="C864" s="1">
        <v>0.386868737733727</v>
      </c>
      <c r="D864" s="1" t="s">
        <v>798</v>
      </c>
      <c r="E864" s="1" t="s">
        <v>47</v>
      </c>
      <c r="G864" s="1" t="s">
        <v>42</v>
      </c>
      <c r="H864" s="1">
        <v>2016.0</v>
      </c>
      <c r="I864" s="1" t="s">
        <v>630</v>
      </c>
    </row>
    <row r="865">
      <c r="A865" s="1">
        <v>863.0</v>
      </c>
      <c r="B865" s="1">
        <v>3.0</v>
      </c>
      <c r="C865" s="1">
        <v>0.458865317782021</v>
      </c>
      <c r="D865" s="1" t="s">
        <v>799</v>
      </c>
      <c r="E865" s="1" t="s">
        <v>47</v>
      </c>
      <c r="G865" s="1" t="s">
        <v>42</v>
      </c>
      <c r="H865" s="1">
        <v>2016.0</v>
      </c>
      <c r="I865" s="1" t="s">
        <v>630</v>
      </c>
    </row>
    <row r="866">
      <c r="A866" s="1">
        <v>864.0</v>
      </c>
      <c r="B866" s="1">
        <v>3.0</v>
      </c>
      <c r="C866" s="1">
        <v>0.359843438090377</v>
      </c>
      <c r="D866" s="1" t="s">
        <v>800</v>
      </c>
      <c r="E866" s="1" t="s">
        <v>47</v>
      </c>
      <c r="G866" s="1" t="s">
        <v>42</v>
      </c>
      <c r="H866" s="1">
        <v>2016.0</v>
      </c>
      <c r="I866" s="1" t="s">
        <v>630</v>
      </c>
    </row>
    <row r="867">
      <c r="A867" s="1">
        <v>865.0</v>
      </c>
      <c r="B867" s="1">
        <v>2.0</v>
      </c>
      <c r="C867" s="1">
        <v>0.750442202851218</v>
      </c>
      <c r="D867" s="1" t="s">
        <v>801</v>
      </c>
      <c r="E867" s="1" t="s">
        <v>47</v>
      </c>
      <c r="G867" s="1" t="s">
        <v>42</v>
      </c>
      <c r="H867" s="1">
        <v>2016.0</v>
      </c>
      <c r="I867" s="1" t="s">
        <v>630</v>
      </c>
    </row>
    <row r="868">
      <c r="A868" s="1">
        <v>866.0</v>
      </c>
      <c r="B868" s="1">
        <v>2.0</v>
      </c>
      <c r="C868" s="1">
        <v>0.725768296906249</v>
      </c>
      <c r="D868" s="1" t="s">
        <v>802</v>
      </c>
      <c r="E868" s="1" t="s">
        <v>47</v>
      </c>
      <c r="G868" s="1" t="s">
        <v>42</v>
      </c>
      <c r="H868" s="1">
        <v>2016.0</v>
      </c>
      <c r="I868" s="1" t="s">
        <v>630</v>
      </c>
    </row>
    <row r="869">
      <c r="A869" s="1">
        <v>867.0</v>
      </c>
      <c r="B869" s="1">
        <v>3.0</v>
      </c>
      <c r="C869" s="1">
        <v>0.290995685443198</v>
      </c>
      <c r="D869" s="1" t="s">
        <v>803</v>
      </c>
      <c r="E869" s="1" t="s">
        <v>47</v>
      </c>
      <c r="G869" s="1" t="s">
        <v>42</v>
      </c>
      <c r="H869" s="1">
        <v>2016.0</v>
      </c>
      <c r="I869" s="1" t="s">
        <v>630</v>
      </c>
    </row>
    <row r="870">
      <c r="A870" s="1">
        <v>868.0</v>
      </c>
      <c r="B870" s="1">
        <v>9.0</v>
      </c>
      <c r="C870" s="1">
        <v>0.894061731763485</v>
      </c>
      <c r="D870" s="1" t="s">
        <v>804</v>
      </c>
      <c r="E870" s="1" t="s">
        <v>47</v>
      </c>
      <c r="G870" s="1" t="s">
        <v>42</v>
      </c>
      <c r="H870" s="1">
        <v>2016.0</v>
      </c>
      <c r="I870" s="1" t="s">
        <v>630</v>
      </c>
    </row>
    <row r="871">
      <c r="A871" s="1">
        <v>869.0</v>
      </c>
      <c r="B871" s="1">
        <v>7.0</v>
      </c>
      <c r="C871" s="1">
        <v>0.48615853639494</v>
      </c>
      <c r="D871" s="1" t="s">
        <v>805</v>
      </c>
      <c r="E871" s="1" t="s">
        <v>47</v>
      </c>
      <c r="G871" s="1" t="s">
        <v>42</v>
      </c>
      <c r="H871" s="1">
        <v>2016.0</v>
      </c>
      <c r="I871" s="1" t="s">
        <v>630</v>
      </c>
    </row>
    <row r="872">
      <c r="A872" s="1">
        <v>870.0</v>
      </c>
      <c r="B872" s="1">
        <v>3.0</v>
      </c>
      <c r="C872" s="1">
        <v>0.79663677502321</v>
      </c>
      <c r="D872" s="1" t="s">
        <v>675</v>
      </c>
      <c r="E872" s="1" t="s">
        <v>58</v>
      </c>
      <c r="G872" s="1" t="s">
        <v>11</v>
      </c>
      <c r="H872" s="1">
        <v>2024.0</v>
      </c>
      <c r="I872" s="1" t="s">
        <v>630</v>
      </c>
    </row>
    <row r="873">
      <c r="A873" s="1">
        <v>871.0</v>
      </c>
      <c r="B873" s="1">
        <v>3.0</v>
      </c>
      <c r="C873" s="1">
        <v>0.87062602391384</v>
      </c>
      <c r="D873" s="1" t="s">
        <v>806</v>
      </c>
      <c r="E873" s="1" t="s">
        <v>58</v>
      </c>
      <c r="G873" s="1" t="s">
        <v>11</v>
      </c>
      <c r="H873" s="1">
        <v>2024.0</v>
      </c>
      <c r="I873" s="1" t="s">
        <v>630</v>
      </c>
    </row>
    <row r="874">
      <c r="A874" s="1">
        <v>872.0</v>
      </c>
      <c r="B874" s="1">
        <v>3.0</v>
      </c>
      <c r="C874" s="1">
        <v>0.741139465503426</v>
      </c>
      <c r="D874" s="1" t="s">
        <v>807</v>
      </c>
      <c r="E874" s="1" t="s">
        <v>58</v>
      </c>
      <c r="G874" s="1" t="s">
        <v>11</v>
      </c>
      <c r="H874" s="1">
        <v>2024.0</v>
      </c>
      <c r="I874" s="1" t="s">
        <v>630</v>
      </c>
    </row>
    <row r="875">
      <c r="A875" s="1">
        <v>873.0</v>
      </c>
      <c r="B875" s="1">
        <v>7.0</v>
      </c>
      <c r="C875" s="1">
        <v>0.810203525567446</v>
      </c>
      <c r="D875" s="1" t="s">
        <v>808</v>
      </c>
      <c r="E875" s="1" t="s">
        <v>58</v>
      </c>
      <c r="G875" s="1" t="s">
        <v>11</v>
      </c>
      <c r="H875" s="1">
        <v>2024.0</v>
      </c>
      <c r="I875" s="1" t="s">
        <v>630</v>
      </c>
    </row>
    <row r="876">
      <c r="A876" s="1">
        <v>874.0</v>
      </c>
      <c r="B876" s="1">
        <v>3.0</v>
      </c>
      <c r="C876" s="1">
        <v>0.265468250286624</v>
      </c>
      <c r="D876" s="1" t="s">
        <v>809</v>
      </c>
      <c r="E876" s="1" t="s">
        <v>58</v>
      </c>
      <c r="G876" s="1" t="s">
        <v>11</v>
      </c>
      <c r="H876" s="1">
        <v>2024.0</v>
      </c>
      <c r="I876" s="1" t="s">
        <v>630</v>
      </c>
    </row>
    <row r="877">
      <c r="A877" s="1">
        <v>875.0</v>
      </c>
      <c r="B877" s="1">
        <v>5.0</v>
      </c>
      <c r="C877" s="1">
        <v>0.351192434815783</v>
      </c>
      <c r="D877" s="1" t="s">
        <v>810</v>
      </c>
      <c r="E877" s="1" t="s">
        <v>58</v>
      </c>
      <c r="G877" s="1" t="s">
        <v>11</v>
      </c>
      <c r="H877" s="1">
        <v>2024.0</v>
      </c>
      <c r="I877" s="1" t="s">
        <v>630</v>
      </c>
    </row>
    <row r="878">
      <c r="A878" s="1">
        <v>876.0</v>
      </c>
      <c r="B878" s="1">
        <v>4.0</v>
      </c>
      <c r="C878" s="1">
        <v>0.967855668777459</v>
      </c>
      <c r="D878" s="1" t="s">
        <v>57</v>
      </c>
      <c r="E878" s="1" t="s">
        <v>58</v>
      </c>
      <c r="G878" s="1" t="s">
        <v>11</v>
      </c>
      <c r="H878" s="1">
        <v>2024.0</v>
      </c>
      <c r="I878" s="1" t="s">
        <v>630</v>
      </c>
    </row>
    <row r="879">
      <c r="A879" s="1">
        <v>877.0</v>
      </c>
      <c r="B879" s="1">
        <v>6.0</v>
      </c>
      <c r="C879" s="1">
        <v>0.970966539379796</v>
      </c>
      <c r="D879" s="1" t="s">
        <v>60</v>
      </c>
      <c r="E879" s="1" t="s">
        <v>58</v>
      </c>
      <c r="G879" s="1" t="s">
        <v>11</v>
      </c>
      <c r="H879" s="1">
        <v>2024.0</v>
      </c>
      <c r="I879" s="1" t="s">
        <v>630</v>
      </c>
    </row>
    <row r="880">
      <c r="A880" s="1">
        <v>878.0</v>
      </c>
      <c r="B880" s="1">
        <v>2.0</v>
      </c>
      <c r="C880" s="1">
        <v>0.387599775574298</v>
      </c>
      <c r="D880" s="1" t="s">
        <v>811</v>
      </c>
      <c r="E880" s="1" t="s">
        <v>58</v>
      </c>
      <c r="G880" s="1" t="s">
        <v>11</v>
      </c>
      <c r="H880" s="1">
        <v>2024.0</v>
      </c>
      <c r="I880" s="1" t="s">
        <v>630</v>
      </c>
    </row>
    <row r="881">
      <c r="A881" s="1">
        <v>879.0</v>
      </c>
      <c r="B881" s="1">
        <v>3.0</v>
      </c>
      <c r="C881" s="1">
        <v>0.637923489919561</v>
      </c>
      <c r="D881" s="1" t="s">
        <v>812</v>
      </c>
      <c r="E881" s="1" t="s">
        <v>58</v>
      </c>
      <c r="G881" s="1" t="s">
        <v>11</v>
      </c>
      <c r="H881" s="1">
        <v>2024.0</v>
      </c>
      <c r="I881" s="1" t="s">
        <v>630</v>
      </c>
    </row>
    <row r="882">
      <c r="A882" s="1">
        <v>880.0</v>
      </c>
      <c r="B882" s="1">
        <v>3.0</v>
      </c>
      <c r="C882" s="1">
        <v>0.473809564157686</v>
      </c>
      <c r="D882" s="1" t="s">
        <v>813</v>
      </c>
      <c r="E882" s="1" t="s">
        <v>58</v>
      </c>
      <c r="G882" s="1" t="s">
        <v>11</v>
      </c>
      <c r="H882" s="1">
        <v>2024.0</v>
      </c>
      <c r="I882" s="1" t="s">
        <v>630</v>
      </c>
    </row>
    <row r="883">
      <c r="A883" s="1">
        <v>881.0</v>
      </c>
      <c r="B883" s="1">
        <v>6.0</v>
      </c>
      <c r="C883" s="1">
        <v>0.341762325098578</v>
      </c>
      <c r="D883" s="1" t="s">
        <v>814</v>
      </c>
      <c r="E883" s="1" t="s">
        <v>58</v>
      </c>
      <c r="G883" s="1" t="s">
        <v>11</v>
      </c>
      <c r="H883" s="1">
        <v>2024.0</v>
      </c>
      <c r="I883" s="1" t="s">
        <v>630</v>
      </c>
    </row>
    <row r="884">
      <c r="A884" s="1">
        <v>882.0</v>
      </c>
      <c r="B884" s="1">
        <v>6.0</v>
      </c>
      <c r="C884" s="1">
        <v>0.331754034906495</v>
      </c>
      <c r="D884" s="1" t="s">
        <v>815</v>
      </c>
      <c r="E884" s="1" t="s">
        <v>58</v>
      </c>
      <c r="G884" s="1" t="s">
        <v>11</v>
      </c>
      <c r="H884" s="1">
        <v>2024.0</v>
      </c>
      <c r="I884" s="1" t="s">
        <v>630</v>
      </c>
    </row>
    <row r="885">
      <c r="A885" s="1">
        <v>883.0</v>
      </c>
      <c r="B885" s="1">
        <v>9.0</v>
      </c>
      <c r="C885" s="1">
        <v>0.31997714935144</v>
      </c>
      <c r="D885" s="1" t="s">
        <v>816</v>
      </c>
      <c r="E885" s="1" t="s">
        <v>58</v>
      </c>
      <c r="G885" s="1" t="s">
        <v>11</v>
      </c>
      <c r="H885" s="1">
        <v>2024.0</v>
      </c>
      <c r="I885" s="1" t="s">
        <v>630</v>
      </c>
    </row>
    <row r="886">
      <c r="A886" s="1">
        <v>884.0</v>
      </c>
      <c r="B886" s="1">
        <v>9.0</v>
      </c>
      <c r="C886" s="1">
        <v>0.279227967257615</v>
      </c>
      <c r="D886" s="1" t="s">
        <v>817</v>
      </c>
      <c r="E886" s="1" t="s">
        <v>58</v>
      </c>
      <c r="G886" s="1" t="s">
        <v>11</v>
      </c>
      <c r="H886" s="1">
        <v>2024.0</v>
      </c>
      <c r="I886" s="1" t="s">
        <v>630</v>
      </c>
    </row>
    <row r="887">
      <c r="A887" s="1">
        <v>885.0</v>
      </c>
      <c r="B887" s="1">
        <v>10.0</v>
      </c>
      <c r="C887" s="1">
        <v>0.325544940502392</v>
      </c>
      <c r="D887" s="1" t="s">
        <v>818</v>
      </c>
      <c r="E887" s="1" t="s">
        <v>58</v>
      </c>
      <c r="G887" s="1" t="s">
        <v>11</v>
      </c>
      <c r="H887" s="1">
        <v>2024.0</v>
      </c>
      <c r="I887" s="1" t="s">
        <v>630</v>
      </c>
    </row>
    <row r="888">
      <c r="A888" s="1">
        <v>886.0</v>
      </c>
      <c r="B888" s="1">
        <v>10.0</v>
      </c>
      <c r="C888" s="1">
        <v>0.436222047980307</v>
      </c>
      <c r="D888" s="1" t="s">
        <v>819</v>
      </c>
      <c r="E888" s="1" t="s">
        <v>58</v>
      </c>
      <c r="G888" s="1" t="s">
        <v>11</v>
      </c>
      <c r="H888" s="1">
        <v>2024.0</v>
      </c>
      <c r="I888" s="1" t="s">
        <v>630</v>
      </c>
    </row>
    <row r="889">
      <c r="A889" s="1">
        <v>887.0</v>
      </c>
      <c r="B889" s="1">
        <v>6.0</v>
      </c>
      <c r="C889" s="1">
        <v>0.517033742968875</v>
      </c>
      <c r="D889" s="1" t="s">
        <v>820</v>
      </c>
      <c r="E889" s="1" t="s">
        <v>58</v>
      </c>
      <c r="G889" s="1" t="s">
        <v>11</v>
      </c>
      <c r="H889" s="1">
        <v>2024.0</v>
      </c>
      <c r="I889" s="1" t="s">
        <v>630</v>
      </c>
    </row>
    <row r="890">
      <c r="A890" s="1">
        <v>888.0</v>
      </c>
      <c r="B890" s="1">
        <v>6.0</v>
      </c>
      <c r="C890" s="1">
        <v>0.590126047204564</v>
      </c>
      <c r="D890" s="1" t="s">
        <v>821</v>
      </c>
      <c r="E890" s="1" t="s">
        <v>58</v>
      </c>
      <c r="G890" s="1" t="s">
        <v>11</v>
      </c>
      <c r="H890" s="1">
        <v>2024.0</v>
      </c>
      <c r="I890" s="1" t="s">
        <v>630</v>
      </c>
    </row>
    <row r="891">
      <c r="A891" s="1">
        <v>889.0</v>
      </c>
      <c r="B891" s="1">
        <v>3.0</v>
      </c>
      <c r="C891" s="1">
        <v>0.365070375851054</v>
      </c>
      <c r="D891" s="1" t="s">
        <v>822</v>
      </c>
      <c r="E891" s="1" t="s">
        <v>58</v>
      </c>
      <c r="G891" s="1" t="s">
        <v>11</v>
      </c>
      <c r="H891" s="1">
        <v>2024.0</v>
      </c>
      <c r="I891" s="1" t="s">
        <v>630</v>
      </c>
    </row>
    <row r="892">
      <c r="A892" s="1">
        <v>890.0</v>
      </c>
      <c r="B892" s="1">
        <v>7.0</v>
      </c>
      <c r="C892" s="1">
        <v>0.390182907398049</v>
      </c>
      <c r="D892" s="1" t="s">
        <v>823</v>
      </c>
      <c r="E892" s="1" t="s">
        <v>58</v>
      </c>
      <c r="G892" s="1" t="s">
        <v>11</v>
      </c>
      <c r="H892" s="1">
        <v>2024.0</v>
      </c>
      <c r="I892" s="1" t="s">
        <v>630</v>
      </c>
    </row>
    <row r="893">
      <c r="A893" s="1">
        <v>891.0</v>
      </c>
      <c r="B893" s="1">
        <v>9.0</v>
      </c>
      <c r="C893" s="1">
        <v>0.64900707352228</v>
      </c>
      <c r="D893" s="1" t="s">
        <v>824</v>
      </c>
      <c r="E893" s="1" t="s">
        <v>58</v>
      </c>
      <c r="G893" s="1" t="s">
        <v>11</v>
      </c>
      <c r="H893" s="1">
        <v>2024.0</v>
      </c>
      <c r="I893" s="1" t="s">
        <v>630</v>
      </c>
    </row>
    <row r="894">
      <c r="A894" s="1">
        <v>892.0</v>
      </c>
      <c r="B894" s="1">
        <v>3.0</v>
      </c>
      <c r="C894" s="1">
        <v>0.534046376995452</v>
      </c>
      <c r="D894" s="1" t="s">
        <v>825</v>
      </c>
      <c r="E894" s="1" t="s">
        <v>58</v>
      </c>
      <c r="G894" s="1" t="s">
        <v>11</v>
      </c>
      <c r="H894" s="1">
        <v>2024.0</v>
      </c>
      <c r="I894" s="1" t="s">
        <v>630</v>
      </c>
    </row>
    <row r="895">
      <c r="A895" s="1">
        <v>893.0</v>
      </c>
      <c r="B895" s="1">
        <v>3.0</v>
      </c>
      <c r="C895" s="1">
        <v>0.730284458276443</v>
      </c>
      <c r="D895" s="1" t="s">
        <v>826</v>
      </c>
      <c r="E895" s="1" t="s">
        <v>58</v>
      </c>
      <c r="G895" s="1" t="s">
        <v>11</v>
      </c>
      <c r="H895" s="1">
        <v>2024.0</v>
      </c>
      <c r="I895" s="1" t="s">
        <v>630</v>
      </c>
    </row>
    <row r="896">
      <c r="A896" s="1">
        <v>894.0</v>
      </c>
      <c r="B896" s="1">
        <v>3.0</v>
      </c>
      <c r="C896" s="1">
        <v>0.417198801728354</v>
      </c>
      <c r="D896" s="1" t="s">
        <v>827</v>
      </c>
      <c r="E896" s="1" t="s">
        <v>58</v>
      </c>
      <c r="G896" s="1" t="s">
        <v>11</v>
      </c>
      <c r="H896" s="1">
        <v>2024.0</v>
      </c>
      <c r="I896" s="1" t="s">
        <v>630</v>
      </c>
    </row>
    <row r="897">
      <c r="A897" s="1">
        <v>895.0</v>
      </c>
      <c r="B897" s="1">
        <v>3.0</v>
      </c>
      <c r="C897" s="1">
        <v>0.599779805498299</v>
      </c>
      <c r="D897" s="1" t="s">
        <v>828</v>
      </c>
      <c r="E897" s="1" t="s">
        <v>58</v>
      </c>
      <c r="G897" s="1" t="s">
        <v>11</v>
      </c>
      <c r="H897" s="1">
        <v>2024.0</v>
      </c>
      <c r="I897" s="1" t="s">
        <v>630</v>
      </c>
    </row>
    <row r="898">
      <c r="A898" s="1">
        <v>896.0</v>
      </c>
      <c r="B898" s="1">
        <v>3.0</v>
      </c>
      <c r="C898" s="1">
        <v>0.439557059501805</v>
      </c>
      <c r="D898" s="1" t="s">
        <v>829</v>
      </c>
      <c r="E898" s="1" t="s">
        <v>58</v>
      </c>
      <c r="G898" s="1" t="s">
        <v>11</v>
      </c>
      <c r="H898" s="1">
        <v>2024.0</v>
      </c>
      <c r="I898" s="1" t="s">
        <v>630</v>
      </c>
    </row>
    <row r="899">
      <c r="A899" s="1">
        <v>897.0</v>
      </c>
      <c r="B899" s="1">
        <v>2.0</v>
      </c>
      <c r="C899" s="1">
        <v>0.46655468266992</v>
      </c>
      <c r="D899" s="1" t="s">
        <v>830</v>
      </c>
      <c r="E899" s="1" t="s">
        <v>17</v>
      </c>
      <c r="F899" s="1" t="s">
        <v>18</v>
      </c>
      <c r="G899" s="1" t="s">
        <v>831</v>
      </c>
      <c r="I899" s="1" t="s">
        <v>630</v>
      </c>
    </row>
    <row r="900">
      <c r="A900" s="1">
        <v>898.0</v>
      </c>
      <c r="B900" s="1">
        <v>9.0</v>
      </c>
      <c r="C900" s="1">
        <v>0.283188004048476</v>
      </c>
      <c r="D900" s="1" t="s">
        <v>832</v>
      </c>
      <c r="E900" s="1" t="s">
        <v>17</v>
      </c>
      <c r="F900" s="1" t="s">
        <v>18</v>
      </c>
      <c r="G900" s="1" t="s">
        <v>831</v>
      </c>
      <c r="I900" s="1" t="s">
        <v>630</v>
      </c>
    </row>
    <row r="901">
      <c r="A901" s="1">
        <v>899.0</v>
      </c>
      <c r="B901" s="1">
        <v>2.0</v>
      </c>
      <c r="C901" s="1">
        <v>0.389753717843843</v>
      </c>
      <c r="D901" s="1" t="s">
        <v>833</v>
      </c>
      <c r="E901" s="1" t="s">
        <v>17</v>
      </c>
      <c r="F901" s="1" t="s">
        <v>18</v>
      </c>
      <c r="G901" s="1" t="s">
        <v>831</v>
      </c>
      <c r="I901" s="1" t="s">
        <v>630</v>
      </c>
    </row>
    <row r="902">
      <c r="A902" s="1">
        <v>900.0</v>
      </c>
      <c r="B902" s="1">
        <v>3.0</v>
      </c>
      <c r="C902" s="1">
        <v>0.801651114185091</v>
      </c>
      <c r="D902" s="1" t="s">
        <v>834</v>
      </c>
      <c r="E902" s="1" t="s">
        <v>17</v>
      </c>
      <c r="F902" s="1" t="s">
        <v>18</v>
      </c>
      <c r="G902" s="1" t="s">
        <v>831</v>
      </c>
      <c r="I902" s="1" t="s">
        <v>630</v>
      </c>
    </row>
    <row r="903">
      <c r="A903" s="1">
        <v>901.0</v>
      </c>
      <c r="B903" s="1">
        <v>3.0</v>
      </c>
      <c r="C903" s="1">
        <v>0.612873355202153</v>
      </c>
      <c r="D903" s="1" t="s">
        <v>835</v>
      </c>
      <c r="E903" s="1" t="s">
        <v>173</v>
      </c>
      <c r="G903" s="1" t="s">
        <v>609</v>
      </c>
      <c r="H903" s="1">
        <v>2015.0</v>
      </c>
      <c r="I903" s="1" t="s">
        <v>630</v>
      </c>
    </row>
    <row r="904">
      <c r="A904" s="1">
        <v>902.0</v>
      </c>
      <c r="B904" s="1">
        <v>2.0</v>
      </c>
      <c r="C904" s="1">
        <v>0.562924787537427</v>
      </c>
      <c r="D904" s="1" t="s">
        <v>836</v>
      </c>
      <c r="E904" s="1" t="s">
        <v>173</v>
      </c>
      <c r="G904" s="1" t="s">
        <v>609</v>
      </c>
      <c r="H904" s="1">
        <v>2015.0</v>
      </c>
      <c r="I904" s="1" t="s">
        <v>630</v>
      </c>
    </row>
    <row r="905">
      <c r="A905" s="1">
        <v>903.0</v>
      </c>
      <c r="B905" s="1">
        <v>3.0</v>
      </c>
      <c r="C905" s="1">
        <v>0.610760608579139</v>
      </c>
      <c r="D905" s="1" t="s">
        <v>837</v>
      </c>
      <c r="E905" s="1" t="s">
        <v>173</v>
      </c>
      <c r="G905" s="1" t="s">
        <v>609</v>
      </c>
      <c r="H905" s="1">
        <v>2015.0</v>
      </c>
      <c r="I905" s="1" t="s">
        <v>630</v>
      </c>
    </row>
    <row r="906">
      <c r="A906" s="1">
        <v>904.0</v>
      </c>
      <c r="B906" s="1">
        <v>3.0</v>
      </c>
      <c r="C906" s="1">
        <v>0.463886637150552</v>
      </c>
      <c r="D906" s="1" t="s">
        <v>838</v>
      </c>
      <c r="E906" s="1" t="s">
        <v>173</v>
      </c>
      <c r="G906" s="1" t="s">
        <v>609</v>
      </c>
      <c r="H906" s="1">
        <v>2015.0</v>
      </c>
      <c r="I906" s="1" t="s">
        <v>630</v>
      </c>
    </row>
    <row r="907">
      <c r="A907" s="1">
        <v>905.0</v>
      </c>
      <c r="B907" s="1">
        <v>3.0</v>
      </c>
      <c r="C907" s="1">
        <v>0.350360031813281</v>
      </c>
      <c r="D907" s="1" t="s">
        <v>839</v>
      </c>
      <c r="E907" s="1" t="s">
        <v>173</v>
      </c>
      <c r="G907" s="1" t="s">
        <v>609</v>
      </c>
      <c r="H907" s="1">
        <v>2015.0</v>
      </c>
      <c r="I907" s="1" t="s">
        <v>630</v>
      </c>
    </row>
    <row r="908">
      <c r="A908" s="1">
        <v>906.0</v>
      </c>
      <c r="B908" s="1">
        <v>3.0</v>
      </c>
      <c r="C908" s="1">
        <v>0.598860825733519</v>
      </c>
      <c r="D908" s="1" t="s">
        <v>840</v>
      </c>
      <c r="E908" s="1" t="s">
        <v>173</v>
      </c>
      <c r="G908" s="1" t="s">
        <v>609</v>
      </c>
      <c r="H908" s="1">
        <v>2015.0</v>
      </c>
      <c r="I908" s="1" t="s">
        <v>630</v>
      </c>
    </row>
    <row r="909">
      <c r="A909" s="1">
        <v>907.0</v>
      </c>
      <c r="B909" s="1">
        <v>3.0</v>
      </c>
      <c r="C909" s="1">
        <v>0.763046539220806</v>
      </c>
      <c r="D909" s="1" t="s">
        <v>841</v>
      </c>
      <c r="E909" s="1" t="s">
        <v>173</v>
      </c>
      <c r="G909" s="1" t="s">
        <v>609</v>
      </c>
      <c r="H909" s="1">
        <v>2015.0</v>
      </c>
      <c r="I909" s="1" t="s">
        <v>630</v>
      </c>
    </row>
    <row r="910">
      <c r="A910" s="1">
        <v>908.0</v>
      </c>
      <c r="B910" s="1">
        <v>3.0</v>
      </c>
      <c r="C910" s="1">
        <v>0.502295832301621</v>
      </c>
      <c r="D910" s="1" t="s">
        <v>842</v>
      </c>
      <c r="E910" s="1" t="s">
        <v>173</v>
      </c>
      <c r="G910" s="1" t="s">
        <v>609</v>
      </c>
      <c r="H910" s="1">
        <v>2015.0</v>
      </c>
      <c r="I910" s="1" t="s">
        <v>630</v>
      </c>
    </row>
    <row r="911">
      <c r="A911" s="1">
        <v>909.0</v>
      </c>
      <c r="B911" s="1">
        <v>2.0</v>
      </c>
      <c r="C911" s="1">
        <v>0.265515334324081</v>
      </c>
      <c r="D911" s="1" t="s">
        <v>843</v>
      </c>
      <c r="E911" s="1" t="s">
        <v>173</v>
      </c>
      <c r="G911" s="1" t="s">
        <v>609</v>
      </c>
      <c r="H911" s="1">
        <v>2015.0</v>
      </c>
      <c r="I911" s="1" t="s">
        <v>630</v>
      </c>
    </row>
    <row r="912">
      <c r="A912" s="1">
        <v>910.0</v>
      </c>
      <c r="B912" s="1">
        <v>3.0</v>
      </c>
      <c r="C912" s="1">
        <v>0.415502706726134</v>
      </c>
      <c r="D912" s="1" t="s">
        <v>844</v>
      </c>
      <c r="E912" s="1" t="s">
        <v>173</v>
      </c>
      <c r="G912" s="1" t="s">
        <v>609</v>
      </c>
      <c r="H912" s="1">
        <v>2015.0</v>
      </c>
      <c r="I912" s="1" t="s">
        <v>630</v>
      </c>
    </row>
    <row r="913">
      <c r="A913" s="1">
        <v>911.0</v>
      </c>
      <c r="B913" s="1">
        <v>3.0</v>
      </c>
      <c r="C913" s="1">
        <v>0.800857487365683</v>
      </c>
      <c r="D913" s="1" t="s">
        <v>845</v>
      </c>
      <c r="E913" s="1" t="s">
        <v>173</v>
      </c>
      <c r="G913" s="1" t="s">
        <v>609</v>
      </c>
      <c r="H913" s="1">
        <v>2015.0</v>
      </c>
      <c r="I913" s="1" t="s">
        <v>630</v>
      </c>
    </row>
    <row r="914">
      <c r="A914" s="1">
        <v>912.0</v>
      </c>
      <c r="B914" s="1">
        <v>3.0</v>
      </c>
      <c r="C914" s="1">
        <v>0.623806448655917</v>
      </c>
      <c r="D914" s="1" t="s">
        <v>846</v>
      </c>
      <c r="E914" s="1" t="s">
        <v>173</v>
      </c>
      <c r="G914" s="1" t="s">
        <v>609</v>
      </c>
      <c r="H914" s="1">
        <v>2015.0</v>
      </c>
      <c r="I914" s="1" t="s">
        <v>630</v>
      </c>
    </row>
    <row r="915">
      <c r="A915" s="1">
        <v>913.0</v>
      </c>
      <c r="B915" s="1">
        <v>3.0</v>
      </c>
      <c r="C915" s="1">
        <v>0.515264540742694</v>
      </c>
      <c r="D915" s="1" t="s">
        <v>847</v>
      </c>
      <c r="E915" s="1" t="s">
        <v>173</v>
      </c>
      <c r="G915" s="1" t="s">
        <v>609</v>
      </c>
      <c r="H915" s="1">
        <v>2015.0</v>
      </c>
      <c r="I915" s="1" t="s">
        <v>630</v>
      </c>
    </row>
    <row r="916">
      <c r="A916" s="1">
        <v>914.0</v>
      </c>
      <c r="B916" s="1">
        <v>9.0</v>
      </c>
      <c r="C916" s="1">
        <v>0.597430425626753</v>
      </c>
      <c r="D916" s="1" t="s">
        <v>848</v>
      </c>
      <c r="E916" s="1" t="s">
        <v>173</v>
      </c>
      <c r="G916" s="1" t="s">
        <v>609</v>
      </c>
      <c r="H916" s="1">
        <v>2015.0</v>
      </c>
      <c r="I916" s="1" t="s">
        <v>630</v>
      </c>
    </row>
    <row r="917">
      <c r="A917" s="1">
        <v>915.0</v>
      </c>
      <c r="B917" s="1">
        <v>3.0</v>
      </c>
      <c r="C917" s="1">
        <v>0.426533873870968</v>
      </c>
      <c r="D917" s="1" t="s">
        <v>849</v>
      </c>
      <c r="E917" s="1" t="s">
        <v>173</v>
      </c>
      <c r="G917" s="1" t="s">
        <v>609</v>
      </c>
      <c r="H917" s="1">
        <v>2015.0</v>
      </c>
      <c r="I917" s="1" t="s">
        <v>630</v>
      </c>
    </row>
    <row r="918">
      <c r="A918" s="1">
        <v>916.0</v>
      </c>
      <c r="B918" s="1">
        <v>3.0</v>
      </c>
      <c r="C918" s="1">
        <v>0.651214711757326</v>
      </c>
      <c r="D918" s="1" t="s">
        <v>850</v>
      </c>
      <c r="E918" s="1" t="s">
        <v>173</v>
      </c>
      <c r="G918" s="1" t="s">
        <v>609</v>
      </c>
      <c r="H918" s="1">
        <v>2015.0</v>
      </c>
      <c r="I918" s="1" t="s">
        <v>630</v>
      </c>
    </row>
    <row r="919">
      <c r="A919" s="1">
        <v>917.0</v>
      </c>
      <c r="B919" s="1">
        <v>3.0</v>
      </c>
      <c r="C919" s="1">
        <v>0.526837636143301</v>
      </c>
      <c r="D919" s="1" t="s">
        <v>851</v>
      </c>
      <c r="E919" s="1" t="s">
        <v>173</v>
      </c>
      <c r="G919" s="1" t="s">
        <v>609</v>
      </c>
      <c r="H919" s="1">
        <v>2015.0</v>
      </c>
      <c r="I919" s="1" t="s">
        <v>630</v>
      </c>
    </row>
    <row r="920">
      <c r="A920" s="1">
        <v>918.0</v>
      </c>
      <c r="B920" s="1">
        <v>3.0</v>
      </c>
      <c r="C920" s="1">
        <v>0.591065697847969</v>
      </c>
      <c r="D920" s="1" t="s">
        <v>852</v>
      </c>
      <c r="E920" s="1" t="s">
        <v>173</v>
      </c>
      <c r="G920" s="1" t="s">
        <v>609</v>
      </c>
      <c r="H920" s="1">
        <v>2015.0</v>
      </c>
      <c r="I920" s="1" t="s">
        <v>630</v>
      </c>
    </row>
    <row r="921">
      <c r="A921" s="1">
        <v>919.0</v>
      </c>
      <c r="B921" s="1">
        <v>3.0</v>
      </c>
      <c r="C921" s="1">
        <v>0.816499354720385</v>
      </c>
      <c r="D921" s="1" t="s">
        <v>853</v>
      </c>
      <c r="E921" s="1" t="s">
        <v>173</v>
      </c>
      <c r="G921" s="1" t="s">
        <v>609</v>
      </c>
      <c r="H921" s="1">
        <v>2015.0</v>
      </c>
      <c r="I921" s="1" t="s">
        <v>630</v>
      </c>
    </row>
    <row r="922">
      <c r="A922" s="1">
        <v>920.0</v>
      </c>
      <c r="B922" s="1">
        <v>3.0</v>
      </c>
      <c r="C922" s="1">
        <v>0.684177199910186</v>
      </c>
      <c r="D922" s="1" t="s">
        <v>854</v>
      </c>
      <c r="E922" s="1" t="s">
        <v>173</v>
      </c>
      <c r="G922" s="1" t="s">
        <v>609</v>
      </c>
      <c r="H922" s="1">
        <v>2015.0</v>
      </c>
      <c r="I922" s="1" t="s">
        <v>630</v>
      </c>
    </row>
    <row r="923">
      <c r="A923" s="1">
        <v>921.0</v>
      </c>
      <c r="B923" s="1">
        <v>3.0</v>
      </c>
      <c r="C923" s="1">
        <v>0.496297828657279</v>
      </c>
      <c r="D923" s="1" t="s">
        <v>855</v>
      </c>
      <c r="E923" s="1" t="s">
        <v>173</v>
      </c>
      <c r="G923" s="1" t="s">
        <v>609</v>
      </c>
      <c r="H923" s="1">
        <v>2015.0</v>
      </c>
      <c r="I923" s="1" t="s">
        <v>630</v>
      </c>
    </row>
    <row r="924">
      <c r="A924" s="1">
        <v>922.0</v>
      </c>
      <c r="B924" s="1">
        <v>3.0</v>
      </c>
      <c r="C924" s="1">
        <v>0.625174485260266</v>
      </c>
      <c r="D924" s="1" t="s">
        <v>856</v>
      </c>
      <c r="E924" s="1" t="s">
        <v>173</v>
      </c>
      <c r="G924" s="1" t="s">
        <v>609</v>
      </c>
      <c r="H924" s="1">
        <v>2015.0</v>
      </c>
      <c r="I924" s="1" t="s">
        <v>630</v>
      </c>
    </row>
    <row r="925">
      <c r="A925" s="1">
        <v>923.0</v>
      </c>
      <c r="B925" s="1">
        <v>9.0</v>
      </c>
      <c r="C925" s="1">
        <v>0.494814364912445</v>
      </c>
      <c r="D925" s="1" t="s">
        <v>857</v>
      </c>
      <c r="E925" s="1" t="s">
        <v>173</v>
      </c>
      <c r="G925" s="1" t="s">
        <v>609</v>
      </c>
      <c r="H925" s="1">
        <v>2015.0</v>
      </c>
      <c r="I925" s="1" t="s">
        <v>630</v>
      </c>
    </row>
    <row r="926">
      <c r="A926" s="1">
        <v>924.0</v>
      </c>
      <c r="B926" s="1">
        <v>9.0</v>
      </c>
      <c r="C926" s="1">
        <v>0.52448108163752</v>
      </c>
      <c r="D926" s="1" t="s">
        <v>858</v>
      </c>
      <c r="E926" s="1" t="s">
        <v>173</v>
      </c>
      <c r="G926" s="1" t="s">
        <v>609</v>
      </c>
      <c r="H926" s="1">
        <v>2015.0</v>
      </c>
      <c r="I926" s="1" t="s">
        <v>630</v>
      </c>
    </row>
    <row r="927">
      <c r="A927" s="1">
        <v>925.0</v>
      </c>
      <c r="B927" s="1">
        <v>9.0</v>
      </c>
      <c r="C927" s="1">
        <v>0.537514654091608</v>
      </c>
      <c r="D927" s="1" t="s">
        <v>859</v>
      </c>
      <c r="E927" s="1" t="s">
        <v>173</v>
      </c>
      <c r="G927" s="1" t="s">
        <v>609</v>
      </c>
      <c r="H927" s="1">
        <v>2015.0</v>
      </c>
      <c r="I927" s="1" t="s">
        <v>630</v>
      </c>
    </row>
    <row r="928">
      <c r="A928" s="1">
        <v>926.0</v>
      </c>
      <c r="B928" s="1">
        <v>3.0</v>
      </c>
      <c r="C928" s="1">
        <v>0.617827284630413</v>
      </c>
      <c r="D928" s="1" t="s">
        <v>796</v>
      </c>
      <c r="E928" s="1" t="s">
        <v>47</v>
      </c>
      <c r="F928" s="1" t="s">
        <v>197</v>
      </c>
      <c r="G928" s="1" t="s">
        <v>42</v>
      </c>
      <c r="H928" s="1">
        <v>2016.0</v>
      </c>
      <c r="I928" s="1" t="s">
        <v>630</v>
      </c>
    </row>
    <row r="929">
      <c r="A929" s="1">
        <v>927.0</v>
      </c>
      <c r="B929" s="1">
        <v>3.0</v>
      </c>
      <c r="C929" s="1">
        <v>0.864193412284675</v>
      </c>
      <c r="D929" s="1" t="s">
        <v>797</v>
      </c>
      <c r="E929" s="1" t="s">
        <v>47</v>
      </c>
      <c r="F929" s="1" t="s">
        <v>197</v>
      </c>
      <c r="G929" s="1" t="s">
        <v>42</v>
      </c>
      <c r="H929" s="1">
        <v>2016.0</v>
      </c>
      <c r="I929" s="1" t="s">
        <v>630</v>
      </c>
    </row>
    <row r="930">
      <c r="A930" s="1">
        <v>928.0</v>
      </c>
      <c r="B930" s="1">
        <v>9.0</v>
      </c>
      <c r="C930" s="1">
        <v>0.386868737733727</v>
      </c>
      <c r="D930" s="1" t="s">
        <v>798</v>
      </c>
      <c r="E930" s="1" t="s">
        <v>47</v>
      </c>
      <c r="F930" s="1" t="s">
        <v>197</v>
      </c>
      <c r="G930" s="1" t="s">
        <v>42</v>
      </c>
      <c r="H930" s="1">
        <v>2016.0</v>
      </c>
      <c r="I930" s="1" t="s">
        <v>630</v>
      </c>
    </row>
    <row r="931">
      <c r="A931" s="1">
        <v>929.0</v>
      </c>
      <c r="B931" s="1">
        <v>3.0</v>
      </c>
      <c r="C931" s="1">
        <v>0.458865317782021</v>
      </c>
      <c r="D931" s="1" t="s">
        <v>799</v>
      </c>
      <c r="E931" s="1" t="s">
        <v>47</v>
      </c>
      <c r="F931" s="1" t="s">
        <v>197</v>
      </c>
      <c r="G931" s="1" t="s">
        <v>42</v>
      </c>
      <c r="H931" s="1">
        <v>2016.0</v>
      </c>
      <c r="I931" s="1" t="s">
        <v>630</v>
      </c>
    </row>
    <row r="932">
      <c r="A932" s="1">
        <v>930.0</v>
      </c>
      <c r="B932" s="1">
        <v>3.0</v>
      </c>
      <c r="C932" s="1">
        <v>0.359843438090377</v>
      </c>
      <c r="D932" s="1" t="s">
        <v>800</v>
      </c>
      <c r="E932" s="1" t="s">
        <v>47</v>
      </c>
      <c r="F932" s="1" t="s">
        <v>197</v>
      </c>
      <c r="G932" s="1" t="s">
        <v>42</v>
      </c>
      <c r="H932" s="1">
        <v>2016.0</v>
      </c>
      <c r="I932" s="1" t="s">
        <v>630</v>
      </c>
    </row>
    <row r="933">
      <c r="A933" s="1">
        <v>931.0</v>
      </c>
      <c r="B933" s="1">
        <v>2.0</v>
      </c>
      <c r="C933" s="1">
        <v>0.750442202851218</v>
      </c>
      <c r="D933" s="1" t="s">
        <v>801</v>
      </c>
      <c r="E933" s="1" t="s">
        <v>47</v>
      </c>
      <c r="F933" s="1" t="s">
        <v>197</v>
      </c>
      <c r="G933" s="1" t="s">
        <v>42</v>
      </c>
      <c r="H933" s="1">
        <v>2016.0</v>
      </c>
      <c r="I933" s="1" t="s">
        <v>630</v>
      </c>
    </row>
    <row r="934">
      <c r="A934" s="1">
        <v>932.0</v>
      </c>
      <c r="B934" s="1">
        <v>2.0</v>
      </c>
      <c r="C934" s="1">
        <v>0.725768296906249</v>
      </c>
      <c r="D934" s="1" t="s">
        <v>802</v>
      </c>
      <c r="E934" s="1" t="s">
        <v>47</v>
      </c>
      <c r="F934" s="1" t="s">
        <v>197</v>
      </c>
      <c r="G934" s="1" t="s">
        <v>42</v>
      </c>
      <c r="H934" s="1">
        <v>2016.0</v>
      </c>
      <c r="I934" s="1" t="s">
        <v>630</v>
      </c>
    </row>
    <row r="935">
      <c r="A935" s="1">
        <v>933.0</v>
      </c>
      <c r="B935" s="1">
        <v>3.0</v>
      </c>
      <c r="C935" s="1">
        <v>0.290995685443198</v>
      </c>
      <c r="D935" s="1" t="s">
        <v>803</v>
      </c>
      <c r="E935" s="1" t="s">
        <v>47</v>
      </c>
      <c r="F935" s="1" t="s">
        <v>197</v>
      </c>
      <c r="G935" s="1" t="s">
        <v>42</v>
      </c>
      <c r="H935" s="1">
        <v>2016.0</v>
      </c>
      <c r="I935" s="1" t="s">
        <v>630</v>
      </c>
    </row>
    <row r="936">
      <c r="A936" s="1">
        <v>934.0</v>
      </c>
      <c r="B936" s="1">
        <v>9.0</v>
      </c>
      <c r="C936" s="1">
        <v>0.894061731763485</v>
      </c>
      <c r="D936" s="1" t="s">
        <v>804</v>
      </c>
      <c r="E936" s="1" t="s">
        <v>47</v>
      </c>
      <c r="F936" s="1" t="s">
        <v>197</v>
      </c>
      <c r="G936" s="1" t="s">
        <v>42</v>
      </c>
      <c r="H936" s="1">
        <v>2016.0</v>
      </c>
      <c r="I936" s="1" t="s">
        <v>630</v>
      </c>
    </row>
    <row r="937">
      <c r="A937" s="1">
        <v>935.0</v>
      </c>
      <c r="B937" s="1">
        <v>7.0</v>
      </c>
      <c r="C937" s="1">
        <v>0.48615853639494</v>
      </c>
      <c r="D937" s="1" t="s">
        <v>805</v>
      </c>
      <c r="E937" s="1" t="s">
        <v>47</v>
      </c>
      <c r="F937" s="1" t="s">
        <v>197</v>
      </c>
      <c r="G937" s="1" t="s">
        <v>42</v>
      </c>
      <c r="H937" s="1">
        <v>2016.0</v>
      </c>
      <c r="I937" s="1" t="s">
        <v>630</v>
      </c>
    </row>
    <row r="938">
      <c r="A938" s="1">
        <v>936.0</v>
      </c>
      <c r="B938" s="1">
        <v>10.0</v>
      </c>
      <c r="C938" s="1">
        <v>0.361490619205174</v>
      </c>
      <c r="D938" s="1" t="s">
        <v>860</v>
      </c>
      <c r="H938" s="1">
        <v>2006.0</v>
      </c>
      <c r="I938" s="1" t="s">
        <v>861</v>
      </c>
    </row>
    <row r="939">
      <c r="A939" s="1">
        <v>937.0</v>
      </c>
      <c r="B939" s="1">
        <v>10.0</v>
      </c>
      <c r="C939" s="1">
        <v>0.327570291872425</v>
      </c>
      <c r="D939" s="1" t="s">
        <v>862</v>
      </c>
      <c r="H939" s="1">
        <v>2006.0</v>
      </c>
      <c r="I939" s="1" t="s">
        <v>861</v>
      </c>
    </row>
    <row r="940">
      <c r="A940" s="1">
        <v>938.0</v>
      </c>
      <c r="B940" s="1">
        <v>5.0</v>
      </c>
      <c r="C940" s="1">
        <v>0.563432648379661</v>
      </c>
      <c r="D940" s="1" t="s">
        <v>863</v>
      </c>
      <c r="H940" s="1">
        <v>2006.0</v>
      </c>
      <c r="I940" s="1" t="s">
        <v>861</v>
      </c>
    </row>
    <row r="941">
      <c r="A941" s="1">
        <v>939.0</v>
      </c>
      <c r="B941" s="1">
        <v>5.0</v>
      </c>
      <c r="C941" s="1">
        <v>0.624954458308689</v>
      </c>
      <c r="D941" s="1" t="s">
        <v>864</v>
      </c>
      <c r="H941" s="1">
        <v>2006.0</v>
      </c>
      <c r="I941" s="1" t="s">
        <v>861</v>
      </c>
    </row>
    <row r="942">
      <c r="A942" s="1">
        <v>940.0</v>
      </c>
      <c r="B942" s="1">
        <v>9.0</v>
      </c>
      <c r="C942" s="1">
        <v>0.361618603430862</v>
      </c>
      <c r="D942" s="1" t="s">
        <v>865</v>
      </c>
      <c r="E942" s="1" t="s">
        <v>10</v>
      </c>
      <c r="F942" s="1" t="s">
        <v>142</v>
      </c>
      <c r="H942" s="1">
        <v>2022.0</v>
      </c>
      <c r="I942" s="1" t="s">
        <v>861</v>
      </c>
    </row>
    <row r="943">
      <c r="A943" s="1">
        <v>941.0</v>
      </c>
      <c r="B943" s="1">
        <v>4.0</v>
      </c>
      <c r="C943" s="1">
        <v>0.974998723698592</v>
      </c>
      <c r="D943" s="1" t="s">
        <v>160</v>
      </c>
      <c r="E943" s="1" t="s">
        <v>41</v>
      </c>
      <c r="F943" s="1" t="s">
        <v>180</v>
      </c>
      <c r="I943" s="1" t="s">
        <v>861</v>
      </c>
    </row>
    <row r="944">
      <c r="A944" s="1">
        <v>942.0</v>
      </c>
      <c r="B944" s="1">
        <v>1.0</v>
      </c>
      <c r="C944" s="1">
        <v>0.975673173645241</v>
      </c>
      <c r="D944" s="1" t="s">
        <v>866</v>
      </c>
      <c r="E944" s="1" t="s">
        <v>41</v>
      </c>
      <c r="F944" s="1" t="s">
        <v>180</v>
      </c>
      <c r="I944" s="1" t="s">
        <v>861</v>
      </c>
    </row>
    <row r="945">
      <c r="A945" s="1">
        <v>943.0</v>
      </c>
      <c r="B945" s="1">
        <v>1.0</v>
      </c>
      <c r="C945" s="1">
        <v>0.975673173645241</v>
      </c>
      <c r="D945" s="1" t="s">
        <v>866</v>
      </c>
      <c r="E945" s="1" t="s">
        <v>41</v>
      </c>
      <c r="F945" s="1" t="s">
        <v>180</v>
      </c>
      <c r="I945" s="1" t="s">
        <v>861</v>
      </c>
    </row>
    <row r="946">
      <c r="A946" s="1">
        <v>944.0</v>
      </c>
      <c r="B946" s="1">
        <v>4.0</v>
      </c>
      <c r="C946" s="1">
        <v>0.973528364203671</v>
      </c>
      <c r="D946" s="1" t="s">
        <v>162</v>
      </c>
      <c r="E946" s="1" t="s">
        <v>41</v>
      </c>
      <c r="F946" s="1" t="s">
        <v>180</v>
      </c>
      <c r="I946" s="1" t="s">
        <v>861</v>
      </c>
    </row>
    <row r="947">
      <c r="A947" s="1">
        <v>945.0</v>
      </c>
      <c r="B947" s="1">
        <v>1.0</v>
      </c>
      <c r="C947" s="1">
        <v>0.483689218829506</v>
      </c>
      <c r="D947" s="1" t="s">
        <v>867</v>
      </c>
      <c r="E947" s="1" t="s">
        <v>41</v>
      </c>
      <c r="F947" s="1" t="s">
        <v>180</v>
      </c>
      <c r="I947" s="1" t="s">
        <v>861</v>
      </c>
    </row>
    <row r="948">
      <c r="A948" s="1">
        <v>946.0</v>
      </c>
      <c r="B948" s="1">
        <v>4.0</v>
      </c>
      <c r="C948" s="1">
        <v>0.967855668777459</v>
      </c>
      <c r="D948" s="1" t="s">
        <v>57</v>
      </c>
      <c r="E948" s="1" t="s">
        <v>58</v>
      </c>
      <c r="F948" s="1" t="s">
        <v>18</v>
      </c>
      <c r="G948" s="1" t="s">
        <v>42</v>
      </c>
      <c r="H948" s="1">
        <v>2024.0</v>
      </c>
      <c r="I948" s="1" t="s">
        <v>861</v>
      </c>
    </row>
    <row r="949">
      <c r="A949" s="1">
        <v>947.0</v>
      </c>
      <c r="B949" s="1">
        <v>6.0</v>
      </c>
      <c r="C949" s="1">
        <v>0.970966539379796</v>
      </c>
      <c r="D949" s="1" t="s">
        <v>60</v>
      </c>
      <c r="E949" s="1" t="s">
        <v>58</v>
      </c>
      <c r="F949" s="1" t="s">
        <v>18</v>
      </c>
      <c r="G949" s="1" t="s">
        <v>42</v>
      </c>
      <c r="H949" s="1">
        <v>2024.0</v>
      </c>
      <c r="I949" s="1" t="s">
        <v>861</v>
      </c>
    </row>
    <row r="950">
      <c r="A950" s="1">
        <v>948.0</v>
      </c>
      <c r="B950" s="1">
        <v>2.0</v>
      </c>
      <c r="C950" s="1">
        <v>0.355393421964809</v>
      </c>
      <c r="D950" s="1" t="s">
        <v>868</v>
      </c>
      <c r="E950" s="1" t="s">
        <v>58</v>
      </c>
      <c r="F950" s="1" t="s">
        <v>18</v>
      </c>
      <c r="G950" s="1" t="s">
        <v>42</v>
      </c>
      <c r="H950" s="1">
        <v>2024.0</v>
      </c>
      <c r="I950" s="1" t="s">
        <v>861</v>
      </c>
    </row>
    <row r="951">
      <c r="A951" s="1">
        <v>949.0</v>
      </c>
      <c r="B951" s="1">
        <v>3.0</v>
      </c>
      <c r="C951" s="1">
        <v>0.378266680643815</v>
      </c>
      <c r="D951" s="1" t="s">
        <v>869</v>
      </c>
      <c r="E951" s="1" t="s">
        <v>58</v>
      </c>
      <c r="F951" s="1" t="s">
        <v>18</v>
      </c>
      <c r="G951" s="1" t="s">
        <v>42</v>
      </c>
      <c r="H951" s="1">
        <v>2024.0</v>
      </c>
      <c r="I951" s="1" t="s">
        <v>861</v>
      </c>
    </row>
    <row r="952">
      <c r="A952" s="1">
        <v>950.0</v>
      </c>
      <c r="B952" s="1">
        <v>2.0</v>
      </c>
      <c r="C952" s="1">
        <v>0.573095696194108</v>
      </c>
      <c r="D952" s="1" t="s">
        <v>870</v>
      </c>
      <c r="E952" s="1" t="s">
        <v>58</v>
      </c>
      <c r="F952" s="1" t="s">
        <v>18</v>
      </c>
      <c r="G952" s="1" t="s">
        <v>42</v>
      </c>
      <c r="H952" s="1">
        <v>2024.0</v>
      </c>
      <c r="I952" s="1" t="s">
        <v>861</v>
      </c>
    </row>
    <row r="953">
      <c r="A953" s="1">
        <v>951.0</v>
      </c>
      <c r="B953" s="1">
        <v>2.0</v>
      </c>
      <c r="C953" s="1">
        <v>0.414286248435383</v>
      </c>
      <c r="D953" s="1" t="s">
        <v>871</v>
      </c>
      <c r="E953" s="1" t="s">
        <v>58</v>
      </c>
      <c r="F953" s="1" t="s">
        <v>18</v>
      </c>
      <c r="G953" s="1" t="s">
        <v>42</v>
      </c>
      <c r="H953" s="1">
        <v>2024.0</v>
      </c>
      <c r="I953" s="1" t="s">
        <v>861</v>
      </c>
    </row>
    <row r="954">
      <c r="A954" s="1">
        <v>952.0</v>
      </c>
      <c r="B954" s="1">
        <v>2.0</v>
      </c>
      <c r="C954" s="1">
        <v>0.512753629380772</v>
      </c>
      <c r="D954" s="1" t="s">
        <v>872</v>
      </c>
      <c r="E954" s="1" t="s">
        <v>58</v>
      </c>
      <c r="F954" s="1" t="s">
        <v>18</v>
      </c>
      <c r="G954" s="1" t="s">
        <v>42</v>
      </c>
      <c r="H954" s="1">
        <v>2024.0</v>
      </c>
      <c r="I954" s="1" t="s">
        <v>861</v>
      </c>
    </row>
    <row r="955">
      <c r="A955" s="1">
        <v>953.0</v>
      </c>
      <c r="B955" s="1">
        <v>4.0</v>
      </c>
      <c r="C955" s="1">
        <v>0.967855668777459</v>
      </c>
      <c r="D955" s="1" t="s">
        <v>57</v>
      </c>
      <c r="E955" s="1" t="s">
        <v>58</v>
      </c>
      <c r="F955" s="1" t="s">
        <v>59</v>
      </c>
      <c r="G955" s="1" t="s">
        <v>11</v>
      </c>
      <c r="H955" s="1">
        <v>2024.0</v>
      </c>
      <c r="I955" s="1" t="s">
        <v>861</v>
      </c>
    </row>
    <row r="956">
      <c r="A956" s="1">
        <v>954.0</v>
      </c>
      <c r="B956" s="1">
        <v>6.0</v>
      </c>
      <c r="C956" s="1">
        <v>0.970966539379796</v>
      </c>
      <c r="D956" s="1" t="s">
        <v>60</v>
      </c>
      <c r="E956" s="1" t="s">
        <v>58</v>
      </c>
      <c r="F956" s="1" t="s">
        <v>59</v>
      </c>
      <c r="G956" s="1" t="s">
        <v>11</v>
      </c>
      <c r="H956" s="1">
        <v>2024.0</v>
      </c>
      <c r="I956" s="1" t="s">
        <v>861</v>
      </c>
    </row>
    <row r="957">
      <c r="A957" s="1">
        <v>955.0</v>
      </c>
      <c r="B957" s="1">
        <v>3.0</v>
      </c>
      <c r="C957" s="1">
        <v>0.965381258337581</v>
      </c>
      <c r="D957" s="1" t="s">
        <v>72</v>
      </c>
      <c r="E957" s="1" t="s">
        <v>45</v>
      </c>
      <c r="F957" s="1" t="s">
        <v>65</v>
      </c>
      <c r="H957" s="1">
        <v>2019.0</v>
      </c>
      <c r="I957" s="1" t="s">
        <v>861</v>
      </c>
    </row>
    <row r="958">
      <c r="A958" s="1">
        <v>956.0</v>
      </c>
      <c r="B958" s="1">
        <v>2.0</v>
      </c>
      <c r="C958" s="1">
        <v>0.343903038864572</v>
      </c>
      <c r="D958" s="1" t="s">
        <v>73</v>
      </c>
      <c r="E958" s="1" t="s">
        <v>45</v>
      </c>
      <c r="F958" s="1" t="s">
        <v>65</v>
      </c>
      <c r="H958" s="1">
        <v>2019.0</v>
      </c>
      <c r="I958" s="1" t="s">
        <v>861</v>
      </c>
    </row>
    <row r="959">
      <c r="A959" s="1">
        <v>957.0</v>
      </c>
      <c r="B959" s="1">
        <v>2.0</v>
      </c>
      <c r="C959" s="1">
        <v>0.395936493014164</v>
      </c>
      <c r="D959" s="1" t="s">
        <v>873</v>
      </c>
      <c r="E959" s="1" t="s">
        <v>24</v>
      </c>
      <c r="F959" s="1" t="s">
        <v>197</v>
      </c>
      <c r="H959" s="1">
        <v>2014.0</v>
      </c>
      <c r="I959" s="1" t="s">
        <v>861</v>
      </c>
    </row>
    <row r="960">
      <c r="A960" s="1">
        <v>958.0</v>
      </c>
      <c r="B960" s="1">
        <v>7.0</v>
      </c>
      <c r="C960" s="1">
        <v>0.354766919183129</v>
      </c>
      <c r="D960" s="1" t="s">
        <v>874</v>
      </c>
      <c r="E960" s="1" t="s">
        <v>24</v>
      </c>
      <c r="F960" s="1" t="s">
        <v>197</v>
      </c>
      <c r="H960" s="1">
        <v>2014.0</v>
      </c>
      <c r="I960" s="1" t="s">
        <v>861</v>
      </c>
    </row>
    <row r="961">
      <c r="A961" s="1">
        <v>959.0</v>
      </c>
      <c r="B961" s="1">
        <v>10.0</v>
      </c>
      <c r="C961" s="1">
        <v>0.266878463208091</v>
      </c>
      <c r="D961" s="1" t="s">
        <v>875</v>
      </c>
      <c r="E961" s="1" t="s">
        <v>24</v>
      </c>
      <c r="F961" s="1" t="s">
        <v>197</v>
      </c>
      <c r="H961" s="1">
        <v>2014.0</v>
      </c>
      <c r="I961" s="1" t="s">
        <v>861</v>
      </c>
    </row>
    <row r="962">
      <c r="A962" s="1">
        <v>960.0</v>
      </c>
      <c r="B962" s="1">
        <v>2.0</v>
      </c>
      <c r="C962" s="1">
        <v>0.320246731619016</v>
      </c>
      <c r="D962" s="1" t="s">
        <v>876</v>
      </c>
      <c r="E962" s="1" t="s">
        <v>17</v>
      </c>
      <c r="F962" s="1" t="s">
        <v>18</v>
      </c>
      <c r="G962" s="1">
        <v>11.0</v>
      </c>
      <c r="H962" s="1">
        <v>2023.0</v>
      </c>
      <c r="I962" s="1" t="s">
        <v>861</v>
      </c>
    </row>
    <row r="963">
      <c r="A963" s="1">
        <v>961.0</v>
      </c>
      <c r="B963" s="1">
        <v>7.0</v>
      </c>
      <c r="C963" s="1">
        <v>0.399119215111075</v>
      </c>
      <c r="D963" s="1" t="s">
        <v>877</v>
      </c>
      <c r="E963" s="1" t="s">
        <v>17</v>
      </c>
      <c r="F963" s="1" t="s">
        <v>18</v>
      </c>
      <c r="G963" s="1">
        <v>11.0</v>
      </c>
      <c r="H963" s="1">
        <v>2023.0</v>
      </c>
      <c r="I963" s="1" t="s">
        <v>861</v>
      </c>
    </row>
    <row r="964">
      <c r="A964" s="1">
        <v>962.0</v>
      </c>
      <c r="B964" s="1">
        <v>7.0</v>
      </c>
      <c r="C964" s="1">
        <v>0.922970815079195</v>
      </c>
      <c r="D964" s="1" t="s">
        <v>878</v>
      </c>
      <c r="E964" s="1" t="s">
        <v>111</v>
      </c>
      <c r="H964" s="1">
        <v>2011.0</v>
      </c>
      <c r="I964" s="1" t="s">
        <v>861</v>
      </c>
    </row>
    <row r="965">
      <c r="A965" s="1">
        <v>963.0</v>
      </c>
      <c r="B965" s="1">
        <v>7.0</v>
      </c>
      <c r="C965" s="1">
        <v>0.610797806768536</v>
      </c>
      <c r="D965" s="1" t="s">
        <v>879</v>
      </c>
      <c r="E965" s="1" t="s">
        <v>111</v>
      </c>
      <c r="H965" s="1">
        <v>2011.0</v>
      </c>
      <c r="I965" s="1" t="s">
        <v>861</v>
      </c>
    </row>
    <row r="966">
      <c r="A966" s="1">
        <v>964.0</v>
      </c>
      <c r="B966" s="1">
        <v>7.0</v>
      </c>
      <c r="C966" s="1">
        <v>0.486298845942012</v>
      </c>
      <c r="D966" s="1" t="s">
        <v>880</v>
      </c>
      <c r="E966" s="1" t="s">
        <v>111</v>
      </c>
      <c r="H966" s="1">
        <v>2011.0</v>
      </c>
      <c r="I966" s="1" t="s">
        <v>861</v>
      </c>
    </row>
    <row r="967">
      <c r="A967" s="1">
        <v>965.0</v>
      </c>
      <c r="B967" s="1">
        <v>7.0</v>
      </c>
      <c r="C967" s="1">
        <v>0.582743176716152</v>
      </c>
      <c r="D967" s="1" t="s">
        <v>881</v>
      </c>
      <c r="E967" s="1" t="s">
        <v>111</v>
      </c>
      <c r="H967" s="1">
        <v>2011.0</v>
      </c>
      <c r="I967" s="1" t="s">
        <v>861</v>
      </c>
    </row>
    <row r="968">
      <c r="A968" s="1">
        <v>966.0</v>
      </c>
      <c r="B968" s="1">
        <v>7.0</v>
      </c>
      <c r="C968" s="1">
        <v>0.676409817344132</v>
      </c>
      <c r="D968" s="1" t="s">
        <v>882</v>
      </c>
      <c r="E968" s="1" t="s">
        <v>111</v>
      </c>
      <c r="H968" s="1">
        <v>2011.0</v>
      </c>
      <c r="I968" s="1" t="s">
        <v>861</v>
      </c>
    </row>
    <row r="969">
      <c r="A969" s="1">
        <v>967.0</v>
      </c>
      <c r="B969" s="1">
        <v>7.0</v>
      </c>
      <c r="C969" s="1">
        <v>0.592778200056185</v>
      </c>
      <c r="D969" s="1" t="s">
        <v>883</v>
      </c>
      <c r="E969" s="1" t="s">
        <v>111</v>
      </c>
      <c r="H969" s="1">
        <v>2011.0</v>
      </c>
      <c r="I969" s="1" t="s">
        <v>861</v>
      </c>
    </row>
    <row r="970">
      <c r="A970" s="1">
        <v>968.0</v>
      </c>
      <c r="B970" s="1">
        <v>7.0</v>
      </c>
      <c r="C970" s="1">
        <v>0.518029902104616</v>
      </c>
      <c r="D970" s="1" t="s">
        <v>884</v>
      </c>
      <c r="E970" s="1" t="s">
        <v>111</v>
      </c>
      <c r="H970" s="1">
        <v>2011.0</v>
      </c>
      <c r="I970" s="1" t="s">
        <v>861</v>
      </c>
    </row>
    <row r="971">
      <c r="A971" s="1">
        <v>969.0</v>
      </c>
      <c r="B971" s="1">
        <v>4.0</v>
      </c>
      <c r="C971" s="1">
        <v>0.974998723698592</v>
      </c>
      <c r="D971" s="1" t="s">
        <v>160</v>
      </c>
      <c r="E971" s="1" t="s">
        <v>41</v>
      </c>
      <c r="F971" s="1" t="s">
        <v>165</v>
      </c>
      <c r="I971" s="1" t="s">
        <v>861</v>
      </c>
    </row>
    <row r="972">
      <c r="A972" s="1">
        <v>970.0</v>
      </c>
      <c r="B972" s="1">
        <v>1.0</v>
      </c>
      <c r="C972" s="1">
        <v>0.975673173645241</v>
      </c>
      <c r="D972" s="1" t="s">
        <v>866</v>
      </c>
      <c r="E972" s="1" t="s">
        <v>41</v>
      </c>
      <c r="F972" s="1" t="s">
        <v>165</v>
      </c>
      <c r="I972" s="1" t="s">
        <v>861</v>
      </c>
    </row>
    <row r="973">
      <c r="A973" s="1">
        <v>971.0</v>
      </c>
      <c r="B973" s="1">
        <v>1.0</v>
      </c>
      <c r="C973" s="1">
        <v>0.975673173645241</v>
      </c>
      <c r="D973" s="1" t="s">
        <v>866</v>
      </c>
      <c r="E973" s="1" t="s">
        <v>41</v>
      </c>
      <c r="F973" s="1" t="s">
        <v>165</v>
      </c>
      <c r="I973" s="1" t="s">
        <v>861</v>
      </c>
    </row>
    <row r="974">
      <c r="A974" s="1">
        <v>972.0</v>
      </c>
      <c r="B974" s="1">
        <v>4.0</v>
      </c>
      <c r="C974" s="1">
        <v>0.973528364203671</v>
      </c>
      <c r="D974" s="1" t="s">
        <v>162</v>
      </c>
      <c r="E974" s="1" t="s">
        <v>41</v>
      </c>
      <c r="F974" s="1" t="s">
        <v>165</v>
      </c>
      <c r="I974" s="1" t="s">
        <v>861</v>
      </c>
    </row>
    <row r="975">
      <c r="A975" s="1">
        <v>973.0</v>
      </c>
      <c r="B975" s="1">
        <v>1.0</v>
      </c>
      <c r="C975" s="1">
        <v>0.483689218829506</v>
      </c>
      <c r="D975" s="1" t="s">
        <v>867</v>
      </c>
      <c r="E975" s="1" t="s">
        <v>41</v>
      </c>
      <c r="F975" s="1" t="s">
        <v>165</v>
      </c>
      <c r="I975" s="1" t="s">
        <v>861</v>
      </c>
    </row>
    <row r="976">
      <c r="A976" s="1">
        <v>974.0</v>
      </c>
      <c r="B976" s="1">
        <v>8.0</v>
      </c>
      <c r="C976" s="1">
        <v>0.868960033553439</v>
      </c>
      <c r="D976" s="1" t="s">
        <v>205</v>
      </c>
      <c r="E976" s="1" t="s">
        <v>50</v>
      </c>
      <c r="G976" s="1" t="s">
        <v>11</v>
      </c>
      <c r="H976" s="1">
        <v>2023.0</v>
      </c>
      <c r="I976" s="1" t="s">
        <v>861</v>
      </c>
    </row>
    <row r="977">
      <c r="A977" s="1">
        <v>975.0</v>
      </c>
      <c r="B977" s="1">
        <v>6.0</v>
      </c>
      <c r="C977" s="1">
        <v>0.737671392249879</v>
      </c>
      <c r="D977" s="1" t="s">
        <v>207</v>
      </c>
      <c r="E977" s="1" t="s">
        <v>50</v>
      </c>
      <c r="G977" s="1" t="s">
        <v>11</v>
      </c>
      <c r="H977" s="1">
        <v>2023.0</v>
      </c>
      <c r="I977" s="1" t="s">
        <v>861</v>
      </c>
    </row>
    <row r="978">
      <c r="A978" s="1">
        <v>976.0</v>
      </c>
      <c r="B978" s="1">
        <v>10.0</v>
      </c>
      <c r="C978" s="1">
        <v>0.800207682477034</v>
      </c>
      <c r="D978" s="1" t="s">
        <v>885</v>
      </c>
      <c r="E978" s="1" t="s">
        <v>50</v>
      </c>
      <c r="G978" s="1" t="s">
        <v>11</v>
      </c>
      <c r="H978" s="1">
        <v>2023.0</v>
      </c>
      <c r="I978" s="1" t="s">
        <v>861</v>
      </c>
    </row>
    <row r="979">
      <c r="A979" s="1">
        <v>977.0</v>
      </c>
      <c r="B979" s="1">
        <v>2.0</v>
      </c>
      <c r="C979" s="1">
        <v>0.610832111357134</v>
      </c>
      <c r="D979" s="1" t="s">
        <v>886</v>
      </c>
      <c r="E979" s="1" t="s">
        <v>50</v>
      </c>
      <c r="G979" s="1" t="s">
        <v>11</v>
      </c>
      <c r="H979" s="1">
        <v>2023.0</v>
      </c>
      <c r="I979" s="1" t="s">
        <v>861</v>
      </c>
    </row>
    <row r="980">
      <c r="A980" s="1">
        <v>978.0</v>
      </c>
      <c r="B980" s="1">
        <v>2.0</v>
      </c>
      <c r="C980" s="1">
        <v>0.430817795271352</v>
      </c>
      <c r="D980" s="1" t="s">
        <v>887</v>
      </c>
      <c r="E980" s="1" t="s">
        <v>17</v>
      </c>
      <c r="F980" s="1" t="s">
        <v>18</v>
      </c>
      <c r="I980" s="1" t="s">
        <v>861</v>
      </c>
    </row>
    <row r="981">
      <c r="A981" s="1">
        <v>979.0</v>
      </c>
      <c r="B981" s="1">
        <v>2.0</v>
      </c>
      <c r="C981" s="1">
        <v>0.563929641203825</v>
      </c>
      <c r="D981" s="1" t="s">
        <v>888</v>
      </c>
      <c r="E981" s="1" t="s">
        <v>17</v>
      </c>
      <c r="F981" s="1" t="s">
        <v>18</v>
      </c>
      <c r="I981" s="1" t="s">
        <v>861</v>
      </c>
    </row>
    <row r="982">
      <c r="A982" s="1">
        <v>980.0</v>
      </c>
      <c r="B982" s="1">
        <v>2.0</v>
      </c>
      <c r="C982" s="1">
        <v>0.353658184770427</v>
      </c>
      <c r="D982" s="1" t="s">
        <v>889</v>
      </c>
      <c r="E982" s="1" t="s">
        <v>173</v>
      </c>
      <c r="F982" s="1" t="s">
        <v>18</v>
      </c>
      <c r="G982" s="1" t="s">
        <v>42</v>
      </c>
      <c r="I982" s="1" t="s">
        <v>861</v>
      </c>
    </row>
    <row r="983">
      <c r="A983" s="1">
        <v>981.0</v>
      </c>
      <c r="B983" s="1">
        <v>5.0</v>
      </c>
      <c r="C983" s="1">
        <v>0.307595424672246</v>
      </c>
      <c r="D983" s="1" t="s">
        <v>890</v>
      </c>
      <c r="E983" s="1" t="s">
        <v>173</v>
      </c>
      <c r="F983" s="1" t="s">
        <v>18</v>
      </c>
      <c r="G983" s="1" t="s">
        <v>42</v>
      </c>
      <c r="I983" s="1" t="s">
        <v>861</v>
      </c>
    </row>
    <row r="984">
      <c r="A984" s="1">
        <v>982.0</v>
      </c>
      <c r="B984" s="1">
        <v>2.0</v>
      </c>
      <c r="C984" s="1">
        <v>0.4725942082553</v>
      </c>
      <c r="D984" s="1" t="s">
        <v>891</v>
      </c>
      <c r="E984" s="1" t="s">
        <v>24</v>
      </c>
      <c r="F984" s="1" t="s">
        <v>197</v>
      </c>
      <c r="G984" s="1" t="s">
        <v>126</v>
      </c>
      <c r="H984" s="1">
        <v>2014.0</v>
      </c>
      <c r="I984" s="1" t="s">
        <v>861</v>
      </c>
    </row>
    <row r="985">
      <c r="A985" s="1">
        <v>983.0</v>
      </c>
      <c r="B985" s="1">
        <v>2.0</v>
      </c>
      <c r="C985" s="1">
        <v>0.333510050207421</v>
      </c>
      <c r="D985" s="1" t="s">
        <v>892</v>
      </c>
      <c r="E985" s="1" t="s">
        <v>173</v>
      </c>
      <c r="F985" s="1" t="s">
        <v>18</v>
      </c>
      <c r="G985" s="1" t="s">
        <v>42</v>
      </c>
      <c r="I985" s="1" t="s">
        <v>861</v>
      </c>
    </row>
    <row r="986">
      <c r="A986" s="1">
        <v>984.0</v>
      </c>
      <c r="B986" s="1">
        <v>2.0</v>
      </c>
      <c r="C986" s="1">
        <v>0.322559553804385</v>
      </c>
      <c r="D986" s="1" t="s">
        <v>893</v>
      </c>
      <c r="E986" s="1" t="s">
        <v>173</v>
      </c>
      <c r="F986" s="1" t="s">
        <v>18</v>
      </c>
      <c r="G986" s="1" t="s">
        <v>42</v>
      </c>
      <c r="I986" s="1" t="s">
        <v>861</v>
      </c>
    </row>
    <row r="987">
      <c r="A987" s="1">
        <v>985.0</v>
      </c>
      <c r="B987" s="1">
        <v>6.0</v>
      </c>
      <c r="C987" s="1">
        <v>0.954995081267265</v>
      </c>
      <c r="D987" s="1" t="s">
        <v>894</v>
      </c>
      <c r="E987" s="1" t="s">
        <v>107</v>
      </c>
      <c r="F987" s="1" t="s">
        <v>18</v>
      </c>
      <c r="H987" s="1">
        <v>2022.0</v>
      </c>
      <c r="I987" s="1" t="s">
        <v>861</v>
      </c>
    </row>
    <row r="988">
      <c r="A988" s="1">
        <v>986.0</v>
      </c>
      <c r="B988" s="1">
        <v>5.0</v>
      </c>
      <c r="C988" s="1">
        <v>0.3033585221016</v>
      </c>
      <c r="D988" s="1" t="s">
        <v>895</v>
      </c>
      <c r="E988" s="1" t="s">
        <v>41</v>
      </c>
      <c r="F988" s="1" t="s">
        <v>18</v>
      </c>
      <c r="G988" s="1" t="s">
        <v>42</v>
      </c>
      <c r="H988" s="1">
        <v>2024.0</v>
      </c>
      <c r="I988" s="1" t="s">
        <v>861</v>
      </c>
    </row>
    <row r="989">
      <c r="A989" s="1">
        <v>987.0</v>
      </c>
      <c r="B989" s="1">
        <v>2.0</v>
      </c>
      <c r="C989" s="1">
        <v>0.421399554109065</v>
      </c>
      <c r="D989" s="1" t="s">
        <v>896</v>
      </c>
      <c r="E989" s="1" t="s">
        <v>41</v>
      </c>
      <c r="F989" s="1" t="s">
        <v>18</v>
      </c>
      <c r="G989" s="1" t="s">
        <v>42</v>
      </c>
      <c r="H989" s="1">
        <v>2024.0</v>
      </c>
      <c r="I989" s="1" t="s">
        <v>861</v>
      </c>
    </row>
    <row r="990">
      <c r="A990" s="1">
        <v>988.0</v>
      </c>
      <c r="B990" s="1">
        <v>7.0</v>
      </c>
      <c r="C990" s="1">
        <v>0.328627441415563</v>
      </c>
      <c r="D990" s="1" t="s">
        <v>897</v>
      </c>
      <c r="E990" s="1" t="s">
        <v>41</v>
      </c>
      <c r="F990" s="1" t="s">
        <v>18</v>
      </c>
      <c r="G990" s="1" t="s">
        <v>42</v>
      </c>
      <c r="H990" s="1">
        <v>2024.0</v>
      </c>
      <c r="I990" s="1" t="s">
        <v>861</v>
      </c>
    </row>
    <row r="991">
      <c r="A991" s="1">
        <v>989.0</v>
      </c>
      <c r="B991" s="1">
        <v>7.0</v>
      </c>
      <c r="C991" s="1">
        <v>0.546658579590039</v>
      </c>
      <c r="D991" s="1" t="s">
        <v>898</v>
      </c>
      <c r="E991" s="1" t="s">
        <v>41</v>
      </c>
      <c r="F991" s="1" t="s">
        <v>18</v>
      </c>
      <c r="G991" s="1" t="s">
        <v>42</v>
      </c>
      <c r="H991" s="1">
        <v>2024.0</v>
      </c>
      <c r="I991" s="1" t="s">
        <v>861</v>
      </c>
    </row>
    <row r="992">
      <c r="A992" s="1">
        <v>990.0</v>
      </c>
      <c r="B992" s="1">
        <v>5.0</v>
      </c>
      <c r="C992" s="1">
        <v>0.3033585221016</v>
      </c>
      <c r="D992" s="1" t="s">
        <v>899</v>
      </c>
      <c r="E992" s="1" t="s">
        <v>41</v>
      </c>
      <c r="F992" s="1" t="s">
        <v>18</v>
      </c>
      <c r="G992" s="1" t="s">
        <v>42</v>
      </c>
      <c r="H992" s="1">
        <v>2024.0</v>
      </c>
      <c r="I992" s="1" t="s">
        <v>861</v>
      </c>
    </row>
    <row r="993">
      <c r="A993" s="1">
        <v>991.0</v>
      </c>
      <c r="B993" s="1">
        <v>1.0</v>
      </c>
      <c r="C993" s="1">
        <v>0.304109492177208</v>
      </c>
      <c r="D993" s="1" t="s">
        <v>900</v>
      </c>
      <c r="E993" s="1" t="s">
        <v>41</v>
      </c>
      <c r="F993" s="1" t="s">
        <v>18</v>
      </c>
      <c r="G993" s="1" t="s">
        <v>42</v>
      </c>
      <c r="H993" s="1">
        <v>2024.0</v>
      </c>
      <c r="I993" s="1" t="s">
        <v>861</v>
      </c>
    </row>
    <row r="994">
      <c r="A994" s="1">
        <v>992.0</v>
      </c>
      <c r="B994" s="1">
        <v>7.0</v>
      </c>
      <c r="C994" s="1">
        <v>0.328627441415563</v>
      </c>
      <c r="D994" s="1" t="s">
        <v>897</v>
      </c>
      <c r="E994" s="1" t="s">
        <v>41</v>
      </c>
      <c r="F994" s="1" t="s">
        <v>18</v>
      </c>
      <c r="G994" s="1" t="s">
        <v>42</v>
      </c>
      <c r="H994" s="1">
        <v>2024.0</v>
      </c>
      <c r="I994" s="1" t="s">
        <v>861</v>
      </c>
    </row>
    <row r="995">
      <c r="A995" s="1">
        <v>993.0</v>
      </c>
      <c r="B995" s="1">
        <v>7.0</v>
      </c>
      <c r="C995" s="1">
        <v>0.546658579590039</v>
      </c>
      <c r="D995" s="1" t="s">
        <v>898</v>
      </c>
      <c r="E995" s="1" t="s">
        <v>41</v>
      </c>
      <c r="F995" s="1" t="s">
        <v>18</v>
      </c>
      <c r="G995" s="1" t="s">
        <v>42</v>
      </c>
      <c r="H995" s="1">
        <v>2024.0</v>
      </c>
      <c r="I995" s="1" t="s">
        <v>861</v>
      </c>
    </row>
    <row r="996">
      <c r="A996" s="1">
        <v>994.0</v>
      </c>
      <c r="B996" s="1">
        <v>2.0</v>
      </c>
      <c r="C996" s="1">
        <v>0.6151510048929</v>
      </c>
      <c r="D996" s="1" t="s">
        <v>901</v>
      </c>
      <c r="E996" s="1" t="s">
        <v>17</v>
      </c>
      <c r="F996" s="1" t="s">
        <v>18</v>
      </c>
      <c r="G996" s="1">
        <v>11.0</v>
      </c>
      <c r="H996" s="1">
        <v>2023.0</v>
      </c>
      <c r="I996" s="1" t="s">
        <v>861</v>
      </c>
    </row>
    <row r="997">
      <c r="A997" s="1">
        <v>995.0</v>
      </c>
      <c r="B997" s="1">
        <v>5.0</v>
      </c>
      <c r="C997" s="1">
        <v>0.609153823861194</v>
      </c>
      <c r="D997" s="1" t="s">
        <v>902</v>
      </c>
      <c r="E997" s="1" t="s">
        <v>24</v>
      </c>
      <c r="F997" s="1" t="s">
        <v>18</v>
      </c>
      <c r="G997" s="1" t="s">
        <v>42</v>
      </c>
      <c r="H997" s="1">
        <v>2023.0</v>
      </c>
      <c r="I997" s="1" t="s">
        <v>861</v>
      </c>
    </row>
    <row r="998">
      <c r="A998" s="1">
        <v>996.0</v>
      </c>
      <c r="B998" s="1">
        <v>5.0</v>
      </c>
      <c r="C998" s="1">
        <v>0.795598188292665</v>
      </c>
      <c r="D998" s="1" t="s">
        <v>903</v>
      </c>
      <c r="E998" s="1" t="s">
        <v>24</v>
      </c>
      <c r="F998" s="1" t="s">
        <v>18</v>
      </c>
      <c r="G998" s="1" t="s">
        <v>42</v>
      </c>
      <c r="H998" s="1">
        <v>2023.0</v>
      </c>
      <c r="I998" s="1" t="s">
        <v>861</v>
      </c>
    </row>
    <row r="999">
      <c r="A999" s="1">
        <v>997.0</v>
      </c>
      <c r="B999" s="1">
        <v>5.0</v>
      </c>
      <c r="C999" s="1">
        <v>0.596818348727961</v>
      </c>
      <c r="D999" s="1" t="s">
        <v>904</v>
      </c>
      <c r="E999" s="1" t="s">
        <v>24</v>
      </c>
      <c r="F999" s="1" t="s">
        <v>18</v>
      </c>
      <c r="G999" s="1" t="s">
        <v>42</v>
      </c>
      <c r="H999" s="1">
        <v>2023.0</v>
      </c>
      <c r="I999" s="1" t="s">
        <v>861</v>
      </c>
    </row>
    <row r="1000">
      <c r="A1000" s="1">
        <v>998.0</v>
      </c>
      <c r="B1000" s="1">
        <v>5.0</v>
      </c>
      <c r="C1000" s="1">
        <v>0.826385236195113</v>
      </c>
      <c r="D1000" s="1" t="s">
        <v>905</v>
      </c>
      <c r="E1000" s="1" t="s">
        <v>24</v>
      </c>
      <c r="F1000" s="1" t="s">
        <v>18</v>
      </c>
      <c r="G1000" s="1" t="s">
        <v>42</v>
      </c>
      <c r="H1000" s="1">
        <v>2023.0</v>
      </c>
      <c r="I1000" s="1" t="s">
        <v>861</v>
      </c>
    </row>
    <row r="1001">
      <c r="A1001" s="1">
        <v>999.0</v>
      </c>
      <c r="B1001" s="1">
        <v>5.0</v>
      </c>
      <c r="C1001" s="1">
        <v>0.640751076233663</v>
      </c>
      <c r="D1001" s="1" t="s">
        <v>906</v>
      </c>
      <c r="E1001" s="1" t="s">
        <v>24</v>
      </c>
      <c r="F1001" s="1" t="s">
        <v>18</v>
      </c>
      <c r="G1001" s="1" t="s">
        <v>42</v>
      </c>
      <c r="H1001" s="1">
        <v>2023.0</v>
      </c>
      <c r="I1001" s="1" t="s">
        <v>861</v>
      </c>
    </row>
    <row r="1002">
      <c r="A1002" s="1">
        <v>1000.0</v>
      </c>
      <c r="B1002" s="1">
        <v>5.0</v>
      </c>
      <c r="C1002" s="1">
        <v>0.802462407450903</v>
      </c>
      <c r="D1002" s="1" t="s">
        <v>907</v>
      </c>
      <c r="E1002" s="1" t="s">
        <v>24</v>
      </c>
      <c r="F1002" s="1" t="s">
        <v>18</v>
      </c>
      <c r="G1002" s="1" t="s">
        <v>42</v>
      </c>
      <c r="H1002" s="1">
        <v>2023.0</v>
      </c>
      <c r="I1002" s="1" t="s">
        <v>861</v>
      </c>
    </row>
    <row r="1003">
      <c r="A1003" s="1">
        <v>1001.0</v>
      </c>
      <c r="B1003" s="1">
        <v>2.0</v>
      </c>
      <c r="C1003" s="1">
        <v>0.403755738111449</v>
      </c>
      <c r="D1003" s="1" t="s">
        <v>908</v>
      </c>
      <c r="E1003" s="1" t="s">
        <v>124</v>
      </c>
      <c r="F1003" s="1" t="s">
        <v>178</v>
      </c>
      <c r="H1003" s="1">
        <v>2012.0</v>
      </c>
      <c r="I1003" s="1" t="s">
        <v>861</v>
      </c>
    </row>
    <row r="1004">
      <c r="A1004" s="1">
        <v>1002.0</v>
      </c>
      <c r="B1004" s="1">
        <v>5.0</v>
      </c>
      <c r="C1004" s="1">
        <v>0.273500052628124</v>
      </c>
      <c r="D1004" s="1" t="s">
        <v>909</v>
      </c>
      <c r="E1004" s="1" t="s">
        <v>124</v>
      </c>
      <c r="F1004" s="1" t="s">
        <v>178</v>
      </c>
      <c r="H1004" s="1">
        <v>2012.0</v>
      </c>
      <c r="I1004" s="1" t="s">
        <v>861</v>
      </c>
    </row>
    <row r="1005">
      <c r="A1005" s="1">
        <v>1003.0</v>
      </c>
      <c r="B1005" s="1">
        <v>2.0</v>
      </c>
      <c r="C1005" s="1">
        <v>0.615797609463221</v>
      </c>
      <c r="D1005" s="1" t="s">
        <v>910</v>
      </c>
      <c r="E1005" s="1" t="s">
        <v>124</v>
      </c>
      <c r="F1005" s="1" t="s">
        <v>178</v>
      </c>
      <c r="H1005" s="1">
        <v>2012.0</v>
      </c>
      <c r="I1005" s="1" t="s">
        <v>861</v>
      </c>
    </row>
    <row r="1006">
      <c r="A1006" s="1">
        <v>1004.0</v>
      </c>
      <c r="B1006" s="1">
        <v>1.0</v>
      </c>
      <c r="C1006" s="1">
        <v>0.931941162025799</v>
      </c>
      <c r="D1006" s="1" t="s">
        <v>911</v>
      </c>
      <c r="E1006" s="1" t="s">
        <v>47</v>
      </c>
      <c r="F1006" s="1" t="s">
        <v>18</v>
      </c>
      <c r="H1006" s="1">
        <v>2023.0</v>
      </c>
      <c r="I1006" s="1" t="s">
        <v>861</v>
      </c>
    </row>
    <row r="1007">
      <c r="A1007" s="1">
        <v>1005.0</v>
      </c>
      <c r="B1007" s="1">
        <v>7.0</v>
      </c>
      <c r="C1007" s="1">
        <v>0.44969577621022</v>
      </c>
      <c r="D1007" s="1" t="s">
        <v>912</v>
      </c>
      <c r="E1007" s="1" t="s">
        <v>47</v>
      </c>
      <c r="F1007" s="1" t="s">
        <v>18</v>
      </c>
      <c r="H1007" s="1">
        <v>2023.0</v>
      </c>
      <c r="I1007" s="1" t="s">
        <v>861</v>
      </c>
    </row>
    <row r="1008">
      <c r="A1008" s="1">
        <v>1006.0</v>
      </c>
      <c r="B1008" s="1">
        <v>7.0</v>
      </c>
      <c r="C1008" s="1">
        <v>0.450494153575569</v>
      </c>
      <c r="D1008" s="1" t="s">
        <v>913</v>
      </c>
      <c r="E1008" s="1" t="s">
        <v>47</v>
      </c>
      <c r="F1008" s="1" t="s">
        <v>18</v>
      </c>
      <c r="H1008" s="1">
        <v>2023.0</v>
      </c>
      <c r="I1008" s="1" t="s">
        <v>861</v>
      </c>
    </row>
    <row r="1009">
      <c r="A1009" s="1">
        <v>1007.0</v>
      </c>
      <c r="B1009" s="1">
        <v>7.0</v>
      </c>
      <c r="C1009" s="1">
        <v>0.499521942902938</v>
      </c>
      <c r="D1009" s="1" t="s">
        <v>914</v>
      </c>
      <c r="E1009" s="1" t="s">
        <v>47</v>
      </c>
      <c r="F1009" s="1" t="s">
        <v>18</v>
      </c>
      <c r="H1009" s="1">
        <v>2023.0</v>
      </c>
      <c r="I1009" s="1" t="s">
        <v>861</v>
      </c>
    </row>
    <row r="1010">
      <c r="A1010" s="1">
        <v>1008.0</v>
      </c>
      <c r="B1010" s="1">
        <v>7.0</v>
      </c>
      <c r="C1010" s="1">
        <v>0.916158030952161</v>
      </c>
      <c r="D1010" s="1" t="s">
        <v>915</v>
      </c>
      <c r="E1010" s="1" t="s">
        <v>111</v>
      </c>
      <c r="F1010" s="1" t="s">
        <v>18</v>
      </c>
      <c r="G1010" s="1" t="s">
        <v>42</v>
      </c>
      <c r="H1010" s="1">
        <v>1998.0</v>
      </c>
      <c r="I1010" s="1" t="s">
        <v>861</v>
      </c>
    </row>
    <row r="1011">
      <c r="A1011" s="1">
        <v>1009.0</v>
      </c>
      <c r="B1011" s="1">
        <v>7.0</v>
      </c>
      <c r="C1011" s="1">
        <v>0.570797204765017</v>
      </c>
      <c r="D1011" s="1" t="s">
        <v>916</v>
      </c>
      <c r="E1011" s="1" t="s">
        <v>111</v>
      </c>
      <c r="F1011" s="1" t="s">
        <v>18</v>
      </c>
      <c r="G1011" s="1" t="s">
        <v>42</v>
      </c>
      <c r="H1011" s="1">
        <v>1998.0</v>
      </c>
      <c r="I1011" s="1" t="s">
        <v>861</v>
      </c>
    </row>
    <row r="1012">
      <c r="A1012" s="1">
        <v>1010.0</v>
      </c>
      <c r="B1012" s="1">
        <v>7.0</v>
      </c>
      <c r="C1012" s="1">
        <v>0.460470619597889</v>
      </c>
      <c r="D1012" s="1" t="s">
        <v>917</v>
      </c>
      <c r="E1012" s="1" t="s">
        <v>111</v>
      </c>
      <c r="F1012" s="1" t="s">
        <v>18</v>
      </c>
      <c r="G1012" s="1" t="s">
        <v>42</v>
      </c>
      <c r="H1012" s="1">
        <v>1998.0</v>
      </c>
      <c r="I1012" s="1" t="s">
        <v>861</v>
      </c>
    </row>
    <row r="1013">
      <c r="A1013" s="1">
        <v>1011.0</v>
      </c>
      <c r="B1013" s="1">
        <v>7.0</v>
      </c>
      <c r="C1013" s="1">
        <v>0.566058263056238</v>
      </c>
      <c r="D1013" s="1" t="s">
        <v>918</v>
      </c>
      <c r="E1013" s="1" t="s">
        <v>111</v>
      </c>
      <c r="F1013" s="1" t="s">
        <v>18</v>
      </c>
      <c r="G1013" s="1" t="s">
        <v>42</v>
      </c>
      <c r="H1013" s="1">
        <v>1998.0</v>
      </c>
      <c r="I1013" s="1" t="s">
        <v>861</v>
      </c>
    </row>
    <row r="1014">
      <c r="A1014" s="1">
        <v>1012.0</v>
      </c>
      <c r="B1014" s="1">
        <v>7.0</v>
      </c>
      <c r="C1014" s="1">
        <v>0.66411680923746</v>
      </c>
      <c r="D1014" s="1" t="s">
        <v>919</v>
      </c>
      <c r="E1014" s="1" t="s">
        <v>111</v>
      </c>
      <c r="F1014" s="1" t="s">
        <v>18</v>
      </c>
      <c r="G1014" s="1" t="s">
        <v>42</v>
      </c>
      <c r="H1014" s="1">
        <v>1998.0</v>
      </c>
      <c r="I1014" s="1" t="s">
        <v>861</v>
      </c>
    </row>
    <row r="1015">
      <c r="A1015" s="1">
        <v>1013.0</v>
      </c>
      <c r="B1015" s="1">
        <v>7.0</v>
      </c>
      <c r="C1015" s="1">
        <v>0.592778200056185</v>
      </c>
      <c r="D1015" s="1" t="s">
        <v>920</v>
      </c>
      <c r="E1015" s="1" t="s">
        <v>111</v>
      </c>
      <c r="F1015" s="1" t="s">
        <v>18</v>
      </c>
      <c r="G1015" s="1" t="s">
        <v>42</v>
      </c>
      <c r="H1015" s="1">
        <v>1998.0</v>
      </c>
      <c r="I1015" s="1" t="s">
        <v>861</v>
      </c>
    </row>
    <row r="1016">
      <c r="A1016" s="1">
        <v>1014.0</v>
      </c>
      <c r="B1016" s="1">
        <v>7.0</v>
      </c>
      <c r="C1016" s="1">
        <v>0.518029902104616</v>
      </c>
      <c r="D1016" s="1" t="s">
        <v>921</v>
      </c>
      <c r="E1016" s="1" t="s">
        <v>111</v>
      </c>
      <c r="F1016" s="1" t="s">
        <v>18</v>
      </c>
      <c r="G1016" s="1" t="s">
        <v>42</v>
      </c>
      <c r="H1016" s="1">
        <v>1998.0</v>
      </c>
      <c r="I1016" s="1" t="s">
        <v>861</v>
      </c>
    </row>
    <row r="1017">
      <c r="A1017" s="1">
        <v>1015.0</v>
      </c>
      <c r="B1017" s="1">
        <v>5.0</v>
      </c>
      <c r="C1017" s="1">
        <v>0.388409609445703</v>
      </c>
      <c r="D1017" s="1" t="s">
        <v>922</v>
      </c>
      <c r="E1017" s="1" t="s">
        <v>58</v>
      </c>
      <c r="F1017" s="1" t="s">
        <v>18</v>
      </c>
      <c r="G1017" s="1" t="s">
        <v>42</v>
      </c>
      <c r="H1017" s="1">
        <v>2024.0</v>
      </c>
      <c r="I1017" s="1" t="s">
        <v>861</v>
      </c>
    </row>
    <row r="1018">
      <c r="A1018" s="1">
        <v>1016.0</v>
      </c>
      <c r="B1018" s="1">
        <v>4.0</v>
      </c>
      <c r="C1018" s="1">
        <v>0.967855668777459</v>
      </c>
      <c r="D1018" s="1" t="s">
        <v>57</v>
      </c>
      <c r="E1018" s="1" t="s">
        <v>58</v>
      </c>
      <c r="F1018" s="1" t="s">
        <v>18</v>
      </c>
      <c r="G1018" s="1" t="s">
        <v>42</v>
      </c>
      <c r="H1018" s="1">
        <v>2024.0</v>
      </c>
      <c r="I1018" s="1" t="s">
        <v>861</v>
      </c>
    </row>
    <row r="1019">
      <c r="A1019" s="1">
        <v>1017.0</v>
      </c>
      <c r="B1019" s="1">
        <v>6.0</v>
      </c>
      <c r="C1019" s="1">
        <v>0.970966539379796</v>
      </c>
      <c r="D1019" s="1" t="s">
        <v>60</v>
      </c>
      <c r="E1019" s="1" t="s">
        <v>58</v>
      </c>
      <c r="F1019" s="1" t="s">
        <v>18</v>
      </c>
      <c r="G1019" s="1" t="s">
        <v>42</v>
      </c>
      <c r="H1019" s="1">
        <v>2024.0</v>
      </c>
      <c r="I1019" s="1" t="s">
        <v>861</v>
      </c>
    </row>
    <row r="1020">
      <c r="A1020" s="1">
        <v>1018.0</v>
      </c>
      <c r="B1020" s="1">
        <v>1.0</v>
      </c>
      <c r="C1020" s="1">
        <v>0.963998528194658</v>
      </c>
      <c r="D1020" s="1" t="s">
        <v>923</v>
      </c>
      <c r="E1020" s="1" t="s">
        <v>58</v>
      </c>
      <c r="F1020" s="1" t="s">
        <v>18</v>
      </c>
      <c r="G1020" s="1" t="s">
        <v>42</v>
      </c>
      <c r="H1020" s="1">
        <v>2024.0</v>
      </c>
      <c r="I1020" s="1" t="s">
        <v>861</v>
      </c>
    </row>
    <row r="1021">
      <c r="A1021" s="1">
        <v>1019.0</v>
      </c>
      <c r="B1021" s="1">
        <v>5.0</v>
      </c>
      <c r="C1021" s="1">
        <v>0.58731531358197</v>
      </c>
      <c r="D1021" s="1" t="s">
        <v>924</v>
      </c>
      <c r="E1021" s="1" t="s">
        <v>24</v>
      </c>
      <c r="F1021" s="1" t="s">
        <v>18</v>
      </c>
      <c r="G1021" s="1" t="s">
        <v>42</v>
      </c>
      <c r="H1021" s="1">
        <v>2023.0</v>
      </c>
      <c r="I1021" s="1" t="s">
        <v>861</v>
      </c>
    </row>
    <row r="1022">
      <c r="A1022" s="1">
        <v>1020.0</v>
      </c>
      <c r="B1022" s="1">
        <v>5.0</v>
      </c>
      <c r="C1022" s="1">
        <v>0.842050857459309</v>
      </c>
      <c r="D1022" s="1" t="s">
        <v>925</v>
      </c>
      <c r="E1022" s="1" t="s">
        <v>24</v>
      </c>
      <c r="F1022" s="1" t="s">
        <v>18</v>
      </c>
      <c r="G1022" s="1" t="s">
        <v>42</v>
      </c>
      <c r="H1022" s="1">
        <v>2023.0</v>
      </c>
      <c r="I1022" s="1" t="s">
        <v>861</v>
      </c>
    </row>
    <row r="1023">
      <c r="A1023" s="1">
        <v>1021.0</v>
      </c>
      <c r="B1023" s="1">
        <v>5.0</v>
      </c>
      <c r="C1023" s="1">
        <v>0.806017435230047</v>
      </c>
      <c r="D1023" s="1" t="s">
        <v>926</v>
      </c>
      <c r="E1023" s="1" t="s">
        <v>24</v>
      </c>
      <c r="F1023" s="1" t="s">
        <v>18</v>
      </c>
      <c r="G1023" s="1" t="s">
        <v>42</v>
      </c>
      <c r="H1023" s="1">
        <v>2023.0</v>
      </c>
      <c r="I1023" s="1" t="s">
        <v>861</v>
      </c>
    </row>
    <row r="1024">
      <c r="A1024" s="1">
        <v>1022.0</v>
      </c>
      <c r="B1024" s="1">
        <v>5.0</v>
      </c>
      <c r="C1024" s="1">
        <v>0.532906412443356</v>
      </c>
      <c r="D1024" s="1" t="s">
        <v>927</v>
      </c>
      <c r="E1024" s="1" t="s">
        <v>24</v>
      </c>
      <c r="F1024" s="1" t="s">
        <v>18</v>
      </c>
      <c r="G1024" s="1" t="s">
        <v>42</v>
      </c>
      <c r="H1024" s="1">
        <v>2023.0</v>
      </c>
      <c r="I1024" s="1" t="s">
        <v>861</v>
      </c>
    </row>
    <row r="1025">
      <c r="A1025" s="1">
        <v>1023.0</v>
      </c>
      <c r="B1025" s="1">
        <v>5.0</v>
      </c>
      <c r="C1025" s="1">
        <v>0.826385236195113</v>
      </c>
      <c r="D1025" s="1" t="s">
        <v>928</v>
      </c>
      <c r="E1025" s="1" t="s">
        <v>24</v>
      </c>
      <c r="F1025" s="1" t="s">
        <v>18</v>
      </c>
      <c r="G1025" s="1" t="s">
        <v>42</v>
      </c>
      <c r="H1025" s="1">
        <v>2023.0</v>
      </c>
      <c r="I1025" s="1" t="s">
        <v>861</v>
      </c>
    </row>
    <row r="1026">
      <c r="A1026" s="1">
        <v>1024.0</v>
      </c>
      <c r="B1026" s="1">
        <v>5.0</v>
      </c>
      <c r="C1026" s="1">
        <v>0.640751076233663</v>
      </c>
      <c r="D1026" s="1" t="s">
        <v>929</v>
      </c>
      <c r="E1026" s="1" t="s">
        <v>24</v>
      </c>
      <c r="F1026" s="1" t="s">
        <v>18</v>
      </c>
      <c r="G1026" s="1" t="s">
        <v>42</v>
      </c>
      <c r="H1026" s="1">
        <v>2023.0</v>
      </c>
      <c r="I1026" s="1" t="s">
        <v>861</v>
      </c>
    </row>
    <row r="1027">
      <c r="A1027" s="1">
        <v>1025.0</v>
      </c>
      <c r="B1027" s="1">
        <v>5.0</v>
      </c>
      <c r="C1027" s="1">
        <v>0.883453162634442</v>
      </c>
      <c r="D1027" s="1" t="s">
        <v>930</v>
      </c>
      <c r="E1027" s="1" t="s">
        <v>24</v>
      </c>
      <c r="F1027" s="1" t="s">
        <v>18</v>
      </c>
      <c r="G1027" s="1" t="s">
        <v>42</v>
      </c>
      <c r="H1027" s="1">
        <v>2023.0</v>
      </c>
      <c r="I1027" s="1" t="s">
        <v>861</v>
      </c>
    </row>
    <row r="1028">
      <c r="A1028" s="1">
        <v>1026.0</v>
      </c>
      <c r="B1028" s="1">
        <v>9.0</v>
      </c>
      <c r="C1028" s="1">
        <v>0.76318774636401</v>
      </c>
      <c r="D1028" s="1" t="s">
        <v>931</v>
      </c>
      <c r="E1028" s="1" t="s">
        <v>124</v>
      </c>
      <c r="F1028" s="1" t="s">
        <v>178</v>
      </c>
      <c r="H1028" s="1">
        <v>2012.0</v>
      </c>
      <c r="I1028" s="1" t="s">
        <v>861</v>
      </c>
    </row>
    <row r="1029">
      <c r="A1029" s="1">
        <v>1027.0</v>
      </c>
      <c r="B1029" s="1">
        <v>9.0</v>
      </c>
      <c r="C1029" s="1">
        <v>0.25439251704911</v>
      </c>
      <c r="D1029" s="1" t="s">
        <v>932</v>
      </c>
      <c r="E1029" s="1" t="s">
        <v>124</v>
      </c>
      <c r="F1029" s="1" t="s">
        <v>178</v>
      </c>
      <c r="H1029" s="1">
        <v>2012.0</v>
      </c>
      <c r="I1029" s="1" t="s">
        <v>861</v>
      </c>
    </row>
    <row r="1030">
      <c r="A1030" s="1">
        <v>1028.0</v>
      </c>
      <c r="B1030" s="1">
        <v>10.0</v>
      </c>
      <c r="C1030" s="1">
        <v>0.436649154787403</v>
      </c>
      <c r="D1030" s="1" t="s">
        <v>933</v>
      </c>
      <c r="E1030" s="1" t="s">
        <v>124</v>
      </c>
      <c r="F1030" s="1" t="s">
        <v>178</v>
      </c>
      <c r="H1030" s="1">
        <v>2012.0</v>
      </c>
      <c r="I1030" s="1" t="s">
        <v>861</v>
      </c>
    </row>
    <row r="1031">
      <c r="A1031" s="1">
        <v>1029.0</v>
      </c>
      <c r="B1031" s="1">
        <v>5.0</v>
      </c>
      <c r="C1031" s="1">
        <v>0.520273732268805</v>
      </c>
      <c r="D1031" s="1" t="s">
        <v>934</v>
      </c>
      <c r="E1031" s="1" t="s">
        <v>124</v>
      </c>
      <c r="F1031" s="1" t="s">
        <v>178</v>
      </c>
      <c r="H1031" s="1">
        <v>2012.0</v>
      </c>
      <c r="I1031" s="1" t="s">
        <v>861</v>
      </c>
    </row>
    <row r="1032">
      <c r="A1032" s="1">
        <v>1030.0</v>
      </c>
      <c r="B1032" s="1">
        <v>5.0</v>
      </c>
      <c r="C1032" s="1">
        <v>0.472674071548225</v>
      </c>
      <c r="D1032" s="1" t="s">
        <v>935</v>
      </c>
      <c r="E1032" s="1" t="s">
        <v>124</v>
      </c>
      <c r="F1032" s="1" t="s">
        <v>178</v>
      </c>
      <c r="H1032" s="1">
        <v>2012.0</v>
      </c>
      <c r="I1032" s="1" t="s">
        <v>861</v>
      </c>
    </row>
    <row r="1033">
      <c r="A1033" s="1">
        <v>1031.0</v>
      </c>
      <c r="B1033" s="1">
        <v>7.0</v>
      </c>
      <c r="C1033" s="1">
        <v>0.830857564240331</v>
      </c>
      <c r="D1033" s="1" t="s">
        <v>936</v>
      </c>
      <c r="E1033" s="1" t="s">
        <v>124</v>
      </c>
      <c r="F1033" s="1" t="s">
        <v>178</v>
      </c>
      <c r="H1033" s="1">
        <v>2012.0</v>
      </c>
      <c r="I1033" s="1" t="s">
        <v>861</v>
      </c>
    </row>
    <row r="1034">
      <c r="A1034" s="1">
        <v>1032.0</v>
      </c>
      <c r="B1034" s="1">
        <v>2.0</v>
      </c>
      <c r="C1034" s="1">
        <v>0.909681799579806</v>
      </c>
      <c r="D1034" s="1" t="s">
        <v>937</v>
      </c>
      <c r="E1034" s="1" t="s">
        <v>124</v>
      </c>
      <c r="F1034" s="1" t="s">
        <v>178</v>
      </c>
      <c r="H1034" s="1">
        <v>2012.0</v>
      </c>
      <c r="I1034" s="1" t="s">
        <v>861</v>
      </c>
    </row>
    <row r="1035">
      <c r="A1035" s="1">
        <v>1033.0</v>
      </c>
      <c r="B1035" s="1">
        <v>7.0</v>
      </c>
      <c r="C1035" s="1">
        <v>0.83086026469811</v>
      </c>
      <c r="D1035" s="1" t="s">
        <v>938</v>
      </c>
      <c r="E1035" s="1" t="s">
        <v>124</v>
      </c>
      <c r="F1035" s="1" t="s">
        <v>178</v>
      </c>
      <c r="H1035" s="1">
        <v>2012.0</v>
      </c>
      <c r="I1035" s="1" t="s">
        <v>861</v>
      </c>
    </row>
    <row r="1036">
      <c r="A1036" s="1">
        <v>1034.0</v>
      </c>
      <c r="B1036" s="1">
        <v>2.0</v>
      </c>
      <c r="C1036" s="1">
        <v>0.909683046190977</v>
      </c>
      <c r="D1036" s="1" t="s">
        <v>939</v>
      </c>
      <c r="E1036" s="1" t="s">
        <v>124</v>
      </c>
      <c r="F1036" s="1" t="s">
        <v>178</v>
      </c>
      <c r="H1036" s="1">
        <v>2012.0</v>
      </c>
      <c r="I1036" s="1" t="s">
        <v>861</v>
      </c>
    </row>
    <row r="1037">
      <c r="A1037" s="1">
        <v>1035.0</v>
      </c>
      <c r="B1037" s="1">
        <v>7.0</v>
      </c>
      <c r="C1037" s="1">
        <v>0.755559627138191</v>
      </c>
      <c r="D1037" s="1" t="s">
        <v>940</v>
      </c>
      <c r="E1037" s="1" t="s">
        <v>124</v>
      </c>
      <c r="F1037" s="1" t="s">
        <v>178</v>
      </c>
      <c r="H1037" s="1">
        <v>2012.0</v>
      </c>
      <c r="I1037" s="1" t="s">
        <v>861</v>
      </c>
    </row>
    <row r="1038">
      <c r="A1038" s="1">
        <v>1036.0</v>
      </c>
      <c r="B1038" s="1">
        <v>7.0</v>
      </c>
      <c r="C1038" s="1">
        <v>0.717852503025972</v>
      </c>
      <c r="D1038" s="1" t="s">
        <v>941</v>
      </c>
      <c r="E1038" s="1" t="s">
        <v>124</v>
      </c>
      <c r="F1038" s="1" t="s">
        <v>178</v>
      </c>
      <c r="H1038" s="1">
        <v>2012.0</v>
      </c>
      <c r="I1038" s="1" t="s">
        <v>861</v>
      </c>
    </row>
    <row r="1039">
      <c r="A1039" s="1">
        <v>1037.0</v>
      </c>
      <c r="B1039" s="1">
        <v>7.0</v>
      </c>
      <c r="C1039" s="1">
        <v>0.75556661349245</v>
      </c>
      <c r="D1039" s="1" t="s">
        <v>942</v>
      </c>
      <c r="E1039" s="1" t="s">
        <v>124</v>
      </c>
      <c r="F1039" s="1" t="s">
        <v>178</v>
      </c>
      <c r="H1039" s="1">
        <v>2012.0</v>
      </c>
      <c r="I1039" s="1" t="s">
        <v>861</v>
      </c>
    </row>
    <row r="1040">
      <c r="A1040" s="1">
        <v>1038.0</v>
      </c>
      <c r="B1040" s="1">
        <v>7.0</v>
      </c>
      <c r="C1040" s="1">
        <v>0.717837801985014</v>
      </c>
      <c r="D1040" s="1" t="s">
        <v>943</v>
      </c>
      <c r="E1040" s="1" t="s">
        <v>124</v>
      </c>
      <c r="F1040" s="1" t="s">
        <v>178</v>
      </c>
      <c r="H1040" s="1">
        <v>2012.0</v>
      </c>
      <c r="I1040" s="1" t="s">
        <v>861</v>
      </c>
    </row>
    <row r="1041">
      <c r="A1041" s="1">
        <v>1039.0</v>
      </c>
      <c r="B1041" s="1">
        <v>2.0</v>
      </c>
      <c r="C1041" s="1">
        <v>0.887589131709919</v>
      </c>
      <c r="D1041" s="1" t="s">
        <v>229</v>
      </c>
      <c r="E1041" s="1" t="s">
        <v>111</v>
      </c>
      <c r="G1041" s="1" t="s">
        <v>11</v>
      </c>
      <c r="H1041" s="1">
        <v>2021.0</v>
      </c>
      <c r="I1041" s="1" t="s">
        <v>861</v>
      </c>
    </row>
    <row r="1042">
      <c r="A1042" s="1">
        <v>1040.0</v>
      </c>
      <c r="B1042" s="1">
        <v>2.0</v>
      </c>
      <c r="C1042" s="1">
        <v>0.66257296038152</v>
      </c>
      <c r="D1042" s="1" t="s">
        <v>944</v>
      </c>
      <c r="E1042" s="1" t="s">
        <v>111</v>
      </c>
      <c r="G1042" s="1" t="s">
        <v>11</v>
      </c>
      <c r="H1042" s="1">
        <v>2021.0</v>
      </c>
      <c r="I1042" s="1" t="s">
        <v>861</v>
      </c>
    </row>
    <row r="1043">
      <c r="A1043" s="1">
        <v>1041.0</v>
      </c>
      <c r="B1043" s="1">
        <v>2.0</v>
      </c>
      <c r="C1043" s="1">
        <v>0.767953065851148</v>
      </c>
      <c r="D1043" s="1" t="s">
        <v>945</v>
      </c>
      <c r="E1043" s="1" t="s">
        <v>111</v>
      </c>
      <c r="G1043" s="1" t="s">
        <v>11</v>
      </c>
      <c r="H1043" s="1">
        <v>2021.0</v>
      </c>
      <c r="I1043" s="1" t="s">
        <v>861</v>
      </c>
    </row>
    <row r="1044">
      <c r="A1044" s="1">
        <v>1042.0</v>
      </c>
      <c r="B1044" s="1">
        <v>7.0</v>
      </c>
      <c r="C1044" s="1">
        <v>0.65585603157114</v>
      </c>
      <c r="D1044" s="1" t="s">
        <v>946</v>
      </c>
      <c r="E1044" s="1" t="s">
        <v>111</v>
      </c>
      <c r="G1044" s="1" t="s">
        <v>11</v>
      </c>
      <c r="H1044" s="1">
        <v>2021.0</v>
      </c>
      <c r="I1044" s="1" t="s">
        <v>861</v>
      </c>
    </row>
    <row r="1045">
      <c r="A1045" s="1">
        <v>1043.0</v>
      </c>
      <c r="B1045" s="1">
        <v>2.0</v>
      </c>
      <c r="C1045" s="1">
        <v>0.621822235563867</v>
      </c>
      <c r="D1045" s="1" t="s">
        <v>947</v>
      </c>
      <c r="E1045" s="1" t="s">
        <v>10</v>
      </c>
      <c r="F1045" s="1" t="s">
        <v>18</v>
      </c>
      <c r="G1045" s="1" t="s">
        <v>42</v>
      </c>
      <c r="H1045" s="1">
        <v>2014.0</v>
      </c>
      <c r="I1045" s="1" t="s">
        <v>861</v>
      </c>
    </row>
    <row r="1046">
      <c r="A1046" s="1">
        <v>1044.0</v>
      </c>
      <c r="B1046" s="1">
        <v>8.0</v>
      </c>
      <c r="C1046" s="1">
        <v>0.965382380003489</v>
      </c>
      <c r="D1046" s="1" t="s">
        <v>948</v>
      </c>
      <c r="E1046" s="1" t="s">
        <v>50</v>
      </c>
      <c r="G1046" s="1" t="s">
        <v>26</v>
      </c>
      <c r="I1046" s="1" t="s">
        <v>861</v>
      </c>
    </row>
    <row r="1047">
      <c r="A1047" s="1">
        <v>1045.0</v>
      </c>
      <c r="B1047" s="1">
        <v>5.0</v>
      </c>
      <c r="C1047" s="1">
        <v>0.463162325745642</v>
      </c>
      <c r="D1047" s="1" t="s">
        <v>949</v>
      </c>
      <c r="E1047" s="1" t="s">
        <v>124</v>
      </c>
      <c r="F1047" s="1" t="s">
        <v>178</v>
      </c>
      <c r="H1047" s="1">
        <v>2012.0</v>
      </c>
      <c r="I1047" s="1" t="s">
        <v>861</v>
      </c>
    </row>
    <row r="1048">
      <c r="A1048" s="1">
        <v>1046.0</v>
      </c>
      <c r="B1048" s="1">
        <v>2.0</v>
      </c>
      <c r="C1048" s="1">
        <v>0.765631205727707</v>
      </c>
      <c r="D1048" s="1" t="s">
        <v>950</v>
      </c>
      <c r="E1048" s="1" t="s">
        <v>124</v>
      </c>
      <c r="F1048" s="1" t="s">
        <v>178</v>
      </c>
      <c r="H1048" s="1">
        <v>2012.0</v>
      </c>
      <c r="I1048" s="1" t="s">
        <v>861</v>
      </c>
    </row>
    <row r="1049">
      <c r="A1049" s="1">
        <v>1047.0</v>
      </c>
      <c r="B1049" s="1">
        <v>4.0</v>
      </c>
      <c r="C1049" s="1">
        <v>0.399854617746962</v>
      </c>
      <c r="D1049" s="1" t="s">
        <v>951</v>
      </c>
      <c r="E1049" s="1" t="s">
        <v>20</v>
      </c>
      <c r="F1049" s="1" t="s">
        <v>97</v>
      </c>
      <c r="G1049" s="1" t="s">
        <v>11</v>
      </c>
      <c r="H1049" s="1">
        <v>2020.0</v>
      </c>
      <c r="I1049" s="1" t="s">
        <v>861</v>
      </c>
    </row>
    <row r="1050">
      <c r="A1050" s="1">
        <v>1048.0</v>
      </c>
      <c r="B1050" s="1">
        <v>7.0</v>
      </c>
      <c r="C1050" s="1">
        <v>0.404343642877832</v>
      </c>
      <c r="D1050" s="1" t="s">
        <v>952</v>
      </c>
      <c r="E1050" s="1" t="s">
        <v>20</v>
      </c>
      <c r="F1050" s="1" t="s">
        <v>97</v>
      </c>
      <c r="G1050" s="1" t="s">
        <v>11</v>
      </c>
      <c r="H1050" s="1">
        <v>2020.0</v>
      </c>
      <c r="I1050" s="1" t="s">
        <v>861</v>
      </c>
    </row>
    <row r="1051">
      <c r="A1051" s="1">
        <v>1049.0</v>
      </c>
      <c r="B1051" s="1">
        <v>7.0</v>
      </c>
      <c r="C1051" s="1">
        <v>0.325434192618929</v>
      </c>
      <c r="D1051" s="1" t="s">
        <v>953</v>
      </c>
      <c r="E1051" s="1" t="s">
        <v>20</v>
      </c>
      <c r="F1051" s="1" t="s">
        <v>97</v>
      </c>
      <c r="G1051" s="1" t="s">
        <v>11</v>
      </c>
      <c r="H1051" s="1">
        <v>2020.0</v>
      </c>
      <c r="I1051" s="1" t="s">
        <v>861</v>
      </c>
    </row>
    <row r="1052">
      <c r="A1052" s="1">
        <v>1050.0</v>
      </c>
      <c r="B1052" s="1">
        <v>2.0</v>
      </c>
      <c r="C1052" s="1">
        <v>0.280200816563645</v>
      </c>
      <c r="D1052" s="1" t="s">
        <v>954</v>
      </c>
      <c r="E1052" s="1" t="s">
        <v>20</v>
      </c>
      <c r="F1052" s="1" t="s">
        <v>97</v>
      </c>
      <c r="G1052" s="1" t="s">
        <v>11</v>
      </c>
      <c r="H1052" s="1">
        <v>2020.0</v>
      </c>
      <c r="I1052" s="1" t="s">
        <v>861</v>
      </c>
    </row>
    <row r="1053">
      <c r="A1053" s="1">
        <v>1051.0</v>
      </c>
      <c r="B1053" s="1">
        <v>2.0</v>
      </c>
      <c r="C1053" s="1">
        <v>0.39195087888371</v>
      </c>
      <c r="D1053" s="1" t="s">
        <v>955</v>
      </c>
      <c r="E1053" s="1" t="s">
        <v>20</v>
      </c>
      <c r="F1053" s="1" t="s">
        <v>97</v>
      </c>
      <c r="G1053" s="1" t="s">
        <v>11</v>
      </c>
      <c r="H1053" s="1">
        <v>2020.0</v>
      </c>
      <c r="I1053" s="1" t="s">
        <v>861</v>
      </c>
    </row>
    <row r="1054">
      <c r="A1054" s="1">
        <v>1052.0</v>
      </c>
      <c r="B1054" s="1">
        <v>2.0</v>
      </c>
      <c r="C1054" s="1">
        <v>0.549227197993939</v>
      </c>
      <c r="D1054" s="1" t="s">
        <v>956</v>
      </c>
      <c r="E1054" s="1" t="s">
        <v>20</v>
      </c>
      <c r="F1054" s="1" t="s">
        <v>97</v>
      </c>
      <c r="G1054" s="1" t="s">
        <v>11</v>
      </c>
      <c r="H1054" s="1">
        <v>2020.0</v>
      </c>
      <c r="I1054" s="1" t="s">
        <v>861</v>
      </c>
    </row>
    <row r="1055">
      <c r="A1055" s="1">
        <v>1053.0</v>
      </c>
      <c r="B1055" s="1">
        <v>2.0</v>
      </c>
      <c r="C1055" s="1">
        <v>0.733828759120503</v>
      </c>
      <c r="D1055" s="1" t="s">
        <v>957</v>
      </c>
      <c r="E1055" s="1" t="s">
        <v>20</v>
      </c>
      <c r="F1055" s="1" t="s">
        <v>97</v>
      </c>
      <c r="G1055" s="1" t="s">
        <v>11</v>
      </c>
      <c r="H1055" s="1">
        <v>2020.0</v>
      </c>
      <c r="I1055" s="1" t="s">
        <v>861</v>
      </c>
    </row>
    <row r="1056">
      <c r="A1056" s="1">
        <v>1054.0</v>
      </c>
      <c r="B1056" s="1">
        <v>7.0</v>
      </c>
      <c r="C1056" s="1">
        <v>0.313234059712019</v>
      </c>
      <c r="D1056" s="1" t="s">
        <v>958</v>
      </c>
      <c r="E1056" s="1" t="s">
        <v>24</v>
      </c>
      <c r="F1056" s="1" t="s">
        <v>197</v>
      </c>
      <c r="G1056" s="1" t="s">
        <v>609</v>
      </c>
      <c r="H1056" s="1">
        <v>2022.0</v>
      </c>
      <c r="I1056" s="1" t="s">
        <v>861</v>
      </c>
    </row>
    <row r="1057">
      <c r="A1057" s="1">
        <v>1055.0</v>
      </c>
      <c r="B1057" s="1">
        <v>2.0</v>
      </c>
      <c r="C1057" s="1">
        <v>0.785740073975923</v>
      </c>
      <c r="D1057" s="1" t="s">
        <v>959</v>
      </c>
      <c r="E1057" s="1" t="s">
        <v>24</v>
      </c>
      <c r="F1057" s="1" t="s">
        <v>197</v>
      </c>
      <c r="G1057" s="1" t="s">
        <v>609</v>
      </c>
      <c r="H1057" s="1">
        <v>2022.0</v>
      </c>
      <c r="I1057" s="1" t="s">
        <v>861</v>
      </c>
    </row>
    <row r="1058">
      <c r="A1058" s="1">
        <v>1056.0</v>
      </c>
      <c r="B1058" s="1">
        <v>2.0</v>
      </c>
      <c r="C1058" s="1">
        <v>0.401843665504682</v>
      </c>
      <c r="D1058" s="1" t="s">
        <v>960</v>
      </c>
      <c r="E1058" s="1" t="s">
        <v>24</v>
      </c>
      <c r="F1058" s="1" t="s">
        <v>197</v>
      </c>
      <c r="G1058" s="1" t="s">
        <v>609</v>
      </c>
      <c r="H1058" s="1">
        <v>2022.0</v>
      </c>
      <c r="I1058" s="1" t="s">
        <v>861</v>
      </c>
    </row>
    <row r="1059">
      <c r="A1059" s="1">
        <v>1057.0</v>
      </c>
      <c r="B1059" s="1">
        <v>5.0</v>
      </c>
      <c r="C1059" s="1">
        <v>0.236437235104124</v>
      </c>
      <c r="D1059" s="1" t="s">
        <v>961</v>
      </c>
      <c r="E1059" s="1" t="s">
        <v>124</v>
      </c>
      <c r="F1059" s="1" t="s">
        <v>18</v>
      </c>
      <c r="H1059" s="1">
        <v>2012.0</v>
      </c>
      <c r="I1059" s="1" t="s">
        <v>861</v>
      </c>
    </row>
    <row r="1060">
      <c r="A1060" s="1">
        <v>1058.0</v>
      </c>
      <c r="B1060" s="1">
        <v>1.0</v>
      </c>
      <c r="C1060" s="1">
        <v>0.407616545608774</v>
      </c>
      <c r="D1060" s="1" t="s">
        <v>962</v>
      </c>
      <c r="H1060" s="1">
        <v>2005.0</v>
      </c>
      <c r="I1060" s="1" t="s">
        <v>861</v>
      </c>
    </row>
    <row r="1061">
      <c r="A1061" s="1">
        <v>1059.0</v>
      </c>
      <c r="B1061" s="1">
        <v>7.0</v>
      </c>
      <c r="C1061" s="1">
        <v>0.287175107548399</v>
      </c>
      <c r="D1061" s="1" t="s">
        <v>963</v>
      </c>
      <c r="H1061" s="1">
        <v>2005.0</v>
      </c>
      <c r="I1061" s="1" t="s">
        <v>861</v>
      </c>
    </row>
    <row r="1062">
      <c r="A1062" s="1">
        <v>1060.0</v>
      </c>
      <c r="B1062" s="1">
        <v>5.0</v>
      </c>
      <c r="C1062" s="1">
        <v>0.329428664956099</v>
      </c>
      <c r="D1062" s="1" t="s">
        <v>964</v>
      </c>
      <c r="H1062" s="1">
        <v>2005.0</v>
      </c>
      <c r="I1062" s="1" t="s">
        <v>861</v>
      </c>
    </row>
    <row r="1063">
      <c r="A1063" s="1">
        <v>1061.0</v>
      </c>
      <c r="B1063" s="1">
        <v>5.0</v>
      </c>
      <c r="C1063" s="1">
        <v>0.326385427874341</v>
      </c>
      <c r="D1063" s="1" t="s">
        <v>965</v>
      </c>
      <c r="H1063" s="1">
        <v>2005.0</v>
      </c>
      <c r="I1063" s="1" t="s">
        <v>861</v>
      </c>
    </row>
    <row r="1064">
      <c r="A1064" s="1">
        <v>1062.0</v>
      </c>
      <c r="B1064" s="1">
        <v>9.0</v>
      </c>
      <c r="C1064" s="1">
        <v>0.250196369012785</v>
      </c>
      <c r="D1064" s="1" t="s">
        <v>966</v>
      </c>
      <c r="H1064" s="1">
        <v>2005.0</v>
      </c>
      <c r="I1064" s="1" t="s">
        <v>861</v>
      </c>
    </row>
    <row r="1065">
      <c r="A1065" s="1">
        <v>1063.0</v>
      </c>
      <c r="B1065" s="1">
        <v>7.0</v>
      </c>
      <c r="C1065" s="1">
        <v>0.567875621212386</v>
      </c>
      <c r="D1065" s="1" t="s">
        <v>967</v>
      </c>
      <c r="H1065" s="1">
        <v>2005.0</v>
      </c>
      <c r="I1065" s="1" t="s">
        <v>861</v>
      </c>
    </row>
    <row r="1066">
      <c r="A1066" s="1">
        <v>1064.0</v>
      </c>
      <c r="B1066" s="1">
        <v>7.0</v>
      </c>
      <c r="C1066" s="1">
        <v>0.555819074245277</v>
      </c>
      <c r="D1066" s="1" t="s">
        <v>968</v>
      </c>
      <c r="H1066" s="1">
        <v>2005.0</v>
      </c>
      <c r="I1066" s="1" t="s">
        <v>861</v>
      </c>
    </row>
    <row r="1067">
      <c r="A1067" s="1">
        <v>1065.0</v>
      </c>
      <c r="B1067" s="1">
        <v>7.0</v>
      </c>
      <c r="C1067" s="1">
        <v>0.449337176305594</v>
      </c>
      <c r="D1067" s="1" t="s">
        <v>969</v>
      </c>
      <c r="H1067" s="1">
        <v>2005.0</v>
      </c>
      <c r="I1067" s="1" t="s">
        <v>861</v>
      </c>
    </row>
    <row r="1068">
      <c r="A1068" s="1">
        <v>1066.0</v>
      </c>
      <c r="B1068" s="1">
        <v>2.0</v>
      </c>
      <c r="C1068" s="1">
        <v>0.854891702235331</v>
      </c>
      <c r="D1068" s="1" t="s">
        <v>970</v>
      </c>
      <c r="H1068" s="1">
        <v>2005.0</v>
      </c>
      <c r="I1068" s="1" t="s">
        <v>861</v>
      </c>
    </row>
    <row r="1069">
      <c r="A1069" s="1">
        <v>1067.0</v>
      </c>
      <c r="B1069" s="1">
        <v>2.0</v>
      </c>
      <c r="C1069" s="1">
        <v>0.512637506777028</v>
      </c>
      <c r="D1069" s="1" t="s">
        <v>971</v>
      </c>
      <c r="E1069" s="1" t="s">
        <v>17</v>
      </c>
      <c r="F1069" s="1" t="s">
        <v>18</v>
      </c>
      <c r="G1069" s="1">
        <v>13.0</v>
      </c>
      <c r="H1069" s="1">
        <v>2023.0</v>
      </c>
      <c r="I1069" s="1" t="s">
        <v>861</v>
      </c>
    </row>
    <row r="1070">
      <c r="A1070" s="1">
        <v>1068.0</v>
      </c>
      <c r="B1070" s="1">
        <v>9.0</v>
      </c>
      <c r="C1070" s="1">
        <v>0.359518527585682</v>
      </c>
      <c r="D1070" s="1" t="s">
        <v>972</v>
      </c>
      <c r="E1070" s="1" t="s">
        <v>24</v>
      </c>
      <c r="F1070" s="1" t="s">
        <v>197</v>
      </c>
      <c r="G1070" s="1" t="s">
        <v>609</v>
      </c>
      <c r="H1070" s="1">
        <v>2015.0</v>
      </c>
      <c r="I1070" s="1" t="s">
        <v>861</v>
      </c>
    </row>
    <row r="1071">
      <c r="A1071" s="1">
        <v>1069.0</v>
      </c>
      <c r="B1071" s="1">
        <v>2.0</v>
      </c>
      <c r="C1071" s="1">
        <v>0.725313255786301</v>
      </c>
      <c r="D1071" s="1" t="s">
        <v>973</v>
      </c>
      <c r="E1071" s="1" t="s">
        <v>24</v>
      </c>
      <c r="F1071" s="1" t="s">
        <v>197</v>
      </c>
      <c r="G1071" s="1" t="s">
        <v>609</v>
      </c>
      <c r="H1071" s="1">
        <v>2015.0</v>
      </c>
      <c r="I1071" s="1" t="s">
        <v>861</v>
      </c>
    </row>
    <row r="1072">
      <c r="A1072" s="1">
        <v>1070.0</v>
      </c>
      <c r="B1072" s="1">
        <v>7.0</v>
      </c>
      <c r="C1072" s="1">
        <v>0.401246179868547</v>
      </c>
      <c r="D1072" s="1" t="s">
        <v>974</v>
      </c>
      <c r="E1072" s="1" t="s">
        <v>111</v>
      </c>
      <c r="G1072" s="1" t="s">
        <v>11</v>
      </c>
      <c r="H1072" s="1">
        <v>2022.0</v>
      </c>
      <c r="I1072" s="1" t="s">
        <v>861</v>
      </c>
    </row>
    <row r="1073">
      <c r="A1073" s="1">
        <v>1071.0</v>
      </c>
      <c r="B1073" s="1">
        <v>2.0</v>
      </c>
      <c r="C1073" s="1">
        <v>0.494002400373774</v>
      </c>
      <c r="D1073" s="1" t="s">
        <v>975</v>
      </c>
      <c r="E1073" s="1" t="s">
        <v>111</v>
      </c>
      <c r="G1073" s="1" t="s">
        <v>11</v>
      </c>
      <c r="H1073" s="1">
        <v>2022.0</v>
      </c>
      <c r="I1073" s="1" t="s">
        <v>861</v>
      </c>
    </row>
    <row r="1074">
      <c r="A1074" s="1">
        <v>1072.0</v>
      </c>
      <c r="B1074" s="1">
        <v>7.0</v>
      </c>
      <c r="C1074" s="1">
        <v>0.433442249763719</v>
      </c>
      <c r="D1074" s="1" t="s">
        <v>976</v>
      </c>
      <c r="E1074" s="1" t="s">
        <v>111</v>
      </c>
      <c r="G1074" s="1" t="s">
        <v>11</v>
      </c>
      <c r="H1074" s="1">
        <v>2022.0</v>
      </c>
      <c r="I1074" s="1" t="s">
        <v>861</v>
      </c>
    </row>
    <row r="1075">
      <c r="A1075" s="1">
        <v>1073.0</v>
      </c>
      <c r="B1075" s="1">
        <v>7.0</v>
      </c>
      <c r="C1075" s="1">
        <v>0.464829941752889</v>
      </c>
      <c r="D1075" s="1" t="s">
        <v>977</v>
      </c>
      <c r="E1075" s="1" t="s">
        <v>111</v>
      </c>
      <c r="G1075" s="1" t="s">
        <v>11</v>
      </c>
      <c r="H1075" s="1">
        <v>2022.0</v>
      </c>
      <c r="I1075" s="1" t="s">
        <v>861</v>
      </c>
    </row>
    <row r="1076">
      <c r="A1076" s="1">
        <v>1074.0</v>
      </c>
      <c r="B1076" s="1">
        <v>7.0</v>
      </c>
      <c r="C1076" s="1">
        <v>0.432589184998821</v>
      </c>
      <c r="D1076" s="1" t="s">
        <v>978</v>
      </c>
      <c r="E1076" s="1" t="s">
        <v>17</v>
      </c>
      <c r="F1076" s="1" t="s">
        <v>18</v>
      </c>
      <c r="G1076" s="1">
        <v>9.0</v>
      </c>
      <c r="H1076" s="1">
        <v>2023.0</v>
      </c>
      <c r="I1076" s="1" t="s">
        <v>861</v>
      </c>
    </row>
    <row r="1077">
      <c r="A1077" s="1">
        <v>1075.0</v>
      </c>
      <c r="B1077" s="1">
        <v>2.0</v>
      </c>
      <c r="C1077" s="1">
        <v>0.620887244295685</v>
      </c>
      <c r="D1077" s="1" t="s">
        <v>979</v>
      </c>
      <c r="E1077" s="1" t="s">
        <v>17</v>
      </c>
      <c r="F1077" s="1" t="s">
        <v>18</v>
      </c>
      <c r="G1077" s="1">
        <v>9.0</v>
      </c>
      <c r="H1077" s="1">
        <v>2023.0</v>
      </c>
      <c r="I1077" s="1" t="s">
        <v>861</v>
      </c>
    </row>
    <row r="1078">
      <c r="A1078" s="1">
        <v>1076.0</v>
      </c>
      <c r="B1078" s="1">
        <v>7.0</v>
      </c>
      <c r="C1078" s="1">
        <v>0.326803316063329</v>
      </c>
      <c r="D1078" s="1" t="s">
        <v>980</v>
      </c>
      <c r="E1078" s="1" t="s">
        <v>17</v>
      </c>
      <c r="F1078" s="1" t="s">
        <v>18</v>
      </c>
      <c r="G1078" s="1">
        <v>9.0</v>
      </c>
      <c r="H1078" s="1">
        <v>2023.0</v>
      </c>
      <c r="I1078" s="1" t="s">
        <v>861</v>
      </c>
    </row>
    <row r="1079">
      <c r="A1079" s="1">
        <v>1077.0</v>
      </c>
      <c r="B1079" s="1">
        <v>2.0</v>
      </c>
      <c r="C1079" s="1">
        <v>0.484563494118756</v>
      </c>
      <c r="D1079" s="1" t="s">
        <v>981</v>
      </c>
      <c r="E1079" s="1" t="s">
        <v>17</v>
      </c>
      <c r="F1079" s="1" t="s">
        <v>18</v>
      </c>
      <c r="G1079" s="1">
        <v>9.0</v>
      </c>
      <c r="H1079" s="1">
        <v>2023.0</v>
      </c>
      <c r="I1079" s="1" t="s">
        <v>861</v>
      </c>
    </row>
    <row r="1080">
      <c r="A1080" s="1">
        <v>1078.0</v>
      </c>
      <c r="B1080" s="1">
        <v>7.0</v>
      </c>
      <c r="C1080" s="1">
        <v>0.485953059778147</v>
      </c>
      <c r="D1080" s="1" t="s">
        <v>982</v>
      </c>
      <c r="E1080" s="1" t="s">
        <v>17</v>
      </c>
      <c r="F1080" s="1" t="s">
        <v>18</v>
      </c>
      <c r="G1080" s="1">
        <v>8.0</v>
      </c>
      <c r="H1080" s="1">
        <v>2023.0</v>
      </c>
      <c r="I1080" s="1" t="s">
        <v>861</v>
      </c>
    </row>
    <row r="1081">
      <c r="A1081" s="1">
        <v>1079.0</v>
      </c>
      <c r="B1081" s="1">
        <v>6.0</v>
      </c>
      <c r="C1081" s="1">
        <v>0.264472203530076</v>
      </c>
      <c r="D1081" s="1" t="s">
        <v>983</v>
      </c>
      <c r="E1081" s="1" t="s">
        <v>17</v>
      </c>
      <c r="F1081" s="1" t="s">
        <v>18</v>
      </c>
      <c r="G1081" s="1">
        <v>8.0</v>
      </c>
      <c r="H1081" s="1">
        <v>2023.0</v>
      </c>
      <c r="I1081" s="1" t="s">
        <v>861</v>
      </c>
    </row>
    <row r="1082">
      <c r="A1082" s="1">
        <v>1080.0</v>
      </c>
      <c r="B1082" s="1">
        <v>9.0</v>
      </c>
      <c r="C1082" s="1">
        <v>0.306751756219784</v>
      </c>
      <c r="D1082" s="1" t="s">
        <v>984</v>
      </c>
      <c r="E1082" s="1" t="s">
        <v>17</v>
      </c>
      <c r="F1082" s="1" t="s">
        <v>18</v>
      </c>
      <c r="G1082" s="1">
        <v>8.0</v>
      </c>
      <c r="H1082" s="1">
        <v>2023.0</v>
      </c>
      <c r="I1082" s="1" t="s">
        <v>861</v>
      </c>
    </row>
    <row r="1083">
      <c r="A1083" s="1">
        <v>1081.0</v>
      </c>
      <c r="B1083" s="1">
        <v>9.0</v>
      </c>
      <c r="C1083" s="1">
        <v>0.358720956915106</v>
      </c>
      <c r="D1083" s="1" t="s">
        <v>985</v>
      </c>
      <c r="E1083" s="1" t="s">
        <v>17</v>
      </c>
      <c r="F1083" s="1" t="s">
        <v>18</v>
      </c>
      <c r="G1083" s="1">
        <v>8.0</v>
      </c>
      <c r="H1083" s="1">
        <v>2023.0</v>
      </c>
      <c r="I1083" s="1" t="s">
        <v>861</v>
      </c>
    </row>
    <row r="1084">
      <c r="A1084" s="1">
        <v>1082.0</v>
      </c>
      <c r="B1084" s="1">
        <v>9.0</v>
      </c>
      <c r="C1084" s="1">
        <v>0.442008485207558</v>
      </c>
      <c r="D1084" s="1" t="s">
        <v>986</v>
      </c>
      <c r="E1084" s="1" t="s">
        <v>17</v>
      </c>
      <c r="F1084" s="1" t="s">
        <v>18</v>
      </c>
      <c r="G1084" s="1">
        <v>8.0</v>
      </c>
      <c r="H1084" s="1">
        <v>2023.0</v>
      </c>
      <c r="I1084" s="1" t="s">
        <v>861</v>
      </c>
    </row>
    <row r="1085">
      <c r="A1085" s="1">
        <v>1083.0</v>
      </c>
      <c r="B1085" s="1">
        <v>2.0</v>
      </c>
      <c r="C1085" s="1">
        <v>0.482950751668578</v>
      </c>
      <c r="D1085" s="1" t="s">
        <v>987</v>
      </c>
      <c r="E1085" s="1" t="s">
        <v>17</v>
      </c>
      <c r="F1085" s="1" t="s">
        <v>18</v>
      </c>
      <c r="G1085" s="1">
        <v>8.0</v>
      </c>
      <c r="H1085" s="1">
        <v>2023.0</v>
      </c>
      <c r="I1085" s="1" t="s">
        <v>861</v>
      </c>
    </row>
    <row r="1086">
      <c r="A1086" s="1">
        <v>1084.0</v>
      </c>
      <c r="B1086" s="1">
        <v>2.0</v>
      </c>
      <c r="C1086" s="1">
        <v>0.83957270463242</v>
      </c>
      <c r="D1086" s="1" t="s">
        <v>988</v>
      </c>
      <c r="E1086" s="1" t="s">
        <v>17</v>
      </c>
      <c r="F1086" s="1" t="s">
        <v>18</v>
      </c>
      <c r="G1086" s="1">
        <v>8.0</v>
      </c>
      <c r="H1086" s="1">
        <v>2023.0</v>
      </c>
      <c r="I1086" s="1" t="s">
        <v>861</v>
      </c>
    </row>
    <row r="1087">
      <c r="A1087" s="1">
        <v>1085.0</v>
      </c>
      <c r="B1087" s="1">
        <v>2.0</v>
      </c>
      <c r="C1087" s="1">
        <v>0.615427791596443</v>
      </c>
      <c r="D1087" s="1" t="s">
        <v>989</v>
      </c>
      <c r="E1087" s="1" t="s">
        <v>17</v>
      </c>
      <c r="F1087" s="1" t="s">
        <v>18</v>
      </c>
      <c r="G1087" s="1">
        <v>8.0</v>
      </c>
      <c r="H1087" s="1">
        <v>2023.0</v>
      </c>
      <c r="I1087" s="1" t="s">
        <v>861</v>
      </c>
    </row>
    <row r="1088">
      <c r="A1088" s="1">
        <v>1086.0</v>
      </c>
      <c r="B1088" s="1">
        <v>9.0</v>
      </c>
      <c r="C1088" s="1">
        <v>0.374461810590538</v>
      </c>
      <c r="D1088" s="1" t="s">
        <v>990</v>
      </c>
      <c r="E1088" s="1" t="s">
        <v>17</v>
      </c>
      <c r="F1088" s="1" t="s">
        <v>18</v>
      </c>
      <c r="G1088" s="1">
        <v>8.0</v>
      </c>
      <c r="H1088" s="1">
        <v>2023.0</v>
      </c>
      <c r="I1088" s="1" t="s">
        <v>861</v>
      </c>
    </row>
    <row r="1089">
      <c r="A1089" s="1">
        <v>1087.0</v>
      </c>
      <c r="B1089" s="1">
        <v>2.0</v>
      </c>
      <c r="C1089" s="1">
        <v>0.453378330048028</v>
      </c>
      <c r="D1089" s="1" t="s">
        <v>219</v>
      </c>
      <c r="E1089" s="1" t="s">
        <v>10</v>
      </c>
      <c r="F1089" s="1" t="s">
        <v>97</v>
      </c>
      <c r="H1089" s="1">
        <v>2020.0</v>
      </c>
      <c r="I1089" s="1" t="s">
        <v>861</v>
      </c>
    </row>
    <row r="1090">
      <c r="A1090" s="1">
        <v>1088.0</v>
      </c>
      <c r="B1090" s="1">
        <v>2.0</v>
      </c>
      <c r="C1090" s="1">
        <v>0.96086670114316</v>
      </c>
      <c r="D1090" s="1" t="s">
        <v>220</v>
      </c>
      <c r="E1090" s="1" t="s">
        <v>10</v>
      </c>
      <c r="F1090" s="1" t="s">
        <v>97</v>
      </c>
      <c r="H1090" s="1">
        <v>2020.0</v>
      </c>
      <c r="I1090" s="1" t="s">
        <v>861</v>
      </c>
    </row>
    <row r="1091">
      <c r="A1091" s="1">
        <v>1089.0</v>
      </c>
      <c r="B1091" s="1">
        <v>2.0</v>
      </c>
      <c r="C1091" s="1">
        <v>0.892587483732788</v>
      </c>
      <c r="D1091" s="1" t="s">
        <v>221</v>
      </c>
      <c r="E1091" s="1" t="s">
        <v>10</v>
      </c>
      <c r="F1091" s="1" t="s">
        <v>97</v>
      </c>
      <c r="H1091" s="1">
        <v>2020.0</v>
      </c>
      <c r="I1091" s="1" t="s">
        <v>861</v>
      </c>
    </row>
    <row r="1092">
      <c r="A1092" s="1">
        <v>1090.0</v>
      </c>
      <c r="B1092" s="1">
        <v>2.0</v>
      </c>
      <c r="C1092" s="1">
        <v>0.512637506777028</v>
      </c>
      <c r="D1092" s="1" t="s">
        <v>971</v>
      </c>
      <c r="E1092" s="1" t="s">
        <v>17</v>
      </c>
      <c r="F1092" s="1" t="s">
        <v>18</v>
      </c>
      <c r="G1092" s="1">
        <v>13.0</v>
      </c>
      <c r="H1092" s="1">
        <v>2023.0</v>
      </c>
      <c r="I1092" s="1" t="s">
        <v>861</v>
      </c>
    </row>
    <row r="1093">
      <c r="A1093" s="1">
        <v>1091.0</v>
      </c>
      <c r="B1093" s="1">
        <v>2.0</v>
      </c>
      <c r="C1093" s="1">
        <v>0.317564585154273</v>
      </c>
      <c r="D1093" s="1" t="s">
        <v>991</v>
      </c>
      <c r="E1093" s="1" t="s">
        <v>124</v>
      </c>
      <c r="F1093" s="1" t="s">
        <v>178</v>
      </c>
      <c r="H1093" s="1">
        <v>2013.0</v>
      </c>
      <c r="I1093" s="1" t="s">
        <v>861</v>
      </c>
    </row>
    <row r="1094">
      <c r="A1094" s="1">
        <v>1092.0</v>
      </c>
      <c r="B1094" s="1">
        <v>2.0</v>
      </c>
      <c r="C1094" s="1">
        <v>0.36529215979475</v>
      </c>
      <c r="D1094" s="1" t="s">
        <v>992</v>
      </c>
      <c r="E1094" s="1" t="s">
        <v>124</v>
      </c>
      <c r="F1094" s="1" t="s">
        <v>178</v>
      </c>
      <c r="H1094" s="1">
        <v>2013.0</v>
      </c>
      <c r="I1094" s="1" t="s">
        <v>861</v>
      </c>
    </row>
    <row r="1095">
      <c r="A1095" s="1">
        <v>1093.0</v>
      </c>
      <c r="B1095" s="1">
        <v>2.0</v>
      </c>
      <c r="C1095" s="1">
        <v>0.31860989881999</v>
      </c>
      <c r="D1095" s="1" t="s">
        <v>993</v>
      </c>
      <c r="E1095" s="1" t="s">
        <v>102</v>
      </c>
      <c r="F1095" s="1" t="s">
        <v>18</v>
      </c>
      <c r="G1095" s="1" t="s">
        <v>42</v>
      </c>
      <c r="H1095" s="1">
        <v>2008.0</v>
      </c>
      <c r="I1095" s="1" t="s">
        <v>861</v>
      </c>
    </row>
    <row r="1096">
      <c r="A1096" s="1">
        <v>1094.0</v>
      </c>
      <c r="B1096" s="1">
        <v>2.0</v>
      </c>
      <c r="C1096" s="1">
        <v>0.434964126693359</v>
      </c>
      <c r="D1096" s="1" t="s">
        <v>994</v>
      </c>
      <c r="E1096" s="1" t="s">
        <v>102</v>
      </c>
      <c r="F1096" s="1" t="s">
        <v>18</v>
      </c>
      <c r="G1096" s="1" t="s">
        <v>42</v>
      </c>
      <c r="H1096" s="1">
        <v>2008.0</v>
      </c>
      <c r="I1096" s="1" t="s">
        <v>861</v>
      </c>
    </row>
    <row r="1097">
      <c r="A1097" s="1">
        <v>1095.0</v>
      </c>
      <c r="B1097" s="1">
        <v>7.0</v>
      </c>
      <c r="C1097" s="1">
        <v>0.466864690998763</v>
      </c>
      <c r="D1097" s="1" t="s">
        <v>995</v>
      </c>
      <c r="E1097" s="1" t="s">
        <v>102</v>
      </c>
      <c r="F1097" s="1" t="s">
        <v>18</v>
      </c>
      <c r="G1097" s="1" t="s">
        <v>42</v>
      </c>
      <c r="H1097" s="1">
        <v>2008.0</v>
      </c>
      <c r="I1097" s="1" t="s">
        <v>861</v>
      </c>
    </row>
    <row r="1098">
      <c r="A1098" s="1">
        <v>1096.0</v>
      </c>
      <c r="B1098" s="1">
        <v>4.0</v>
      </c>
      <c r="C1098" s="1">
        <v>0.974998723698592</v>
      </c>
      <c r="D1098" s="1" t="s">
        <v>160</v>
      </c>
      <c r="E1098" s="1" t="s">
        <v>41</v>
      </c>
      <c r="F1098" s="1" t="s">
        <v>18</v>
      </c>
      <c r="G1098" s="1" t="s">
        <v>11</v>
      </c>
      <c r="I1098" s="1" t="s">
        <v>861</v>
      </c>
    </row>
    <row r="1099">
      <c r="A1099" s="1">
        <v>1097.0</v>
      </c>
      <c r="B1099" s="1">
        <v>1.0</v>
      </c>
      <c r="C1099" s="1">
        <v>0.975672990689504</v>
      </c>
      <c r="D1099" s="1" t="s">
        <v>996</v>
      </c>
      <c r="E1099" s="1" t="s">
        <v>41</v>
      </c>
      <c r="F1099" s="1" t="s">
        <v>18</v>
      </c>
      <c r="G1099" s="1" t="s">
        <v>11</v>
      </c>
      <c r="I1099" s="1" t="s">
        <v>861</v>
      </c>
    </row>
    <row r="1100">
      <c r="A1100" s="1">
        <v>1098.0</v>
      </c>
      <c r="B1100" s="1">
        <v>1.0</v>
      </c>
      <c r="C1100" s="1">
        <v>0.975672990689504</v>
      </c>
      <c r="D1100" s="1" t="s">
        <v>996</v>
      </c>
      <c r="E1100" s="1" t="s">
        <v>41</v>
      </c>
      <c r="F1100" s="1" t="s">
        <v>18</v>
      </c>
      <c r="G1100" s="1" t="s">
        <v>11</v>
      </c>
      <c r="I1100" s="1" t="s">
        <v>861</v>
      </c>
    </row>
    <row r="1101">
      <c r="A1101" s="1">
        <v>1099.0</v>
      </c>
      <c r="B1101" s="1">
        <v>4.0</v>
      </c>
      <c r="C1101" s="1">
        <v>0.973528364203671</v>
      </c>
      <c r="D1101" s="1" t="s">
        <v>162</v>
      </c>
      <c r="E1101" s="1" t="s">
        <v>41</v>
      </c>
      <c r="F1101" s="1" t="s">
        <v>18</v>
      </c>
      <c r="G1101" s="1" t="s">
        <v>11</v>
      </c>
      <c r="I1101" s="1" t="s">
        <v>861</v>
      </c>
    </row>
    <row r="1102">
      <c r="A1102" s="1">
        <v>1100.0</v>
      </c>
      <c r="B1102" s="1">
        <v>1.0</v>
      </c>
      <c r="C1102" s="1">
        <v>0.459400615499815</v>
      </c>
      <c r="D1102" s="1" t="s">
        <v>997</v>
      </c>
      <c r="E1102" s="1" t="s">
        <v>41</v>
      </c>
      <c r="F1102" s="1" t="s">
        <v>18</v>
      </c>
      <c r="G1102" s="1" t="s">
        <v>11</v>
      </c>
      <c r="I1102" s="1" t="s">
        <v>861</v>
      </c>
    </row>
    <row r="1103">
      <c r="A1103" s="1">
        <v>1101.0</v>
      </c>
      <c r="B1103" s="1">
        <v>1.0</v>
      </c>
      <c r="C1103" s="1">
        <v>0.931941162025799</v>
      </c>
      <c r="D1103" s="1" t="s">
        <v>911</v>
      </c>
      <c r="E1103" s="1" t="s">
        <v>47</v>
      </c>
      <c r="G1103" s="1" t="s">
        <v>11</v>
      </c>
      <c r="H1103" s="1">
        <v>2016.0</v>
      </c>
      <c r="I1103" s="1" t="s">
        <v>861</v>
      </c>
    </row>
    <row r="1104">
      <c r="A1104" s="1">
        <v>1102.0</v>
      </c>
      <c r="B1104" s="1">
        <v>10.0</v>
      </c>
      <c r="C1104" s="1">
        <v>0.970967022980637</v>
      </c>
      <c r="D1104" s="1" t="s">
        <v>81</v>
      </c>
      <c r="E1104" s="1" t="s">
        <v>47</v>
      </c>
      <c r="G1104" s="1" t="s">
        <v>11</v>
      </c>
      <c r="H1104" s="1">
        <v>2016.0</v>
      </c>
      <c r="I1104" s="1" t="s">
        <v>861</v>
      </c>
    </row>
    <row r="1105">
      <c r="A1105" s="1">
        <v>1103.0</v>
      </c>
      <c r="B1105" s="1">
        <v>10.0</v>
      </c>
      <c r="C1105" s="1">
        <v>0.97096703982222</v>
      </c>
      <c r="D1105" s="1" t="s">
        <v>82</v>
      </c>
      <c r="E1105" s="1" t="s">
        <v>47</v>
      </c>
      <c r="G1105" s="1" t="s">
        <v>11</v>
      </c>
      <c r="H1105" s="1">
        <v>2016.0</v>
      </c>
      <c r="I1105" s="1" t="s">
        <v>861</v>
      </c>
    </row>
    <row r="1106">
      <c r="A1106" s="1">
        <v>1104.0</v>
      </c>
      <c r="B1106" s="1">
        <v>10.0</v>
      </c>
      <c r="C1106" s="1">
        <v>0.970967089324326</v>
      </c>
      <c r="D1106" s="1" t="s">
        <v>83</v>
      </c>
      <c r="E1106" s="1" t="s">
        <v>47</v>
      </c>
      <c r="G1106" s="1" t="s">
        <v>11</v>
      </c>
      <c r="H1106" s="1">
        <v>2016.0</v>
      </c>
      <c r="I1106" s="1" t="s">
        <v>861</v>
      </c>
    </row>
    <row r="1107">
      <c r="A1107" s="1">
        <v>1105.0</v>
      </c>
      <c r="B1107" s="1">
        <v>10.0</v>
      </c>
      <c r="C1107" s="1">
        <v>0.971874237792835</v>
      </c>
      <c r="D1107" s="1" t="s">
        <v>84</v>
      </c>
      <c r="E1107" s="1" t="s">
        <v>47</v>
      </c>
      <c r="G1107" s="1" t="s">
        <v>11</v>
      </c>
      <c r="H1107" s="1">
        <v>2016.0</v>
      </c>
      <c r="I1107" s="1" t="s">
        <v>861</v>
      </c>
    </row>
    <row r="1108">
      <c r="A1108" s="1">
        <v>1106.0</v>
      </c>
      <c r="B1108" s="1">
        <v>10.0</v>
      </c>
      <c r="C1108" s="1">
        <v>0.974285126358288</v>
      </c>
      <c r="D1108" s="1" t="s">
        <v>85</v>
      </c>
      <c r="E1108" s="1" t="s">
        <v>47</v>
      </c>
      <c r="G1108" s="1" t="s">
        <v>11</v>
      </c>
      <c r="H1108" s="1">
        <v>2016.0</v>
      </c>
      <c r="I1108" s="1" t="s">
        <v>861</v>
      </c>
    </row>
    <row r="1109">
      <c r="A1109" s="1">
        <v>1107.0</v>
      </c>
      <c r="B1109" s="1">
        <v>10.0</v>
      </c>
      <c r="C1109" s="1">
        <v>0.97428512266631</v>
      </c>
      <c r="D1109" s="1" t="s">
        <v>86</v>
      </c>
      <c r="E1109" s="1" t="s">
        <v>47</v>
      </c>
      <c r="G1109" s="1" t="s">
        <v>11</v>
      </c>
      <c r="H1109" s="1">
        <v>2016.0</v>
      </c>
      <c r="I1109" s="1" t="s">
        <v>861</v>
      </c>
    </row>
    <row r="1110">
      <c r="A1110" s="1">
        <v>1108.0</v>
      </c>
      <c r="B1110" s="1">
        <v>7.0</v>
      </c>
      <c r="C1110" s="1">
        <v>0.499521942902938</v>
      </c>
      <c r="D1110" s="1" t="s">
        <v>914</v>
      </c>
      <c r="E1110" s="1" t="s">
        <v>47</v>
      </c>
      <c r="G1110" s="1" t="s">
        <v>11</v>
      </c>
      <c r="H1110" s="1">
        <v>2016.0</v>
      </c>
      <c r="I1110" s="1" t="s">
        <v>861</v>
      </c>
    </row>
    <row r="1111">
      <c r="A1111" s="1">
        <v>1109.0</v>
      </c>
      <c r="B1111" s="1">
        <v>4.0</v>
      </c>
      <c r="C1111" s="1">
        <v>0.967855668777459</v>
      </c>
      <c r="D1111" s="1" t="s">
        <v>57</v>
      </c>
      <c r="E1111" s="1" t="s">
        <v>58</v>
      </c>
      <c r="F1111" s="1" t="s">
        <v>18</v>
      </c>
      <c r="G1111" s="1" t="s">
        <v>11</v>
      </c>
      <c r="H1111" s="1">
        <v>2024.0</v>
      </c>
      <c r="I1111" s="1" t="s">
        <v>861</v>
      </c>
    </row>
    <row r="1112">
      <c r="A1112" s="1">
        <v>1110.0</v>
      </c>
      <c r="B1112" s="1">
        <v>6.0</v>
      </c>
      <c r="C1112" s="1">
        <v>0.970966539379796</v>
      </c>
      <c r="D1112" s="1" t="s">
        <v>60</v>
      </c>
      <c r="E1112" s="1" t="s">
        <v>58</v>
      </c>
      <c r="F1112" s="1" t="s">
        <v>18</v>
      </c>
      <c r="G1112" s="1" t="s">
        <v>11</v>
      </c>
      <c r="H1112" s="1">
        <v>2024.0</v>
      </c>
      <c r="I1112" s="1" t="s">
        <v>861</v>
      </c>
    </row>
    <row r="1113">
      <c r="A1113" s="1">
        <v>1111.0</v>
      </c>
      <c r="B1113" s="1">
        <v>2.0</v>
      </c>
      <c r="C1113" s="1">
        <v>0.463834222142372</v>
      </c>
      <c r="D1113" s="1" t="s">
        <v>998</v>
      </c>
      <c r="E1113" s="1" t="s">
        <v>173</v>
      </c>
      <c r="G1113" s="1" t="s">
        <v>26</v>
      </c>
      <c r="I1113" s="1" t="s">
        <v>861</v>
      </c>
    </row>
    <row r="1114">
      <c r="A1114" s="1">
        <v>1112.0</v>
      </c>
      <c r="B1114" s="1">
        <v>2.0</v>
      </c>
      <c r="C1114" s="1">
        <v>0.687990464571476</v>
      </c>
      <c r="D1114" s="1" t="s">
        <v>999</v>
      </c>
      <c r="E1114" s="1" t="s">
        <v>173</v>
      </c>
      <c r="G1114" s="1" t="s">
        <v>26</v>
      </c>
      <c r="I1114" s="1" t="s">
        <v>861</v>
      </c>
    </row>
    <row r="1115">
      <c r="A1115" s="1">
        <v>1113.0</v>
      </c>
      <c r="B1115" s="1">
        <v>2.0</v>
      </c>
      <c r="C1115" s="1">
        <v>0.799106049788275</v>
      </c>
      <c r="D1115" s="1" t="s">
        <v>1000</v>
      </c>
      <c r="E1115" s="1" t="s">
        <v>173</v>
      </c>
      <c r="G1115" s="1" t="s">
        <v>26</v>
      </c>
      <c r="I1115" s="1" t="s">
        <v>861</v>
      </c>
    </row>
    <row r="1116">
      <c r="A1116" s="1">
        <v>1114.0</v>
      </c>
      <c r="B1116" s="1">
        <v>2.0</v>
      </c>
      <c r="C1116" s="1">
        <v>0.375753171340367</v>
      </c>
      <c r="D1116" s="1" t="s">
        <v>1001</v>
      </c>
      <c r="E1116" s="1" t="s">
        <v>20</v>
      </c>
      <c r="F1116" s="1" t="s">
        <v>18</v>
      </c>
      <c r="G1116" s="1" t="s">
        <v>11</v>
      </c>
      <c r="H1116" s="1">
        <v>2015.0</v>
      </c>
      <c r="I1116" s="1" t="s">
        <v>861</v>
      </c>
    </row>
    <row r="1117">
      <c r="A1117" s="1">
        <v>1115.0</v>
      </c>
      <c r="B1117" s="1">
        <v>7.0</v>
      </c>
      <c r="C1117" s="1">
        <v>0.675341515217563</v>
      </c>
      <c r="D1117" s="1" t="s">
        <v>1002</v>
      </c>
      <c r="E1117" s="1" t="s">
        <v>20</v>
      </c>
      <c r="F1117" s="1" t="s">
        <v>18</v>
      </c>
      <c r="G1117" s="1" t="s">
        <v>11</v>
      </c>
      <c r="H1117" s="1">
        <v>2015.0</v>
      </c>
      <c r="I1117" s="1" t="s">
        <v>861</v>
      </c>
    </row>
    <row r="1118">
      <c r="A1118" s="1">
        <v>1116.0</v>
      </c>
      <c r="B1118" s="1">
        <v>7.0</v>
      </c>
      <c r="C1118" s="1">
        <v>0.377750818639737</v>
      </c>
      <c r="D1118" s="1" t="s">
        <v>1003</v>
      </c>
      <c r="E1118" s="1" t="s">
        <v>20</v>
      </c>
      <c r="F1118" s="1" t="s">
        <v>18</v>
      </c>
      <c r="G1118" s="1" t="s">
        <v>11</v>
      </c>
      <c r="H1118" s="1">
        <v>2015.0</v>
      </c>
      <c r="I1118" s="1" t="s">
        <v>861</v>
      </c>
    </row>
    <row r="1119">
      <c r="A1119" s="1">
        <v>1117.0</v>
      </c>
      <c r="B1119" s="1">
        <v>4.0</v>
      </c>
      <c r="C1119" s="1">
        <v>0.4622432124377</v>
      </c>
      <c r="D1119" s="1" t="s">
        <v>1004</v>
      </c>
      <c r="E1119" s="1" t="s">
        <v>20</v>
      </c>
      <c r="F1119" s="1" t="s">
        <v>18</v>
      </c>
      <c r="G1119" s="1" t="s">
        <v>11</v>
      </c>
      <c r="H1119" s="1">
        <v>2015.0</v>
      </c>
      <c r="I1119" s="1" t="s">
        <v>861</v>
      </c>
    </row>
    <row r="1120">
      <c r="A1120" s="1">
        <v>1118.0</v>
      </c>
      <c r="B1120" s="1">
        <v>7.0</v>
      </c>
      <c r="C1120" s="1">
        <v>0.51132563967066</v>
      </c>
      <c r="D1120" s="1" t="s">
        <v>1005</v>
      </c>
      <c r="E1120" s="1" t="s">
        <v>20</v>
      </c>
      <c r="F1120" s="1" t="s">
        <v>18</v>
      </c>
      <c r="G1120" s="1" t="s">
        <v>11</v>
      </c>
      <c r="H1120" s="1">
        <v>2015.0</v>
      </c>
      <c r="I1120" s="1" t="s">
        <v>861</v>
      </c>
    </row>
    <row r="1121">
      <c r="A1121" s="1">
        <v>1119.0</v>
      </c>
      <c r="B1121" s="1">
        <v>2.0</v>
      </c>
      <c r="C1121" s="1">
        <v>0.322566389146099</v>
      </c>
      <c r="D1121" s="1" t="s">
        <v>1006</v>
      </c>
      <c r="E1121" s="1" t="s">
        <v>107</v>
      </c>
      <c r="F1121" s="1" t="s">
        <v>214</v>
      </c>
      <c r="H1121" s="1">
        <v>2019.0</v>
      </c>
      <c r="I1121" s="1" t="s">
        <v>861</v>
      </c>
    </row>
    <row r="1122">
      <c r="A1122" s="1">
        <v>1120.0</v>
      </c>
      <c r="B1122" s="1">
        <v>2.0</v>
      </c>
      <c r="C1122" s="1">
        <v>0.347850300736243</v>
      </c>
      <c r="D1122" s="1" t="s">
        <v>1007</v>
      </c>
      <c r="E1122" s="1" t="s">
        <v>107</v>
      </c>
      <c r="F1122" s="1" t="s">
        <v>214</v>
      </c>
      <c r="H1122" s="1">
        <v>2019.0</v>
      </c>
      <c r="I1122" s="1" t="s">
        <v>861</v>
      </c>
    </row>
    <row r="1123">
      <c r="A1123" s="1">
        <v>1121.0</v>
      </c>
      <c r="B1123" s="1">
        <v>2.0</v>
      </c>
      <c r="C1123" s="1">
        <v>0.420074199891513</v>
      </c>
      <c r="D1123" s="1" t="s">
        <v>1008</v>
      </c>
      <c r="E1123" s="1" t="s">
        <v>107</v>
      </c>
      <c r="F1123" s="1" t="s">
        <v>214</v>
      </c>
      <c r="H1123" s="1">
        <v>2019.0</v>
      </c>
      <c r="I1123" s="1" t="s">
        <v>861</v>
      </c>
    </row>
    <row r="1124">
      <c r="A1124" s="1">
        <v>1122.0</v>
      </c>
      <c r="B1124" s="1">
        <v>2.0</v>
      </c>
      <c r="C1124" s="1">
        <v>0.37046037791465</v>
      </c>
      <c r="D1124" s="1" t="s">
        <v>1009</v>
      </c>
      <c r="E1124" s="1" t="s">
        <v>41</v>
      </c>
      <c r="G1124" s="1" t="s">
        <v>11</v>
      </c>
      <c r="I1124" s="1" t="s">
        <v>861</v>
      </c>
    </row>
    <row r="1125">
      <c r="A1125" s="1">
        <v>1123.0</v>
      </c>
      <c r="B1125" s="1">
        <v>2.0</v>
      </c>
      <c r="C1125" s="1">
        <v>0.397901453453771</v>
      </c>
      <c r="D1125" s="1" t="s">
        <v>1010</v>
      </c>
      <c r="E1125" s="1" t="s">
        <v>41</v>
      </c>
      <c r="G1125" s="1" t="s">
        <v>11</v>
      </c>
      <c r="I1125" s="1" t="s">
        <v>861</v>
      </c>
    </row>
    <row r="1126">
      <c r="A1126" s="1">
        <v>1124.0</v>
      </c>
      <c r="B1126" s="1">
        <v>5.0</v>
      </c>
      <c r="C1126" s="1">
        <v>0.42219595018304</v>
      </c>
      <c r="D1126" s="1" t="s">
        <v>1011</v>
      </c>
      <c r="E1126" s="1" t="s">
        <v>41</v>
      </c>
      <c r="G1126" s="1" t="s">
        <v>11</v>
      </c>
      <c r="I1126" s="1" t="s">
        <v>861</v>
      </c>
    </row>
    <row r="1127">
      <c r="A1127" s="1">
        <v>1125.0</v>
      </c>
      <c r="B1127" s="1">
        <v>5.0</v>
      </c>
      <c r="C1127" s="1">
        <v>0.407698478310593</v>
      </c>
      <c r="D1127" s="1" t="s">
        <v>1012</v>
      </c>
      <c r="E1127" s="1" t="s">
        <v>58</v>
      </c>
      <c r="F1127" s="1" t="s">
        <v>18</v>
      </c>
      <c r="G1127" s="1" t="s">
        <v>11</v>
      </c>
      <c r="H1127" s="1">
        <v>2024.0</v>
      </c>
      <c r="I1127" s="1" t="s">
        <v>861</v>
      </c>
    </row>
    <row r="1128">
      <c r="A1128" s="1">
        <v>1126.0</v>
      </c>
      <c r="B1128" s="1">
        <v>4.0</v>
      </c>
      <c r="C1128" s="1">
        <v>0.967855668777459</v>
      </c>
      <c r="D1128" s="1" t="s">
        <v>245</v>
      </c>
      <c r="E1128" s="1" t="s">
        <v>58</v>
      </c>
      <c r="F1128" s="1" t="s">
        <v>18</v>
      </c>
      <c r="G1128" s="1" t="s">
        <v>11</v>
      </c>
      <c r="H1128" s="1">
        <v>2024.0</v>
      </c>
      <c r="I1128" s="1" t="s">
        <v>861</v>
      </c>
    </row>
    <row r="1129">
      <c r="A1129" s="1">
        <v>1127.0</v>
      </c>
      <c r="B1129" s="1">
        <v>6.0</v>
      </c>
      <c r="C1129" s="1">
        <v>0.970966539379796</v>
      </c>
      <c r="D1129" s="1" t="s">
        <v>60</v>
      </c>
      <c r="E1129" s="1" t="s">
        <v>58</v>
      </c>
      <c r="F1129" s="1" t="s">
        <v>18</v>
      </c>
      <c r="G1129" s="1" t="s">
        <v>11</v>
      </c>
      <c r="H1129" s="1">
        <v>2024.0</v>
      </c>
      <c r="I1129" s="1" t="s">
        <v>861</v>
      </c>
    </row>
    <row r="1130">
      <c r="A1130" s="1">
        <v>1128.0</v>
      </c>
      <c r="B1130" s="1">
        <v>1.0</v>
      </c>
      <c r="C1130" s="1">
        <v>0.971874444626452</v>
      </c>
      <c r="D1130" s="1" t="s">
        <v>1013</v>
      </c>
      <c r="E1130" s="1" t="s">
        <v>58</v>
      </c>
      <c r="F1130" s="1" t="s">
        <v>18</v>
      </c>
      <c r="G1130" s="1" t="s">
        <v>11</v>
      </c>
      <c r="H1130" s="1">
        <v>2024.0</v>
      </c>
      <c r="I1130" s="1" t="s">
        <v>861</v>
      </c>
    </row>
    <row r="1131">
      <c r="A1131" s="1">
        <v>1129.0</v>
      </c>
      <c r="B1131" s="1">
        <v>7.0</v>
      </c>
      <c r="C1131" s="1">
        <v>0.321451807670018</v>
      </c>
      <c r="D1131" s="1" t="s">
        <v>1014</v>
      </c>
      <c r="E1131" s="1" t="s">
        <v>58</v>
      </c>
      <c r="F1131" s="1" t="s">
        <v>59</v>
      </c>
      <c r="G1131" s="2">
        <v>46153.0</v>
      </c>
      <c r="H1131" s="1">
        <v>2024.0</v>
      </c>
      <c r="I1131" s="1" t="s">
        <v>861</v>
      </c>
    </row>
    <row r="1132">
      <c r="A1132" s="1">
        <v>1130.0</v>
      </c>
      <c r="B1132" s="1">
        <v>4.0</v>
      </c>
      <c r="C1132" s="1">
        <v>0.967855668777459</v>
      </c>
      <c r="D1132" s="1" t="s">
        <v>57</v>
      </c>
      <c r="E1132" s="1" t="s">
        <v>58</v>
      </c>
      <c r="F1132" s="1" t="s">
        <v>59</v>
      </c>
      <c r="G1132" s="2">
        <v>46153.0</v>
      </c>
      <c r="H1132" s="1">
        <v>2024.0</v>
      </c>
      <c r="I1132" s="1" t="s">
        <v>861</v>
      </c>
    </row>
    <row r="1133">
      <c r="A1133" s="1">
        <v>1131.0</v>
      </c>
      <c r="B1133" s="1">
        <v>6.0</v>
      </c>
      <c r="C1133" s="1">
        <v>0.970966539379796</v>
      </c>
      <c r="D1133" s="1" t="s">
        <v>60</v>
      </c>
      <c r="E1133" s="1" t="s">
        <v>58</v>
      </c>
      <c r="F1133" s="1" t="s">
        <v>59</v>
      </c>
      <c r="G1133" s="2">
        <v>46153.0</v>
      </c>
      <c r="H1133" s="1">
        <v>2024.0</v>
      </c>
      <c r="I1133" s="1" t="s">
        <v>861</v>
      </c>
    </row>
    <row r="1134">
      <c r="A1134" s="1">
        <v>1132.0</v>
      </c>
      <c r="B1134" s="1">
        <v>1.0</v>
      </c>
      <c r="C1134" s="1">
        <v>0.923178259516009</v>
      </c>
      <c r="D1134" s="1" t="s">
        <v>1015</v>
      </c>
      <c r="E1134" s="1" t="s">
        <v>58</v>
      </c>
      <c r="F1134" s="1" t="s">
        <v>59</v>
      </c>
      <c r="G1134" s="2">
        <v>46153.0</v>
      </c>
      <c r="H1134" s="1">
        <v>2024.0</v>
      </c>
      <c r="I1134" s="1" t="s">
        <v>861</v>
      </c>
    </row>
    <row r="1135">
      <c r="A1135" s="1">
        <v>1133.0</v>
      </c>
      <c r="B1135" s="1">
        <v>1.0</v>
      </c>
      <c r="C1135" s="1">
        <v>0.766736156043942</v>
      </c>
      <c r="D1135" s="1" t="s">
        <v>1016</v>
      </c>
      <c r="E1135" s="1" t="s">
        <v>58</v>
      </c>
      <c r="F1135" s="1" t="s">
        <v>59</v>
      </c>
      <c r="G1135" s="2">
        <v>46153.0</v>
      </c>
      <c r="H1135" s="1">
        <v>2024.0</v>
      </c>
      <c r="I1135" s="1" t="s">
        <v>861</v>
      </c>
    </row>
    <row r="1136">
      <c r="A1136" s="1">
        <v>1134.0</v>
      </c>
      <c r="B1136" s="1">
        <v>1.0</v>
      </c>
      <c r="C1136" s="1">
        <v>0.823190259879782</v>
      </c>
      <c r="D1136" s="1" t="s">
        <v>1017</v>
      </c>
      <c r="E1136" s="1" t="s">
        <v>58</v>
      </c>
      <c r="F1136" s="1" t="s">
        <v>59</v>
      </c>
      <c r="G1136" s="2">
        <v>46153.0</v>
      </c>
      <c r="H1136" s="1">
        <v>2024.0</v>
      </c>
      <c r="I1136" s="1" t="s">
        <v>861</v>
      </c>
    </row>
    <row r="1137">
      <c r="A1137" s="1">
        <v>1135.0</v>
      </c>
      <c r="B1137" s="1">
        <v>1.0</v>
      </c>
      <c r="C1137" s="1">
        <v>0.861066817122701</v>
      </c>
      <c r="D1137" s="1" t="s">
        <v>1018</v>
      </c>
      <c r="E1137" s="1" t="s">
        <v>58</v>
      </c>
      <c r="F1137" s="1" t="s">
        <v>59</v>
      </c>
      <c r="G1137" s="2">
        <v>46153.0</v>
      </c>
      <c r="H1137" s="1">
        <v>2024.0</v>
      </c>
      <c r="I1137" s="1" t="s">
        <v>861</v>
      </c>
    </row>
    <row r="1138">
      <c r="A1138" s="1">
        <v>1136.0</v>
      </c>
      <c r="B1138" s="1">
        <v>7.0</v>
      </c>
      <c r="C1138" s="1">
        <v>0.609648788614782</v>
      </c>
      <c r="D1138" s="1" t="s">
        <v>1019</v>
      </c>
      <c r="E1138" s="1" t="s">
        <v>50</v>
      </c>
      <c r="F1138" s="1" t="s">
        <v>18</v>
      </c>
      <c r="G1138" s="1" t="s">
        <v>42</v>
      </c>
      <c r="H1138" s="1">
        <v>2019.0</v>
      </c>
      <c r="I1138" s="1" t="s">
        <v>861</v>
      </c>
    </row>
    <row r="1139">
      <c r="A1139" s="1">
        <v>1137.0</v>
      </c>
      <c r="B1139" s="1">
        <v>4.0</v>
      </c>
      <c r="C1139" s="1">
        <v>0.419085754069712</v>
      </c>
      <c r="D1139" s="1" t="s">
        <v>1020</v>
      </c>
      <c r="E1139" s="1" t="s">
        <v>187</v>
      </c>
      <c r="G1139" s="1" t="s">
        <v>1021</v>
      </c>
      <c r="H1139" s="1">
        <v>2016.0</v>
      </c>
      <c r="I1139" s="1" t="s">
        <v>861</v>
      </c>
    </row>
    <row r="1140">
      <c r="A1140" s="1">
        <v>1138.0</v>
      </c>
      <c r="B1140" s="1">
        <v>4.0</v>
      </c>
      <c r="C1140" s="1">
        <v>0.377448731430983</v>
      </c>
      <c r="D1140" s="1" t="s">
        <v>1022</v>
      </c>
      <c r="E1140" s="1" t="s">
        <v>187</v>
      </c>
      <c r="G1140" s="1" t="s">
        <v>1021</v>
      </c>
      <c r="H1140" s="1">
        <v>2016.0</v>
      </c>
      <c r="I1140" s="1" t="s">
        <v>861</v>
      </c>
    </row>
    <row r="1141">
      <c r="A1141" s="1">
        <v>1139.0</v>
      </c>
      <c r="B1141" s="1">
        <v>2.0</v>
      </c>
      <c r="C1141" s="1">
        <v>0.73004295403872</v>
      </c>
      <c r="D1141" s="1" t="s">
        <v>1023</v>
      </c>
      <c r="E1141" s="1" t="s">
        <v>17</v>
      </c>
      <c r="F1141" s="1" t="s">
        <v>18</v>
      </c>
      <c r="G1141" s="1">
        <v>10.0</v>
      </c>
      <c r="H1141" s="1">
        <v>2023.0</v>
      </c>
      <c r="I1141" s="1" t="s">
        <v>861</v>
      </c>
    </row>
    <row r="1142">
      <c r="A1142" s="1">
        <v>1140.0</v>
      </c>
      <c r="B1142" s="1">
        <v>2.0</v>
      </c>
      <c r="C1142" s="1">
        <v>0.690629279784615</v>
      </c>
      <c r="D1142" s="1" t="s">
        <v>1024</v>
      </c>
      <c r="E1142" s="1" t="s">
        <v>17</v>
      </c>
      <c r="F1142" s="1" t="s">
        <v>18</v>
      </c>
      <c r="G1142" s="1">
        <v>10.0</v>
      </c>
      <c r="H1142" s="1">
        <v>2023.0</v>
      </c>
      <c r="I1142" s="1" t="s">
        <v>861</v>
      </c>
    </row>
    <row r="1143">
      <c r="A1143" s="1">
        <v>1141.0</v>
      </c>
      <c r="B1143" s="1">
        <v>2.0</v>
      </c>
      <c r="C1143" s="1">
        <v>0.689260959964057</v>
      </c>
      <c r="D1143" s="1" t="s">
        <v>1025</v>
      </c>
      <c r="E1143" s="1" t="s">
        <v>17</v>
      </c>
      <c r="F1143" s="1" t="s">
        <v>18</v>
      </c>
      <c r="G1143" s="1">
        <v>10.0</v>
      </c>
      <c r="H1143" s="1">
        <v>2023.0</v>
      </c>
      <c r="I1143" s="1" t="s">
        <v>861</v>
      </c>
    </row>
    <row r="1144">
      <c r="A1144" s="1">
        <v>1142.0</v>
      </c>
      <c r="B1144" s="1">
        <v>2.0</v>
      </c>
      <c r="C1144" s="1">
        <v>0.513880465542068</v>
      </c>
      <c r="D1144" s="1" t="s">
        <v>1026</v>
      </c>
      <c r="E1144" s="1" t="s">
        <v>17</v>
      </c>
      <c r="F1144" s="1" t="s">
        <v>118</v>
      </c>
      <c r="H1144" s="1">
        <v>2023.0</v>
      </c>
      <c r="I1144" s="1" t="s">
        <v>861</v>
      </c>
    </row>
    <row r="1145">
      <c r="A1145" s="1">
        <v>1143.0</v>
      </c>
      <c r="B1145" s="1">
        <v>2.0</v>
      </c>
      <c r="C1145" s="1">
        <v>0.820730091901628</v>
      </c>
      <c r="D1145" s="1" t="s">
        <v>1027</v>
      </c>
      <c r="E1145" s="1" t="s">
        <v>17</v>
      </c>
      <c r="F1145" s="1" t="s">
        <v>118</v>
      </c>
      <c r="H1145" s="1">
        <v>2023.0</v>
      </c>
      <c r="I1145" s="1" t="s">
        <v>861</v>
      </c>
    </row>
    <row r="1146">
      <c r="A1146" s="1">
        <v>1144.0</v>
      </c>
      <c r="B1146" s="1">
        <v>2.0</v>
      </c>
      <c r="C1146" s="1">
        <v>0.68997110686796</v>
      </c>
      <c r="D1146" s="1" t="s">
        <v>1028</v>
      </c>
      <c r="E1146" s="1" t="s">
        <v>17</v>
      </c>
      <c r="F1146" s="1" t="s">
        <v>118</v>
      </c>
      <c r="H1146" s="1">
        <v>2023.0</v>
      </c>
      <c r="I1146" s="1" t="s">
        <v>861</v>
      </c>
    </row>
    <row r="1147">
      <c r="A1147" s="1">
        <v>1145.0</v>
      </c>
      <c r="B1147" s="1">
        <v>2.0</v>
      </c>
      <c r="C1147" s="1">
        <v>0.644418881475242</v>
      </c>
      <c r="D1147" s="1" t="s">
        <v>1029</v>
      </c>
      <c r="E1147" s="1" t="s">
        <v>17</v>
      </c>
      <c r="F1147" s="1" t="s">
        <v>118</v>
      </c>
      <c r="H1147" s="1">
        <v>2023.0</v>
      </c>
      <c r="I1147" s="1" t="s">
        <v>861</v>
      </c>
    </row>
    <row r="1148">
      <c r="A1148" s="1">
        <v>1146.0</v>
      </c>
      <c r="B1148" s="1">
        <v>2.0</v>
      </c>
      <c r="C1148" s="1">
        <v>0.456728425268378</v>
      </c>
      <c r="D1148" s="1" t="s">
        <v>1030</v>
      </c>
      <c r="E1148" s="1" t="s">
        <v>20</v>
      </c>
      <c r="F1148" s="1" t="s">
        <v>18</v>
      </c>
      <c r="G1148" s="1" t="s">
        <v>42</v>
      </c>
      <c r="H1148" s="1">
        <v>2018.0</v>
      </c>
      <c r="I1148" s="1" t="s">
        <v>861</v>
      </c>
    </row>
    <row r="1149">
      <c r="A1149" s="1">
        <v>1147.0</v>
      </c>
      <c r="B1149" s="1">
        <v>7.0</v>
      </c>
      <c r="C1149" s="1">
        <v>0.675341515217563</v>
      </c>
      <c r="D1149" s="1" t="s">
        <v>1002</v>
      </c>
      <c r="E1149" s="1" t="s">
        <v>20</v>
      </c>
      <c r="F1149" s="1" t="s">
        <v>18</v>
      </c>
      <c r="G1149" s="1" t="s">
        <v>42</v>
      </c>
      <c r="H1149" s="1">
        <v>2018.0</v>
      </c>
      <c r="I1149" s="1" t="s">
        <v>861</v>
      </c>
    </row>
    <row r="1150">
      <c r="A1150" s="1">
        <v>1148.0</v>
      </c>
      <c r="B1150" s="1">
        <v>4.0</v>
      </c>
      <c r="C1150" s="1">
        <v>0.452968384599123</v>
      </c>
      <c r="D1150" s="1" t="s">
        <v>1031</v>
      </c>
      <c r="E1150" s="1" t="s">
        <v>20</v>
      </c>
      <c r="F1150" s="1" t="s">
        <v>18</v>
      </c>
      <c r="G1150" s="1" t="s">
        <v>42</v>
      </c>
      <c r="H1150" s="1">
        <v>2018.0</v>
      </c>
      <c r="I1150" s="1" t="s">
        <v>861</v>
      </c>
    </row>
    <row r="1151">
      <c r="A1151" s="1">
        <v>1149.0</v>
      </c>
      <c r="B1151" s="1">
        <v>5.0</v>
      </c>
      <c r="C1151" s="1">
        <v>0.407698478310593</v>
      </c>
      <c r="D1151" s="1" t="s">
        <v>1012</v>
      </c>
      <c r="E1151" s="1" t="s">
        <v>58</v>
      </c>
      <c r="F1151" s="1" t="s">
        <v>59</v>
      </c>
      <c r="G1151" s="2">
        <v>46153.0</v>
      </c>
      <c r="H1151" s="1">
        <v>2024.0</v>
      </c>
      <c r="I1151" s="1" t="s">
        <v>861</v>
      </c>
    </row>
    <row r="1152">
      <c r="A1152" s="1">
        <v>1150.0</v>
      </c>
      <c r="B1152" s="1">
        <v>4.0</v>
      </c>
      <c r="C1152" s="1">
        <v>0.967855668777459</v>
      </c>
      <c r="D1152" s="1" t="s">
        <v>245</v>
      </c>
      <c r="E1152" s="1" t="s">
        <v>58</v>
      </c>
      <c r="F1152" s="1" t="s">
        <v>59</v>
      </c>
      <c r="G1152" s="2">
        <v>46153.0</v>
      </c>
      <c r="H1152" s="1">
        <v>2024.0</v>
      </c>
      <c r="I1152" s="1" t="s">
        <v>861</v>
      </c>
    </row>
    <row r="1153">
      <c r="A1153" s="1">
        <v>1151.0</v>
      </c>
      <c r="B1153" s="1">
        <v>6.0</v>
      </c>
      <c r="C1153" s="1">
        <v>0.970966539379796</v>
      </c>
      <c r="D1153" s="1" t="s">
        <v>60</v>
      </c>
      <c r="E1153" s="1" t="s">
        <v>58</v>
      </c>
      <c r="F1153" s="1" t="s">
        <v>59</v>
      </c>
      <c r="G1153" s="2">
        <v>46153.0</v>
      </c>
      <c r="H1153" s="1">
        <v>2024.0</v>
      </c>
      <c r="I1153" s="1" t="s">
        <v>861</v>
      </c>
    </row>
    <row r="1154">
      <c r="A1154" s="1">
        <v>1152.0</v>
      </c>
      <c r="B1154" s="1">
        <v>1.0</v>
      </c>
      <c r="C1154" s="1">
        <v>0.967856451165585</v>
      </c>
      <c r="D1154" s="1" t="s">
        <v>1032</v>
      </c>
      <c r="E1154" s="1" t="s">
        <v>58</v>
      </c>
      <c r="F1154" s="1" t="s">
        <v>59</v>
      </c>
      <c r="G1154" s="2">
        <v>46153.0</v>
      </c>
      <c r="H1154" s="1">
        <v>2024.0</v>
      </c>
      <c r="I1154" s="1" t="s">
        <v>861</v>
      </c>
    </row>
    <row r="1155">
      <c r="A1155" s="1">
        <v>1153.0</v>
      </c>
      <c r="B1155" s="1">
        <v>1.0</v>
      </c>
      <c r="C1155" s="1">
        <v>0.969999362834906</v>
      </c>
      <c r="D1155" s="1" t="s">
        <v>1033</v>
      </c>
      <c r="E1155" s="1" t="s">
        <v>58</v>
      </c>
      <c r="F1155" s="1" t="s">
        <v>59</v>
      </c>
      <c r="G1155" s="2">
        <v>46153.0</v>
      </c>
      <c r="H1155" s="1">
        <v>2024.0</v>
      </c>
      <c r="I1155" s="1" t="s">
        <v>861</v>
      </c>
    </row>
    <row r="1156">
      <c r="A1156" s="1">
        <v>1154.0</v>
      </c>
      <c r="B1156" s="1">
        <v>1.0</v>
      </c>
      <c r="C1156" s="1">
        <v>0.970967181637021</v>
      </c>
      <c r="D1156" s="1" t="s">
        <v>1034</v>
      </c>
      <c r="E1156" s="1" t="s">
        <v>58</v>
      </c>
      <c r="F1156" s="1" t="s">
        <v>59</v>
      </c>
      <c r="G1156" s="2">
        <v>46153.0</v>
      </c>
      <c r="H1156" s="1">
        <v>2024.0</v>
      </c>
      <c r="I1156" s="1" t="s">
        <v>861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3.25"/>
  </cols>
  <sheetData>
    <row r="1">
      <c r="A1" s="3" t="s">
        <v>1035</v>
      </c>
      <c r="B1" s="3" t="s">
        <v>1036</v>
      </c>
      <c r="C1" s="3" t="s">
        <v>1037</v>
      </c>
      <c r="D1" s="3" t="s">
        <v>1038</v>
      </c>
      <c r="E1" s="3" t="s">
        <v>1039</v>
      </c>
      <c r="F1" s="3" t="s">
        <v>1040</v>
      </c>
      <c r="G1" s="3" t="s">
        <v>1041</v>
      </c>
      <c r="H1" s="3" t="s">
        <v>1042</v>
      </c>
      <c r="I1" s="3" t="s">
        <v>1043</v>
      </c>
      <c r="J1" s="3" t="s">
        <v>1044</v>
      </c>
    </row>
    <row r="2">
      <c r="A2" s="3" t="s">
        <v>1045</v>
      </c>
      <c r="B2" s="3" t="s">
        <v>1046</v>
      </c>
      <c r="C2" s="3" t="s">
        <v>1046</v>
      </c>
      <c r="D2" s="4" t="s">
        <v>1047</v>
      </c>
      <c r="E2" s="3" t="s">
        <v>1046</v>
      </c>
      <c r="F2" s="4" t="s">
        <v>1048</v>
      </c>
      <c r="G2" s="3" t="s">
        <v>1046</v>
      </c>
      <c r="H2" s="3" t="s">
        <v>1046</v>
      </c>
      <c r="I2" s="4" t="s">
        <v>1049</v>
      </c>
      <c r="J2" s="3" t="s">
        <v>1046</v>
      </c>
    </row>
    <row r="3">
      <c r="A3" s="4" t="s">
        <v>1050</v>
      </c>
      <c r="B3" s="4" t="s">
        <v>1051</v>
      </c>
      <c r="C3" s="3" t="s">
        <v>1052</v>
      </c>
      <c r="D3" s="3" t="s">
        <v>1053</v>
      </c>
      <c r="E3" s="4" t="s">
        <v>1054</v>
      </c>
      <c r="F3" s="3" t="s">
        <v>1046</v>
      </c>
      <c r="G3" s="4" t="s">
        <v>1055</v>
      </c>
      <c r="H3" s="4" t="s">
        <v>1056</v>
      </c>
      <c r="I3" s="4" t="s">
        <v>1057</v>
      </c>
      <c r="J3" s="4" t="s">
        <v>1058</v>
      </c>
    </row>
    <row r="4">
      <c r="A4" s="3" t="s">
        <v>1059</v>
      </c>
      <c r="B4" s="4" t="s">
        <v>1060</v>
      </c>
      <c r="C4" s="4" t="s">
        <v>1061</v>
      </c>
      <c r="D4" s="4" t="s">
        <v>1062</v>
      </c>
      <c r="E4" s="4" t="s">
        <v>1063</v>
      </c>
      <c r="F4" s="4" t="s">
        <v>1064</v>
      </c>
      <c r="G4" s="4" t="s">
        <v>1065</v>
      </c>
      <c r="H4" s="4" t="s">
        <v>1066</v>
      </c>
      <c r="I4" s="4" t="s">
        <v>1055</v>
      </c>
      <c r="J4" s="3" t="s">
        <v>1067</v>
      </c>
    </row>
    <row r="5">
      <c r="A5" s="4" t="s">
        <v>1068</v>
      </c>
      <c r="B5" s="4" t="s">
        <v>1069</v>
      </c>
      <c r="C5" s="4" t="s">
        <v>1070</v>
      </c>
      <c r="D5" s="3" t="s">
        <v>1071</v>
      </c>
      <c r="E5" s="3" t="s">
        <v>1072</v>
      </c>
      <c r="F5" s="4" t="s">
        <v>1055</v>
      </c>
      <c r="G5" s="3" t="s">
        <v>1073</v>
      </c>
      <c r="H5" s="4" t="s">
        <v>1074</v>
      </c>
      <c r="I5" s="3" t="s">
        <v>1046</v>
      </c>
      <c r="J5" s="4" t="s">
        <v>1075</v>
      </c>
    </row>
    <row r="6">
      <c r="A6" s="3" t="s">
        <v>1076</v>
      </c>
      <c r="B6" s="4" t="s">
        <v>1049</v>
      </c>
      <c r="C6" s="3" t="s">
        <v>1077</v>
      </c>
      <c r="D6" s="4" t="s">
        <v>1078</v>
      </c>
      <c r="E6" s="3" t="s">
        <v>1079</v>
      </c>
      <c r="F6" s="3" t="s">
        <v>1080</v>
      </c>
      <c r="G6" s="3" t="s">
        <v>1081</v>
      </c>
      <c r="H6" s="3" t="s">
        <v>1051</v>
      </c>
      <c r="I6" s="3" t="s">
        <v>1082</v>
      </c>
      <c r="J6" s="3" t="s">
        <v>1083</v>
      </c>
    </row>
    <row r="7">
      <c r="A7" s="3" t="s">
        <v>1072</v>
      </c>
      <c r="B7" s="4" t="s">
        <v>1084</v>
      </c>
      <c r="C7" s="3" t="s">
        <v>1085</v>
      </c>
      <c r="D7" s="4" t="s">
        <v>1086</v>
      </c>
      <c r="E7" s="4" t="s">
        <v>1087</v>
      </c>
      <c r="F7" s="3" t="s">
        <v>1088</v>
      </c>
      <c r="G7" s="3" t="s">
        <v>1089</v>
      </c>
      <c r="H7" s="4" t="s">
        <v>1090</v>
      </c>
      <c r="I7" s="3" t="s">
        <v>1091</v>
      </c>
      <c r="J7" s="4" t="s">
        <v>1092</v>
      </c>
    </row>
    <row r="8">
      <c r="A8" s="3" t="s">
        <v>1046</v>
      </c>
      <c r="B8" s="3" t="s">
        <v>1093</v>
      </c>
      <c r="C8" s="4" t="s">
        <v>1094</v>
      </c>
      <c r="D8" s="3" t="s">
        <v>1095</v>
      </c>
      <c r="E8" s="3" t="s">
        <v>1096</v>
      </c>
      <c r="F8" s="3" t="s">
        <v>1097</v>
      </c>
      <c r="G8" s="3" t="s">
        <v>1098</v>
      </c>
      <c r="H8" s="4" t="s">
        <v>1060</v>
      </c>
      <c r="I8" s="4" t="s">
        <v>1099</v>
      </c>
      <c r="J8" s="4" t="s">
        <v>1100</v>
      </c>
    </row>
    <row r="9">
      <c r="A9" s="3" t="s">
        <v>1091</v>
      </c>
      <c r="B9" s="3" t="s">
        <v>1101</v>
      </c>
      <c r="C9" s="3" t="s">
        <v>1102</v>
      </c>
      <c r="D9" s="3" t="s">
        <v>1103</v>
      </c>
      <c r="E9" s="4" t="s">
        <v>1104</v>
      </c>
      <c r="F9" s="4" t="s">
        <v>1105</v>
      </c>
      <c r="G9" s="3" t="s">
        <v>1106</v>
      </c>
      <c r="H9" s="4" t="s">
        <v>1107</v>
      </c>
      <c r="I9" s="3" t="s">
        <v>1108</v>
      </c>
      <c r="J9" s="4" t="s">
        <v>1109</v>
      </c>
    </row>
    <row r="10">
      <c r="A10" s="4" t="s">
        <v>1062</v>
      </c>
      <c r="B10" s="3" t="s">
        <v>1110</v>
      </c>
      <c r="C10" s="4" t="s">
        <v>1111</v>
      </c>
      <c r="D10" s="3" t="s">
        <v>1112</v>
      </c>
      <c r="E10" s="3" t="s">
        <v>1113</v>
      </c>
      <c r="F10" s="3" t="s">
        <v>1051</v>
      </c>
      <c r="G10" s="4" t="s">
        <v>1114</v>
      </c>
      <c r="H10" s="4" t="s">
        <v>1115</v>
      </c>
      <c r="I10" s="3" t="s">
        <v>1116</v>
      </c>
      <c r="J10" s="3" t="s">
        <v>1084</v>
      </c>
    </row>
    <row r="11">
      <c r="A11" s="3" t="s">
        <v>1051</v>
      </c>
      <c r="B11" s="3" t="s">
        <v>1117</v>
      </c>
      <c r="C11" s="4" t="s">
        <v>1118</v>
      </c>
      <c r="D11" s="3" t="s">
        <v>1046</v>
      </c>
      <c r="E11" s="3" t="s">
        <v>1101</v>
      </c>
      <c r="F11" s="4" t="s">
        <v>1119</v>
      </c>
      <c r="G11" s="4" t="s">
        <v>1120</v>
      </c>
      <c r="H11" s="4" t="s">
        <v>1121</v>
      </c>
      <c r="I11" s="3" t="s">
        <v>1060</v>
      </c>
      <c r="J11" s="3" t="s">
        <v>1122</v>
      </c>
    </row>
    <row r="12">
      <c r="A12" s="3" t="s">
        <v>1123</v>
      </c>
      <c r="B12" s="3" t="s">
        <v>1124</v>
      </c>
      <c r="C12" s="3" t="s">
        <v>1124</v>
      </c>
      <c r="D12" s="3" t="s">
        <v>1125</v>
      </c>
      <c r="E12" s="3" t="s">
        <v>1126</v>
      </c>
      <c r="F12" s="3" t="s">
        <v>1127</v>
      </c>
      <c r="G12" s="3" t="s">
        <v>1053</v>
      </c>
      <c r="H12" s="3" t="s">
        <v>1099</v>
      </c>
      <c r="I12" s="3" t="s">
        <v>1128</v>
      </c>
      <c r="J12" s="3" t="s">
        <v>1129</v>
      </c>
    </row>
    <row r="13">
      <c r="A13" s="3" t="s">
        <v>1130</v>
      </c>
      <c r="B13" s="3" t="s">
        <v>1131</v>
      </c>
      <c r="C13" s="3" t="s">
        <v>1132</v>
      </c>
      <c r="D13" s="3" t="s">
        <v>1133</v>
      </c>
      <c r="E13" s="3" t="s">
        <v>1134</v>
      </c>
      <c r="F13" s="3" t="s">
        <v>1135</v>
      </c>
      <c r="G13" s="4" t="s">
        <v>1136</v>
      </c>
      <c r="H13" s="3" t="s">
        <v>1137</v>
      </c>
      <c r="I13" s="3" t="s">
        <v>1138</v>
      </c>
      <c r="J13" s="3" t="s">
        <v>1139</v>
      </c>
    </row>
    <row r="14">
      <c r="A14" s="3" t="s">
        <v>1140</v>
      </c>
      <c r="B14" s="3" t="s">
        <v>1086</v>
      </c>
      <c r="C14" s="4" t="s">
        <v>1141</v>
      </c>
      <c r="D14" s="3" t="s">
        <v>1142</v>
      </c>
      <c r="E14" s="3" t="s">
        <v>1143</v>
      </c>
      <c r="F14" s="3" t="s">
        <v>1144</v>
      </c>
      <c r="G14" s="3" t="s">
        <v>1145</v>
      </c>
      <c r="H14" s="3" t="s">
        <v>1146</v>
      </c>
      <c r="I14" s="4" t="s">
        <v>1147</v>
      </c>
      <c r="J14" s="3" t="s">
        <v>1148</v>
      </c>
    </row>
    <row r="15">
      <c r="A15" s="3" t="s">
        <v>1149</v>
      </c>
      <c r="B15" s="4" t="s">
        <v>1150</v>
      </c>
      <c r="C15" s="3" t="s">
        <v>1125</v>
      </c>
      <c r="D15" s="3" t="s">
        <v>1151</v>
      </c>
      <c r="E15" s="3" t="s">
        <v>1099</v>
      </c>
      <c r="F15" s="3" t="s">
        <v>1152</v>
      </c>
      <c r="G15" s="3" t="s">
        <v>1153</v>
      </c>
      <c r="H15" s="3" t="s">
        <v>1154</v>
      </c>
      <c r="I15" s="4" t="s">
        <v>1155</v>
      </c>
      <c r="J15" s="3" t="s">
        <v>1135</v>
      </c>
    </row>
    <row r="16">
      <c r="A16" s="3" t="s">
        <v>1156</v>
      </c>
      <c r="B16" s="3" t="s">
        <v>1157</v>
      </c>
      <c r="C16" s="4" t="s">
        <v>1158</v>
      </c>
      <c r="D16" s="3" t="s">
        <v>1064</v>
      </c>
      <c r="E16" s="3" t="s">
        <v>1159</v>
      </c>
      <c r="F16" s="3" t="s">
        <v>1160</v>
      </c>
      <c r="G16" s="3" t="s">
        <v>1060</v>
      </c>
      <c r="H16" s="4" t="s">
        <v>1161</v>
      </c>
      <c r="I16" s="3" t="s">
        <v>1101</v>
      </c>
      <c r="J16" s="3" t="s">
        <v>1086</v>
      </c>
    </row>
    <row r="17">
      <c r="A17" s="3" t="s">
        <v>1162</v>
      </c>
      <c r="B17" s="3" t="s">
        <v>1163</v>
      </c>
      <c r="C17" s="4" t="s">
        <v>1164</v>
      </c>
      <c r="D17" s="3" t="s">
        <v>1049</v>
      </c>
      <c r="E17" s="3" t="s">
        <v>1165</v>
      </c>
      <c r="F17" s="3" t="s">
        <v>1166</v>
      </c>
      <c r="G17" s="3" t="s">
        <v>1167</v>
      </c>
      <c r="H17" s="4" t="s">
        <v>1155</v>
      </c>
      <c r="I17" s="3" t="s">
        <v>1110</v>
      </c>
      <c r="J17" s="3" t="s">
        <v>1168</v>
      </c>
    </row>
    <row r="18">
      <c r="A18" s="3" t="s">
        <v>1169</v>
      </c>
      <c r="B18" s="3" t="s">
        <v>1071</v>
      </c>
      <c r="C18" s="3" t="s">
        <v>1157</v>
      </c>
      <c r="D18" s="3" t="s">
        <v>1068</v>
      </c>
      <c r="E18" s="3" t="s">
        <v>1153</v>
      </c>
      <c r="F18" s="3" t="s">
        <v>1170</v>
      </c>
      <c r="G18" s="3" t="s">
        <v>1088</v>
      </c>
      <c r="H18" s="4" t="s">
        <v>1171</v>
      </c>
      <c r="I18" s="3" t="s">
        <v>1172</v>
      </c>
      <c r="J18" s="3" t="s">
        <v>1173</v>
      </c>
    </row>
    <row r="19">
      <c r="A19" s="3" t="s">
        <v>1174</v>
      </c>
      <c r="B19" s="3" t="s">
        <v>1055</v>
      </c>
      <c r="C19" s="3" t="s">
        <v>1139</v>
      </c>
      <c r="D19" s="3" t="s">
        <v>1175</v>
      </c>
      <c r="E19" s="3" t="s">
        <v>1176</v>
      </c>
      <c r="F19" s="3" t="s">
        <v>1177</v>
      </c>
      <c r="G19" s="3" t="s">
        <v>1178</v>
      </c>
      <c r="H19" s="3" t="s">
        <v>1179</v>
      </c>
      <c r="I19" s="3" t="s">
        <v>1180</v>
      </c>
      <c r="J19" s="3" t="s">
        <v>1178</v>
      </c>
    </row>
    <row r="20">
      <c r="A20" s="3" t="s">
        <v>1181</v>
      </c>
      <c r="B20" s="4" t="s">
        <v>1182</v>
      </c>
      <c r="C20" s="3" t="s">
        <v>1183</v>
      </c>
      <c r="D20" s="3" t="s">
        <v>1176</v>
      </c>
      <c r="E20" s="3" t="s">
        <v>1047</v>
      </c>
      <c r="F20" s="3" t="s">
        <v>1047</v>
      </c>
      <c r="G20" s="3" t="s">
        <v>1184</v>
      </c>
      <c r="H20" s="3" t="s">
        <v>1185</v>
      </c>
      <c r="I20" s="3" t="s">
        <v>1186</v>
      </c>
      <c r="J20" s="3" t="s">
        <v>1187</v>
      </c>
    </row>
    <row r="21">
      <c r="A21" s="3" t="s">
        <v>1188</v>
      </c>
      <c r="B21" s="3" t="s">
        <v>1133</v>
      </c>
      <c r="C21" s="3" t="s">
        <v>1189</v>
      </c>
      <c r="D21" s="3" t="s">
        <v>1190</v>
      </c>
      <c r="E21" s="3" t="s">
        <v>1191</v>
      </c>
      <c r="F21" s="3" t="s">
        <v>1192</v>
      </c>
      <c r="G21" s="3" t="s">
        <v>1193</v>
      </c>
      <c r="H21" s="3" t="s">
        <v>1194</v>
      </c>
      <c r="I21" s="3" t="s">
        <v>1124</v>
      </c>
      <c r="J21" s="3" t="s">
        <v>1195</v>
      </c>
    </row>
    <row r="22">
      <c r="A22" s="3"/>
      <c r="B22" s="4" t="s">
        <v>1196</v>
      </c>
      <c r="C22" s="5" t="s">
        <v>1197</v>
      </c>
      <c r="D22" s="3"/>
      <c r="E22" s="3"/>
      <c r="F22" s="3"/>
      <c r="G22" s="3"/>
      <c r="H22" s="4" t="s">
        <v>1198</v>
      </c>
      <c r="I22" s="4" t="s">
        <v>1199</v>
      </c>
      <c r="J22"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5">
      <c r="A15" s="1" t="s">
        <v>1202</v>
      </c>
      <c r="B15" s="6">
        <f t="shared" ref="B15:G15" si="1">B5+B10+B11</f>
        <v>121</v>
      </c>
      <c r="C15" s="6">
        <f t="shared" si="1"/>
        <v>29</v>
      </c>
      <c r="D15" s="6">
        <f t="shared" si="1"/>
        <v>3</v>
      </c>
      <c r="E15" s="6">
        <f t="shared" si="1"/>
        <v>154</v>
      </c>
      <c r="F15" s="6">
        <f t="shared" si="1"/>
        <v>13</v>
      </c>
      <c r="G15" s="6">
        <f t="shared" si="1"/>
        <v>320</v>
      </c>
      <c r="H15" s="1" t="s">
        <v>1203</v>
      </c>
      <c r="I15" s="7">
        <f t="shared" ref="I15:I16" si="3">G15/G$13</f>
        <v>0.2770562771</v>
      </c>
    </row>
    <row r="16">
      <c r="A16" s="1" t="s">
        <v>1204</v>
      </c>
      <c r="B16" s="6">
        <f t="shared" ref="B16:G16" si="2">B13-B15</f>
        <v>324</v>
      </c>
      <c r="C16" s="6">
        <f t="shared" si="2"/>
        <v>155</v>
      </c>
      <c r="D16" s="6">
        <f t="shared" si="2"/>
        <v>60</v>
      </c>
      <c r="E16" s="6">
        <f t="shared" si="2"/>
        <v>90</v>
      </c>
      <c r="F16" s="6">
        <f t="shared" si="2"/>
        <v>206</v>
      </c>
      <c r="G16" s="6">
        <f t="shared" si="2"/>
        <v>835</v>
      </c>
      <c r="I16" s="7">
        <f t="shared" si="3"/>
        <v>0.7229437229</v>
      </c>
    </row>
    <row r="17">
      <c r="B17" s="7">
        <f t="shared" ref="B17:G17" si="4">B15/B$13</f>
        <v>0.2719101124</v>
      </c>
      <c r="C17" s="7">
        <f t="shared" si="4"/>
        <v>0.1576086957</v>
      </c>
      <c r="D17" s="7">
        <f t="shared" si="4"/>
        <v>0.04761904762</v>
      </c>
      <c r="E17" s="7">
        <f t="shared" si="4"/>
        <v>0.631147541</v>
      </c>
      <c r="F17" s="7">
        <f t="shared" si="4"/>
        <v>0.05936073059</v>
      </c>
      <c r="G17" s="7">
        <f t="shared" si="4"/>
        <v>0.2770562771</v>
      </c>
    </row>
    <row r="18">
      <c r="B18" s="7">
        <f t="shared" ref="B18:G18" si="5">B16/B$13</f>
        <v>0.7280898876</v>
      </c>
      <c r="C18" s="7">
        <f t="shared" si="5"/>
        <v>0.8423913043</v>
      </c>
      <c r="D18" s="7">
        <f t="shared" si="5"/>
        <v>0.9523809524</v>
      </c>
      <c r="E18" s="7">
        <f t="shared" si="5"/>
        <v>0.368852459</v>
      </c>
      <c r="F18" s="7">
        <f t="shared" si="5"/>
        <v>0.9406392694</v>
      </c>
      <c r="G18" s="7">
        <f t="shared" si="5"/>
        <v>0.7229437229</v>
      </c>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1.0"/>
    <col customWidth="1" min="4" max="4" width="55.63"/>
    <col customWidth="1" min="5" max="5" width="58.63"/>
  </cols>
  <sheetData>
    <row r="1">
      <c r="A1" s="8" t="s">
        <v>1205</v>
      </c>
      <c r="B1" s="8" t="s">
        <v>1206</v>
      </c>
      <c r="C1" s="8" t="s">
        <v>1207</v>
      </c>
      <c r="D1" s="8" t="s">
        <v>1208</v>
      </c>
      <c r="E1" s="9" t="s">
        <v>1209</v>
      </c>
      <c r="F1" s="10"/>
      <c r="G1" s="10"/>
      <c r="H1" s="10"/>
      <c r="I1" s="10"/>
      <c r="J1" s="10"/>
      <c r="K1" s="10"/>
      <c r="L1" s="10"/>
      <c r="M1" s="10"/>
      <c r="N1" s="10"/>
      <c r="O1" s="10"/>
      <c r="P1" s="10"/>
      <c r="Q1" s="10"/>
      <c r="R1" s="10"/>
      <c r="S1" s="10"/>
      <c r="T1" s="10"/>
      <c r="U1" s="10"/>
      <c r="V1" s="10"/>
      <c r="W1" s="10"/>
      <c r="X1" s="10"/>
      <c r="Y1" s="10"/>
      <c r="Z1" s="10"/>
    </row>
    <row r="2">
      <c r="A2" s="8">
        <v>-1.0</v>
      </c>
      <c r="B2" s="8">
        <v>298.0</v>
      </c>
      <c r="C2" s="8" t="s">
        <v>1210</v>
      </c>
      <c r="D2" s="11" t="s">
        <v>1211</v>
      </c>
      <c r="E2" s="9" t="s">
        <v>1212</v>
      </c>
      <c r="F2" s="10"/>
      <c r="G2" s="10"/>
      <c r="H2" s="10"/>
      <c r="I2" s="10"/>
      <c r="J2" s="10"/>
      <c r="K2" s="10"/>
      <c r="L2" s="10"/>
      <c r="M2" s="10"/>
      <c r="N2" s="10"/>
      <c r="O2" s="10"/>
      <c r="P2" s="10"/>
      <c r="Q2" s="10"/>
      <c r="R2" s="10"/>
      <c r="S2" s="10"/>
      <c r="T2" s="10"/>
      <c r="U2" s="10"/>
      <c r="V2" s="10"/>
      <c r="W2" s="10"/>
      <c r="X2" s="10"/>
      <c r="Y2" s="10"/>
      <c r="Z2" s="10"/>
    </row>
    <row r="3">
      <c r="A3" s="8">
        <v>0.0</v>
      </c>
      <c r="B3" s="8">
        <v>234.0</v>
      </c>
      <c r="C3" s="8" t="s">
        <v>1213</v>
      </c>
      <c r="D3" s="11" t="s">
        <v>1214</v>
      </c>
      <c r="E3" s="9" t="s">
        <v>1215</v>
      </c>
      <c r="F3" s="10"/>
      <c r="G3" s="10"/>
      <c r="H3" s="10"/>
      <c r="I3" s="10"/>
      <c r="J3" s="10"/>
      <c r="K3" s="10"/>
      <c r="L3" s="10"/>
      <c r="M3" s="10"/>
      <c r="N3" s="10"/>
      <c r="O3" s="10"/>
      <c r="P3" s="10"/>
      <c r="Q3" s="10"/>
      <c r="R3" s="10"/>
      <c r="S3" s="10"/>
      <c r="T3" s="10"/>
      <c r="U3" s="10"/>
      <c r="V3" s="10"/>
      <c r="W3" s="10"/>
      <c r="X3" s="10"/>
      <c r="Y3" s="10"/>
      <c r="Z3" s="10"/>
    </row>
    <row r="4">
      <c r="A4" s="8">
        <v>1.0</v>
      </c>
      <c r="B4" s="8">
        <v>97.0</v>
      </c>
      <c r="C4" s="12" t="s">
        <v>1216</v>
      </c>
      <c r="D4" s="11" t="s">
        <v>1217</v>
      </c>
      <c r="E4" s="9" t="s">
        <v>1218</v>
      </c>
      <c r="F4" s="10"/>
      <c r="G4" s="10"/>
      <c r="H4" s="10"/>
      <c r="I4" s="10"/>
      <c r="J4" s="10"/>
      <c r="K4" s="10"/>
      <c r="L4" s="10"/>
      <c r="M4" s="10"/>
      <c r="N4" s="10"/>
      <c r="O4" s="10"/>
      <c r="P4" s="10"/>
      <c r="Q4" s="10"/>
      <c r="R4" s="10"/>
      <c r="S4" s="10"/>
      <c r="T4" s="10"/>
      <c r="U4" s="10"/>
      <c r="V4" s="10"/>
      <c r="W4" s="10"/>
      <c r="X4" s="10"/>
      <c r="Y4" s="10"/>
      <c r="Z4" s="10"/>
    </row>
    <row r="5">
      <c r="A5" s="8">
        <v>2.0</v>
      </c>
      <c r="B5" s="8">
        <v>52.0</v>
      </c>
      <c r="C5" s="12" t="s">
        <v>1219</v>
      </c>
      <c r="D5" s="11" t="s">
        <v>1220</v>
      </c>
      <c r="E5" s="9" t="s">
        <v>1221</v>
      </c>
      <c r="F5" s="10"/>
      <c r="G5" s="10"/>
      <c r="H5" s="10"/>
      <c r="I5" s="10"/>
      <c r="J5" s="10"/>
      <c r="K5" s="10"/>
      <c r="L5" s="10"/>
      <c r="M5" s="10"/>
      <c r="N5" s="10"/>
      <c r="O5" s="10"/>
      <c r="P5" s="10"/>
      <c r="Q5" s="10"/>
      <c r="R5" s="10"/>
      <c r="S5" s="10"/>
      <c r="T5" s="10"/>
      <c r="U5" s="10"/>
      <c r="V5" s="10"/>
      <c r="W5" s="10"/>
      <c r="X5" s="10"/>
      <c r="Y5" s="10"/>
      <c r="Z5" s="10"/>
    </row>
    <row r="6">
      <c r="A6" s="8">
        <v>3.0</v>
      </c>
      <c r="B6" s="8">
        <v>47.0</v>
      </c>
      <c r="C6" s="12" t="s">
        <v>1222</v>
      </c>
      <c r="D6" s="11" t="s">
        <v>1223</v>
      </c>
      <c r="E6" s="9" t="s">
        <v>1224</v>
      </c>
      <c r="F6" s="10"/>
      <c r="G6" s="10"/>
      <c r="H6" s="10"/>
      <c r="I6" s="10"/>
      <c r="J6" s="10"/>
      <c r="K6" s="10"/>
      <c r="L6" s="10"/>
      <c r="M6" s="10"/>
      <c r="N6" s="10"/>
      <c r="O6" s="10"/>
      <c r="P6" s="10"/>
      <c r="Q6" s="10"/>
      <c r="R6" s="10"/>
      <c r="S6" s="10"/>
      <c r="T6" s="10"/>
      <c r="U6" s="10"/>
      <c r="V6" s="10"/>
      <c r="W6" s="10"/>
      <c r="X6" s="10"/>
      <c r="Y6" s="10"/>
      <c r="Z6" s="10"/>
    </row>
    <row r="7">
      <c r="A7" s="8">
        <v>4.0</v>
      </c>
      <c r="B7" s="8">
        <v>46.0</v>
      </c>
      <c r="C7" s="12" t="s">
        <v>1225</v>
      </c>
      <c r="D7" s="11" t="s">
        <v>1226</v>
      </c>
      <c r="E7" s="9" t="s">
        <v>1227</v>
      </c>
      <c r="F7" s="10"/>
      <c r="G7" s="10"/>
      <c r="H7" s="10"/>
      <c r="I7" s="10"/>
      <c r="J7" s="10"/>
      <c r="K7" s="10"/>
      <c r="L7" s="10"/>
      <c r="M7" s="10"/>
      <c r="N7" s="10"/>
      <c r="O7" s="10"/>
      <c r="P7" s="10"/>
      <c r="Q7" s="10"/>
      <c r="R7" s="10"/>
      <c r="S7" s="10"/>
      <c r="T7" s="10"/>
      <c r="U7" s="10"/>
      <c r="V7" s="10"/>
      <c r="W7" s="10"/>
      <c r="X7" s="10"/>
      <c r="Y7" s="10"/>
      <c r="Z7" s="10"/>
    </row>
    <row r="8">
      <c r="A8" s="8">
        <v>5.0</v>
      </c>
      <c r="B8" s="8">
        <v>37.0</v>
      </c>
      <c r="C8" s="8" t="s">
        <v>1228</v>
      </c>
      <c r="D8" s="11" t="s">
        <v>1229</v>
      </c>
      <c r="E8" s="9" t="s">
        <v>1230</v>
      </c>
      <c r="F8" s="10"/>
      <c r="G8" s="10"/>
      <c r="H8" s="10"/>
      <c r="I8" s="10"/>
      <c r="J8" s="10"/>
      <c r="K8" s="10"/>
      <c r="L8" s="10"/>
      <c r="M8" s="10"/>
      <c r="N8" s="10"/>
      <c r="O8" s="10"/>
      <c r="P8" s="10"/>
      <c r="Q8" s="10"/>
      <c r="R8" s="10"/>
      <c r="S8" s="10"/>
      <c r="T8" s="10"/>
      <c r="U8" s="10"/>
      <c r="V8" s="10"/>
      <c r="W8" s="10"/>
      <c r="X8" s="10"/>
      <c r="Y8" s="10"/>
      <c r="Z8" s="10"/>
    </row>
    <row r="9">
      <c r="A9" s="8">
        <v>6.0</v>
      </c>
      <c r="B9" s="8">
        <v>36.0</v>
      </c>
      <c r="C9" s="8" t="s">
        <v>1231</v>
      </c>
      <c r="D9" s="11" t="s">
        <v>1232</v>
      </c>
      <c r="E9" s="9" t="s">
        <v>1233</v>
      </c>
      <c r="F9" s="10"/>
      <c r="G9" s="10"/>
      <c r="H9" s="10"/>
      <c r="I9" s="10"/>
      <c r="J9" s="10"/>
      <c r="K9" s="10"/>
      <c r="L9" s="10"/>
      <c r="M9" s="10"/>
      <c r="N9" s="10"/>
      <c r="O9" s="10"/>
      <c r="P9" s="10"/>
      <c r="Q9" s="10"/>
      <c r="R9" s="10"/>
      <c r="S9" s="10"/>
      <c r="T9" s="10"/>
      <c r="U9" s="10"/>
      <c r="V9" s="10"/>
      <c r="W9" s="10"/>
      <c r="X9" s="10"/>
      <c r="Y9" s="10"/>
      <c r="Z9" s="10"/>
    </row>
    <row r="10">
      <c r="A10" s="8">
        <v>7.0</v>
      </c>
      <c r="B10" s="8">
        <v>19.0</v>
      </c>
      <c r="C10" s="8" t="s">
        <v>1234</v>
      </c>
      <c r="D10" s="11" t="s">
        <v>1235</v>
      </c>
      <c r="E10" s="9" t="s">
        <v>1236</v>
      </c>
      <c r="F10" s="10"/>
      <c r="G10" s="10"/>
      <c r="H10" s="10"/>
      <c r="I10" s="10"/>
      <c r="J10" s="10"/>
      <c r="K10" s="10"/>
      <c r="L10" s="10"/>
      <c r="M10" s="10"/>
      <c r="N10" s="10"/>
      <c r="O10" s="10"/>
      <c r="P10" s="10"/>
      <c r="Q10" s="10"/>
      <c r="R10" s="10"/>
      <c r="S10" s="10"/>
      <c r="T10" s="10"/>
      <c r="U10" s="10"/>
      <c r="V10" s="10"/>
      <c r="W10" s="10"/>
      <c r="X10" s="10"/>
      <c r="Y10" s="10"/>
      <c r="Z10" s="10"/>
    </row>
    <row r="11">
      <c r="A11" s="8">
        <v>8.0</v>
      </c>
      <c r="B11" s="8">
        <v>17.0</v>
      </c>
      <c r="C11" s="8" t="s">
        <v>1237</v>
      </c>
      <c r="D11" s="11" t="s">
        <v>1238</v>
      </c>
      <c r="E11" s="9" t="s">
        <v>1239</v>
      </c>
      <c r="F11" s="10"/>
      <c r="G11" s="10"/>
      <c r="H11" s="10"/>
      <c r="I11" s="10"/>
      <c r="J11" s="10"/>
      <c r="K11" s="10"/>
      <c r="L11" s="10"/>
      <c r="M11" s="10"/>
      <c r="N11" s="10"/>
      <c r="O11" s="10"/>
      <c r="P11" s="10"/>
      <c r="Q11" s="10"/>
      <c r="R11" s="10"/>
      <c r="S11" s="10"/>
      <c r="T11" s="10"/>
      <c r="U11" s="10"/>
      <c r="V11" s="10"/>
      <c r="W11" s="10"/>
      <c r="X11" s="10"/>
      <c r="Y11" s="10"/>
      <c r="Z11" s="10"/>
    </row>
    <row r="12">
      <c r="A12" s="8">
        <v>9.0</v>
      </c>
      <c r="B12" s="8">
        <v>17.0</v>
      </c>
      <c r="C12" s="8" t="s">
        <v>1240</v>
      </c>
      <c r="D12" s="11" t="s">
        <v>1241</v>
      </c>
      <c r="E12" s="9" t="s">
        <v>1242</v>
      </c>
      <c r="F12" s="10"/>
      <c r="G12" s="10"/>
      <c r="H12" s="10"/>
      <c r="I12" s="10"/>
      <c r="J12" s="10"/>
      <c r="K12" s="10"/>
      <c r="L12" s="10"/>
      <c r="M12" s="10"/>
      <c r="N12" s="10"/>
      <c r="O12" s="10"/>
      <c r="P12" s="10"/>
      <c r="Q12" s="10"/>
      <c r="R12" s="10"/>
      <c r="S12" s="10"/>
      <c r="T12" s="10"/>
      <c r="U12" s="10"/>
      <c r="V12" s="10"/>
      <c r="W12" s="10"/>
      <c r="X12" s="10"/>
      <c r="Y12" s="10"/>
      <c r="Z12" s="10"/>
    </row>
    <row r="13">
      <c r="A13" s="8">
        <v>10.0</v>
      </c>
      <c r="B13" s="8">
        <v>13.0</v>
      </c>
      <c r="C13" s="8" t="s">
        <v>1243</v>
      </c>
      <c r="D13" s="11" t="s">
        <v>1244</v>
      </c>
      <c r="E13" s="9" t="s">
        <v>1245</v>
      </c>
      <c r="F13" s="10"/>
      <c r="G13" s="10"/>
      <c r="H13" s="10"/>
      <c r="I13" s="10"/>
      <c r="J13" s="10"/>
      <c r="K13" s="10"/>
      <c r="L13" s="10"/>
      <c r="M13" s="10"/>
      <c r="N13" s="10"/>
      <c r="O13" s="10"/>
      <c r="P13" s="10"/>
      <c r="Q13" s="10"/>
      <c r="R13" s="10"/>
      <c r="S13" s="10"/>
      <c r="T13" s="10"/>
      <c r="U13" s="10"/>
      <c r="V13" s="10"/>
      <c r="W13" s="10"/>
      <c r="X13" s="10"/>
      <c r="Y13" s="10"/>
      <c r="Z13" s="10"/>
    </row>
    <row r="14">
      <c r="A14" s="8">
        <v>11.0</v>
      </c>
      <c r="B14" s="8">
        <v>11.0</v>
      </c>
      <c r="C14" s="12" t="s">
        <v>1246</v>
      </c>
      <c r="D14" s="11" t="s">
        <v>1247</v>
      </c>
      <c r="E14" s="9" t="s">
        <v>1248</v>
      </c>
      <c r="F14" s="10"/>
      <c r="G14" s="10"/>
      <c r="H14" s="10"/>
      <c r="I14" s="10"/>
      <c r="J14" s="10"/>
      <c r="K14" s="10"/>
      <c r="L14" s="10"/>
      <c r="M14" s="10"/>
      <c r="N14" s="10"/>
      <c r="O14" s="10"/>
      <c r="P14" s="10"/>
      <c r="Q14" s="10"/>
      <c r="R14" s="10"/>
      <c r="S14" s="10"/>
      <c r="T14" s="10"/>
      <c r="U14" s="10"/>
      <c r="V14" s="10"/>
      <c r="W14" s="10"/>
      <c r="X14" s="10"/>
      <c r="Y14" s="10"/>
      <c r="Z14" s="10"/>
    </row>
    <row r="15">
      <c r="A15" s="8">
        <v>12.0</v>
      </c>
      <c r="B15" s="8">
        <v>11.0</v>
      </c>
      <c r="C15" s="8" t="s">
        <v>1249</v>
      </c>
      <c r="D15" s="11" t="s">
        <v>1250</v>
      </c>
      <c r="E15" s="9" t="s">
        <v>1251</v>
      </c>
      <c r="F15" s="10"/>
      <c r="G15" s="10"/>
      <c r="H15" s="10"/>
      <c r="I15" s="10"/>
      <c r="J15" s="10"/>
      <c r="K15" s="10"/>
      <c r="L15" s="10"/>
      <c r="M15" s="10"/>
      <c r="N15" s="10"/>
      <c r="O15" s="10"/>
      <c r="P15" s="10"/>
      <c r="Q15" s="10"/>
      <c r="R15" s="10"/>
      <c r="S15" s="10"/>
      <c r="T15" s="10"/>
      <c r="U15" s="10"/>
      <c r="V15" s="10"/>
      <c r="W15" s="10"/>
      <c r="X15" s="10"/>
      <c r="Y15" s="10"/>
      <c r="Z15" s="10"/>
    </row>
    <row r="16">
      <c r="A16" s="8">
        <v>13.0</v>
      </c>
      <c r="B16" s="8">
        <v>10.0</v>
      </c>
      <c r="C16" s="12" t="s">
        <v>1252</v>
      </c>
      <c r="D16" s="11" t="s">
        <v>1253</v>
      </c>
      <c r="E16" s="9" t="s">
        <v>1254</v>
      </c>
      <c r="F16" s="10"/>
      <c r="G16" s="10"/>
      <c r="H16" s="10"/>
      <c r="I16" s="10"/>
      <c r="J16" s="10"/>
      <c r="K16" s="10"/>
      <c r="L16" s="10"/>
      <c r="M16" s="10"/>
      <c r="N16" s="10"/>
      <c r="O16" s="10"/>
      <c r="P16" s="10"/>
      <c r="Q16" s="10"/>
      <c r="R16" s="10"/>
      <c r="S16" s="10"/>
      <c r="T16" s="10"/>
      <c r="U16" s="10"/>
      <c r="V16" s="10"/>
      <c r="W16" s="10"/>
      <c r="X16" s="10"/>
      <c r="Y16" s="10"/>
      <c r="Z16" s="10"/>
    </row>
    <row r="17">
      <c r="A17" s="8">
        <v>14.0</v>
      </c>
      <c r="B17" s="8">
        <v>10.0</v>
      </c>
      <c r="C17" s="8" t="s">
        <v>1255</v>
      </c>
      <c r="D17" s="11" t="s">
        <v>1256</v>
      </c>
      <c r="E17" s="9" t="s">
        <v>1257</v>
      </c>
      <c r="F17" s="10"/>
      <c r="G17" s="10"/>
      <c r="H17" s="10"/>
      <c r="I17" s="10"/>
      <c r="J17" s="10"/>
      <c r="K17" s="10"/>
      <c r="L17" s="10"/>
      <c r="M17" s="10"/>
      <c r="N17" s="10"/>
      <c r="O17" s="10"/>
      <c r="P17" s="10"/>
      <c r="Q17" s="10"/>
      <c r="R17" s="10"/>
      <c r="S17" s="10"/>
      <c r="T17" s="10"/>
      <c r="U17" s="10"/>
      <c r="V17" s="10"/>
      <c r="W17" s="10"/>
      <c r="X17" s="10"/>
      <c r="Y17" s="10"/>
      <c r="Z17" s="10"/>
    </row>
    <row r="18">
      <c r="A18" s="8">
        <v>15.0</v>
      </c>
      <c r="B18" s="8">
        <v>9.0</v>
      </c>
      <c r="C18" s="12" t="s">
        <v>1258</v>
      </c>
      <c r="D18" s="11" t="s">
        <v>1259</v>
      </c>
      <c r="E18" s="9" t="s">
        <v>1260</v>
      </c>
      <c r="F18" s="10"/>
      <c r="G18" s="10"/>
      <c r="H18" s="10"/>
      <c r="I18" s="10"/>
      <c r="J18" s="10"/>
      <c r="K18" s="10"/>
      <c r="L18" s="10"/>
      <c r="M18" s="10"/>
      <c r="N18" s="10"/>
      <c r="O18" s="10"/>
      <c r="P18" s="10"/>
      <c r="Q18" s="10"/>
      <c r="R18" s="10"/>
      <c r="S18" s="10"/>
      <c r="T18" s="10"/>
      <c r="U18" s="10"/>
      <c r="V18" s="10"/>
      <c r="W18" s="10"/>
      <c r="X18" s="10"/>
      <c r="Y18" s="10"/>
      <c r="Z18" s="10"/>
    </row>
    <row r="19">
      <c r="A19" s="8">
        <v>16.0</v>
      </c>
      <c r="B19" s="8">
        <v>9.0</v>
      </c>
      <c r="C19" s="8" t="s">
        <v>1261</v>
      </c>
      <c r="D19" s="11" t="s">
        <v>1262</v>
      </c>
      <c r="E19" s="9" t="s">
        <v>1263</v>
      </c>
      <c r="F19" s="10"/>
      <c r="G19" s="10"/>
      <c r="H19" s="10"/>
      <c r="I19" s="10"/>
      <c r="J19" s="10"/>
      <c r="K19" s="10"/>
      <c r="L19" s="10"/>
      <c r="M19" s="10"/>
      <c r="N19" s="10"/>
      <c r="O19" s="10"/>
      <c r="P19" s="10"/>
      <c r="Q19" s="10"/>
      <c r="R19" s="10"/>
      <c r="S19" s="10"/>
      <c r="T19" s="10"/>
      <c r="U19" s="10"/>
      <c r="V19" s="10"/>
      <c r="W19" s="10"/>
      <c r="X19" s="10"/>
      <c r="Y19" s="10"/>
      <c r="Z19" s="10"/>
    </row>
    <row r="20">
      <c r="A20" s="8">
        <v>17.0</v>
      </c>
      <c r="B20" s="8">
        <v>9.0</v>
      </c>
      <c r="C20" s="8" t="s">
        <v>1264</v>
      </c>
      <c r="D20" s="11" t="s">
        <v>1265</v>
      </c>
      <c r="E20" s="9" t="s">
        <v>1266</v>
      </c>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3"/>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3"/>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3"/>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3"/>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3"/>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3"/>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3"/>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3"/>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3"/>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3"/>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3"/>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3"/>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3"/>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3"/>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3"/>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3"/>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3"/>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3"/>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3"/>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3"/>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3"/>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3"/>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3"/>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3"/>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3"/>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3"/>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3"/>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3"/>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3"/>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3"/>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3"/>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3"/>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3"/>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3"/>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3"/>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3"/>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3"/>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3"/>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3"/>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3"/>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3"/>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3"/>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3"/>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3"/>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3"/>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3"/>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3"/>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3"/>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3"/>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3"/>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3"/>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3"/>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3"/>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3"/>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3"/>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3"/>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3"/>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3"/>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3"/>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3"/>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3"/>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3"/>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3"/>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3"/>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3"/>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3"/>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3"/>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3"/>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3"/>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3"/>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3"/>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3"/>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3"/>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3"/>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3"/>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3"/>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3"/>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3"/>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3"/>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3"/>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3"/>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3"/>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3"/>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3"/>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3"/>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3"/>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3"/>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3"/>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3"/>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3"/>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3"/>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3"/>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3"/>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3"/>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3"/>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3"/>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3"/>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3"/>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3"/>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3"/>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3"/>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3"/>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3"/>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3"/>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3"/>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3"/>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3"/>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3"/>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3"/>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3"/>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3"/>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3"/>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3"/>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3"/>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3"/>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3"/>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3"/>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3"/>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3"/>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3"/>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3"/>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3"/>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3"/>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3"/>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3"/>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3"/>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3"/>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3"/>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3"/>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3"/>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3"/>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3"/>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3"/>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3"/>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3"/>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3"/>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3"/>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3"/>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3"/>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3"/>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3"/>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3"/>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3"/>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3"/>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3"/>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3"/>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3"/>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3"/>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3"/>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3"/>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3"/>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3"/>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3"/>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3"/>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3"/>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3"/>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3"/>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3"/>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3"/>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3"/>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3"/>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3"/>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3"/>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3"/>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3"/>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3"/>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3"/>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3"/>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3"/>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3"/>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3"/>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3"/>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3"/>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3"/>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3"/>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3"/>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3"/>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3"/>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3"/>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3"/>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3"/>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3"/>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3"/>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3"/>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3"/>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3"/>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3"/>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3"/>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3"/>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3"/>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3"/>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3"/>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3"/>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3"/>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3"/>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3"/>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3"/>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3"/>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3"/>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3"/>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3"/>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3"/>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3"/>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3"/>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3"/>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3"/>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3"/>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3"/>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3"/>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3"/>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3"/>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3"/>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3"/>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3"/>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3"/>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3"/>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3"/>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3"/>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3"/>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3"/>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3"/>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3"/>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3"/>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3"/>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3"/>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3"/>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3"/>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3"/>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3"/>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3"/>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3"/>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3"/>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3"/>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3"/>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3"/>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3"/>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3"/>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3"/>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3"/>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3"/>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3"/>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3"/>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3"/>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3"/>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3"/>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3"/>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3"/>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3"/>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3"/>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3"/>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3"/>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3"/>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3"/>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3"/>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3"/>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3"/>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3"/>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3"/>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3"/>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3"/>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3"/>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3"/>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3"/>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3"/>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3"/>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3"/>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3"/>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3"/>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3"/>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3"/>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3"/>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3"/>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3"/>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3"/>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3"/>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3"/>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3"/>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3"/>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3"/>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3"/>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3"/>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3"/>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3"/>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3"/>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3"/>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3"/>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3"/>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3"/>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3"/>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3"/>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3"/>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3"/>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3"/>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3"/>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3"/>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3"/>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3"/>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3"/>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3"/>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3"/>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3"/>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3"/>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3"/>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3"/>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3"/>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3"/>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3"/>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3"/>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3"/>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3"/>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3"/>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3"/>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3"/>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3"/>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3"/>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3"/>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3"/>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3"/>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3"/>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3"/>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3"/>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3"/>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3"/>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3"/>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3"/>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3"/>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3"/>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3"/>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3"/>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3"/>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3"/>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3"/>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3"/>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3"/>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3"/>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3"/>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3"/>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3"/>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3"/>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3"/>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3"/>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3"/>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3"/>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3"/>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3"/>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3"/>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3"/>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3"/>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3"/>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3"/>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3"/>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3"/>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3"/>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3"/>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3"/>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3"/>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3"/>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3"/>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3"/>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3"/>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3"/>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3"/>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3"/>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3"/>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3"/>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3"/>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3"/>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3"/>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3"/>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3"/>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3"/>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3"/>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3"/>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3"/>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3"/>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3"/>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3"/>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3"/>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3"/>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3"/>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3"/>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3"/>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3"/>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3"/>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3"/>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3"/>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3"/>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3"/>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3"/>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3"/>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3"/>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3"/>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3"/>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3"/>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3"/>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3"/>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3"/>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3"/>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3"/>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3"/>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3"/>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3"/>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3"/>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3"/>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3"/>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3"/>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3"/>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3"/>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3"/>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3"/>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3"/>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3"/>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3"/>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3"/>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3"/>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3"/>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3"/>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3"/>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3"/>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3"/>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3"/>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3"/>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3"/>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3"/>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3"/>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3"/>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3"/>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3"/>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3"/>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3"/>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3"/>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3"/>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3"/>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3"/>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3"/>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3"/>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3"/>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3"/>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3"/>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3"/>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3"/>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3"/>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3"/>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3"/>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3"/>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3"/>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3"/>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3"/>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3"/>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3"/>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3"/>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3"/>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3"/>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3"/>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3"/>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3"/>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3"/>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3"/>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3"/>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3"/>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3"/>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3"/>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3"/>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3"/>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3"/>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3"/>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3"/>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3"/>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3"/>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3"/>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3"/>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3"/>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3"/>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3"/>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3"/>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3"/>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3"/>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3"/>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3"/>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3"/>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3"/>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3"/>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3"/>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3"/>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3"/>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3"/>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3"/>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3"/>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3"/>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3"/>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3"/>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3"/>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3"/>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3"/>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3"/>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3"/>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3"/>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3"/>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3"/>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3"/>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3"/>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3"/>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3"/>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3"/>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3"/>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3"/>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3"/>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3"/>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3"/>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3"/>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3"/>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3"/>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3"/>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3"/>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3"/>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3"/>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3"/>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3"/>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3"/>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3"/>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3"/>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3"/>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3"/>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3"/>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3"/>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3"/>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3"/>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3"/>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3"/>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3"/>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3"/>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3"/>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3"/>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3"/>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3"/>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3"/>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3"/>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3"/>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3"/>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3"/>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3"/>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3"/>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3"/>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3"/>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3"/>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3"/>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3"/>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3"/>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3"/>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3"/>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3"/>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3"/>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3"/>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3"/>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3"/>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3"/>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3"/>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3"/>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3"/>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3"/>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3"/>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3"/>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3"/>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3"/>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3"/>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3"/>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3"/>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3"/>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3"/>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3"/>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3"/>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3"/>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3"/>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3"/>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3"/>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3"/>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3"/>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3"/>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3"/>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3"/>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3"/>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3"/>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3"/>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3"/>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3"/>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3"/>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3"/>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3"/>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3"/>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3"/>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3"/>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3"/>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3"/>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3"/>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3"/>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3"/>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3"/>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3"/>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3"/>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3"/>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3"/>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3"/>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3"/>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3"/>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3"/>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3"/>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3"/>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3"/>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3"/>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3"/>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3"/>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3"/>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3"/>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3"/>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3"/>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3"/>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3"/>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3"/>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3"/>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3"/>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3"/>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3"/>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3"/>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3"/>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3"/>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3"/>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3"/>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3"/>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3"/>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3"/>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3"/>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3"/>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3"/>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3"/>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3"/>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3"/>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3"/>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3"/>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3"/>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3"/>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3"/>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3"/>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3"/>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3"/>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3"/>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3"/>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3"/>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3"/>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3"/>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3"/>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3"/>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3"/>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3"/>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3"/>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3"/>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3"/>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3"/>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3"/>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3"/>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3"/>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3"/>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3"/>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3"/>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3"/>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3"/>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3"/>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3"/>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3"/>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3"/>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3"/>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3"/>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3"/>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3"/>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3"/>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3"/>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3"/>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3"/>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3"/>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3"/>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3"/>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3"/>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3"/>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3"/>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3"/>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3"/>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3"/>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3"/>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3"/>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3"/>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3"/>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3"/>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3"/>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3"/>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3"/>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3"/>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3"/>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3"/>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3"/>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3"/>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3"/>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3"/>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3"/>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3"/>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3"/>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3"/>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3"/>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3"/>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3"/>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3"/>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3"/>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3"/>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3"/>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3"/>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3"/>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3"/>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3"/>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3"/>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3"/>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3"/>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3"/>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3"/>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3"/>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3"/>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3"/>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3"/>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3"/>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3"/>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3"/>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3"/>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3"/>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3"/>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3"/>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3"/>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3"/>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3"/>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3"/>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3"/>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3"/>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3"/>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3"/>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3"/>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3"/>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3"/>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3"/>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3"/>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3"/>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3"/>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3"/>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3"/>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3"/>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3"/>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3"/>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3"/>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3"/>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3"/>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3"/>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3"/>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3"/>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3"/>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3"/>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3"/>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3"/>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3"/>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3"/>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3"/>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3"/>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3"/>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3"/>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3"/>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3"/>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3"/>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3"/>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3"/>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3"/>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3"/>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3"/>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3"/>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3"/>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3"/>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3"/>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3"/>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3"/>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3"/>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3"/>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3"/>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3"/>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3"/>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3"/>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3"/>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3"/>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3"/>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3"/>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3"/>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3"/>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3"/>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3"/>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3"/>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3"/>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3"/>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3"/>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3"/>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3"/>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3"/>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3"/>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3"/>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3"/>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3"/>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3"/>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3"/>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3"/>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3"/>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3"/>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3"/>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3"/>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3"/>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3"/>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3"/>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3"/>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3"/>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3"/>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3"/>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3"/>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3"/>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3"/>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3"/>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3"/>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3"/>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3"/>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3"/>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3"/>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3"/>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3"/>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3"/>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3"/>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3"/>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3"/>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3"/>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3"/>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3"/>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3"/>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3"/>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3"/>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3"/>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3"/>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3"/>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3"/>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3"/>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3"/>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3"/>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3"/>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3"/>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3"/>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3"/>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3"/>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3"/>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3"/>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3"/>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3"/>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3"/>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3"/>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3"/>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3"/>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3"/>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3"/>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3"/>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3"/>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3"/>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3"/>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3"/>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3"/>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3"/>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3"/>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3"/>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3"/>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3"/>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3"/>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3"/>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3"/>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3"/>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3"/>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3"/>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3"/>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3"/>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3"/>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3"/>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3"/>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3"/>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3"/>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3"/>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3"/>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3"/>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3"/>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3"/>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3"/>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3"/>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3"/>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3"/>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3"/>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3"/>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3"/>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3"/>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3"/>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3"/>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3"/>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3"/>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3"/>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3"/>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3"/>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3"/>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3"/>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3"/>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3"/>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3"/>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3"/>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3"/>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3"/>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3"/>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3"/>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3"/>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3"/>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3"/>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3"/>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3"/>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3"/>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3"/>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3"/>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3"/>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3"/>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3"/>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3"/>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3"/>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3"/>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3"/>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3"/>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3"/>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3"/>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3"/>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3"/>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3"/>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3"/>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3"/>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3"/>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3"/>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3"/>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3"/>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3"/>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3"/>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3"/>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3"/>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3"/>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3"/>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3"/>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3"/>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3"/>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3"/>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3"/>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3"/>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3"/>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3"/>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3"/>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3"/>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3"/>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3"/>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3"/>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3"/>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3"/>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3"/>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3"/>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3"/>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3"/>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3"/>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3"/>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3"/>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3"/>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3"/>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3"/>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3"/>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3"/>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3"/>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3"/>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1267</v>
      </c>
      <c r="G1" s="1" t="s">
        <v>6</v>
      </c>
      <c r="H1" s="1" t="s">
        <v>7</v>
      </c>
      <c r="I1" s="1" t="s">
        <v>8</v>
      </c>
      <c r="J1" s="1" t="s">
        <v>1268</v>
      </c>
      <c r="K1" s="1" t="s">
        <v>1269</v>
      </c>
      <c r="L1" s="1" t="s">
        <v>1270</v>
      </c>
      <c r="M1" s="1" t="s">
        <v>1271</v>
      </c>
    </row>
    <row r="2">
      <c r="A2" s="1">
        <v>676.0</v>
      </c>
      <c r="B2" s="1">
        <v>1.0</v>
      </c>
      <c r="C2" s="1">
        <v>0.983603801446399</v>
      </c>
      <c r="D2" s="1" t="s">
        <v>615</v>
      </c>
      <c r="E2" s="1" t="s">
        <v>58</v>
      </c>
      <c r="F2" s="1" t="s">
        <v>18</v>
      </c>
      <c r="G2" s="1" t="s">
        <v>42</v>
      </c>
      <c r="H2" s="1">
        <v>2022.0</v>
      </c>
      <c r="I2" s="1" t="s">
        <v>240</v>
      </c>
      <c r="J2" s="1" t="s">
        <v>1272</v>
      </c>
      <c r="K2" s="1">
        <v>5.0</v>
      </c>
      <c r="L2" s="1" t="s">
        <v>1273</v>
      </c>
      <c r="M2" s="1">
        <v>2.0</v>
      </c>
    </row>
    <row r="3">
      <c r="A3" s="1">
        <v>671.0</v>
      </c>
      <c r="B3" s="1">
        <v>1.0</v>
      </c>
      <c r="C3" s="1">
        <v>0.982540821171564</v>
      </c>
      <c r="D3" s="1" t="s">
        <v>612</v>
      </c>
      <c r="E3" s="1" t="s">
        <v>41</v>
      </c>
      <c r="F3" s="1" t="s">
        <v>18</v>
      </c>
      <c r="G3" s="1" t="s">
        <v>42</v>
      </c>
      <c r="H3" s="1">
        <v>2024.0</v>
      </c>
      <c r="I3" s="1" t="s">
        <v>240</v>
      </c>
      <c r="J3" s="1" t="s">
        <v>1272</v>
      </c>
      <c r="K3" s="1">
        <v>5.0</v>
      </c>
      <c r="L3" s="1" t="s">
        <v>1273</v>
      </c>
      <c r="M3" s="1">
        <v>2.0</v>
      </c>
    </row>
    <row r="4">
      <c r="A4" s="1">
        <v>392.0</v>
      </c>
      <c r="B4" s="1">
        <v>1.0</v>
      </c>
      <c r="C4" s="1">
        <v>0.982157386098028</v>
      </c>
      <c r="D4" s="1" t="s">
        <v>369</v>
      </c>
      <c r="E4" s="1" t="s">
        <v>1274</v>
      </c>
      <c r="F4" s="1" t="s">
        <v>1274</v>
      </c>
      <c r="G4" s="1" t="s">
        <v>1274</v>
      </c>
      <c r="H4" s="1">
        <v>2020.0</v>
      </c>
      <c r="I4" s="1" t="s">
        <v>240</v>
      </c>
      <c r="J4" s="1" t="s">
        <v>1272</v>
      </c>
      <c r="K4" s="1">
        <v>5.0</v>
      </c>
      <c r="L4" s="1" t="s">
        <v>1273</v>
      </c>
      <c r="M4" s="1">
        <v>2.0</v>
      </c>
    </row>
    <row r="5">
      <c r="A5" s="1">
        <v>672.0</v>
      </c>
      <c r="B5" s="1">
        <v>1.0</v>
      </c>
      <c r="C5" s="1">
        <v>0.982149169138463</v>
      </c>
      <c r="D5" s="1" t="s">
        <v>613</v>
      </c>
      <c r="E5" s="1" t="s">
        <v>41</v>
      </c>
      <c r="F5" s="1" t="s">
        <v>18</v>
      </c>
      <c r="G5" s="1" t="s">
        <v>42</v>
      </c>
      <c r="H5" s="1">
        <v>2024.0</v>
      </c>
      <c r="I5" s="1" t="s">
        <v>240</v>
      </c>
      <c r="J5" s="1" t="s">
        <v>1272</v>
      </c>
      <c r="K5" s="1">
        <v>5.0</v>
      </c>
      <c r="L5" s="1" t="s">
        <v>1273</v>
      </c>
      <c r="M5" s="1">
        <v>2.0</v>
      </c>
    </row>
    <row r="6">
      <c r="A6" s="1">
        <v>272.0</v>
      </c>
      <c r="B6" s="1">
        <v>1.0</v>
      </c>
      <c r="C6" s="1">
        <v>0.981305242585726</v>
      </c>
      <c r="D6" s="1" t="s">
        <v>265</v>
      </c>
      <c r="E6" s="1" t="s">
        <v>10</v>
      </c>
      <c r="F6" s="1" t="s">
        <v>18</v>
      </c>
      <c r="G6" s="1" t="s">
        <v>42</v>
      </c>
      <c r="H6" s="1">
        <v>2022.0</v>
      </c>
      <c r="I6" s="1" t="s">
        <v>240</v>
      </c>
      <c r="J6" s="1" t="s">
        <v>1272</v>
      </c>
      <c r="K6" s="1">
        <v>5.0</v>
      </c>
      <c r="L6" s="1" t="s">
        <v>1273</v>
      </c>
      <c r="M6" s="1">
        <v>2.0</v>
      </c>
    </row>
    <row r="7">
      <c r="A7" s="1">
        <v>659.0</v>
      </c>
      <c r="B7" s="1">
        <v>1.0</v>
      </c>
      <c r="C7" s="1">
        <v>0.980909459431628</v>
      </c>
      <c r="D7" s="1" t="s">
        <v>599</v>
      </c>
      <c r="E7" s="1" t="s">
        <v>173</v>
      </c>
      <c r="F7" s="1" t="s">
        <v>18</v>
      </c>
      <c r="G7" s="1" t="s">
        <v>42</v>
      </c>
      <c r="H7" s="1">
        <v>2021.0</v>
      </c>
      <c r="I7" s="1" t="s">
        <v>240</v>
      </c>
      <c r="J7" s="1" t="s">
        <v>1272</v>
      </c>
      <c r="K7" s="1">
        <v>5.0</v>
      </c>
      <c r="L7" s="1" t="s">
        <v>1273</v>
      </c>
      <c r="M7" s="1">
        <v>2.0</v>
      </c>
    </row>
    <row r="8">
      <c r="A8" s="1">
        <v>271.0</v>
      </c>
      <c r="B8" s="1">
        <v>1.0</v>
      </c>
      <c r="C8" s="1">
        <v>0.980783905307476</v>
      </c>
      <c r="D8" s="1" t="s">
        <v>264</v>
      </c>
      <c r="E8" s="1" t="s">
        <v>10</v>
      </c>
      <c r="F8" s="1" t="s">
        <v>18</v>
      </c>
      <c r="G8" s="1" t="s">
        <v>42</v>
      </c>
      <c r="H8" s="1">
        <v>2022.0</v>
      </c>
      <c r="I8" s="1" t="s">
        <v>240</v>
      </c>
      <c r="J8" s="1" t="s">
        <v>1272</v>
      </c>
      <c r="K8" s="1">
        <v>5.0</v>
      </c>
      <c r="L8" s="1" t="s">
        <v>1273</v>
      </c>
      <c r="M8" s="1">
        <v>2.0</v>
      </c>
    </row>
    <row r="9">
      <c r="A9" s="1">
        <v>855.0</v>
      </c>
      <c r="B9" s="1">
        <v>3.0</v>
      </c>
      <c r="C9" s="1">
        <v>0.980393935427068</v>
      </c>
      <c r="D9" s="1" t="s">
        <v>791</v>
      </c>
      <c r="E9" s="1" t="s">
        <v>107</v>
      </c>
      <c r="F9" s="1" t="s">
        <v>18</v>
      </c>
      <c r="G9" s="1" t="s">
        <v>1274</v>
      </c>
      <c r="H9" s="1">
        <v>2024.0</v>
      </c>
      <c r="I9" s="1" t="s">
        <v>630</v>
      </c>
      <c r="J9" s="1" t="s">
        <v>1272</v>
      </c>
      <c r="K9" s="1">
        <v>5.0</v>
      </c>
      <c r="L9" s="1" t="s">
        <v>1273</v>
      </c>
      <c r="M9" s="1">
        <v>13.0</v>
      </c>
    </row>
    <row r="10">
      <c r="A10" s="1">
        <v>355.0</v>
      </c>
      <c r="B10" s="1">
        <v>1.0</v>
      </c>
      <c r="C10" s="1">
        <v>0.979217815606676</v>
      </c>
      <c r="D10" s="1" t="s">
        <v>340</v>
      </c>
      <c r="E10" s="1" t="s">
        <v>41</v>
      </c>
      <c r="F10" s="1" t="s">
        <v>18</v>
      </c>
      <c r="G10" s="1" t="s">
        <v>11</v>
      </c>
      <c r="H10" s="1">
        <v>2024.0</v>
      </c>
      <c r="I10" s="1" t="s">
        <v>240</v>
      </c>
      <c r="J10" s="1" t="s">
        <v>1272</v>
      </c>
      <c r="K10" s="1">
        <v>5.0</v>
      </c>
      <c r="L10" s="1" t="s">
        <v>1273</v>
      </c>
      <c r="M10" s="1">
        <v>5.0</v>
      </c>
    </row>
    <row r="11">
      <c r="A11" s="1">
        <v>642.0</v>
      </c>
      <c r="B11" s="1">
        <v>1.0</v>
      </c>
      <c r="C11" s="1">
        <v>0.979217815606676</v>
      </c>
      <c r="D11" s="1" t="s">
        <v>437</v>
      </c>
      <c r="E11" s="1" t="s">
        <v>41</v>
      </c>
      <c r="F11" s="1" t="s">
        <v>142</v>
      </c>
      <c r="G11" s="1" t="s">
        <v>1274</v>
      </c>
      <c r="H11" s="1">
        <v>2024.0</v>
      </c>
      <c r="I11" s="1" t="s">
        <v>240</v>
      </c>
      <c r="J11" s="1" t="s">
        <v>1272</v>
      </c>
      <c r="K11" s="1">
        <v>5.0</v>
      </c>
      <c r="L11" s="1" t="s">
        <v>1273</v>
      </c>
      <c r="M11" s="1">
        <v>5.0</v>
      </c>
    </row>
    <row r="12">
      <c r="A12" s="1">
        <v>514.0</v>
      </c>
      <c r="B12" s="1">
        <v>1.0</v>
      </c>
      <c r="C12" s="1">
        <v>0.978830200181253</v>
      </c>
      <c r="D12" s="1" t="s">
        <v>475</v>
      </c>
      <c r="E12" s="1" t="s">
        <v>111</v>
      </c>
      <c r="F12" s="1" t="s">
        <v>1274</v>
      </c>
      <c r="G12" s="1" t="s">
        <v>42</v>
      </c>
      <c r="H12" s="1">
        <v>2022.0</v>
      </c>
      <c r="I12" s="1" t="s">
        <v>240</v>
      </c>
      <c r="J12" s="1" t="s">
        <v>1272</v>
      </c>
      <c r="K12" s="1">
        <v>5.0</v>
      </c>
      <c r="L12" s="1" t="s">
        <v>1273</v>
      </c>
      <c r="M12" s="1">
        <v>2.0</v>
      </c>
    </row>
    <row r="13">
      <c r="A13" s="1">
        <v>365.0</v>
      </c>
      <c r="B13" s="1">
        <v>2.0</v>
      </c>
      <c r="C13" s="1">
        <v>0.978825566271891</v>
      </c>
      <c r="D13" s="1" t="s">
        <v>349</v>
      </c>
      <c r="E13" s="1" t="s">
        <v>41</v>
      </c>
      <c r="F13" s="1" t="s">
        <v>18</v>
      </c>
      <c r="G13" s="1" t="s">
        <v>11</v>
      </c>
      <c r="H13" s="1">
        <v>2024.0</v>
      </c>
      <c r="I13" s="1" t="s">
        <v>240</v>
      </c>
      <c r="J13" s="1" t="s">
        <v>1272</v>
      </c>
      <c r="K13" s="1">
        <v>5.0</v>
      </c>
      <c r="L13" s="1" t="s">
        <v>1273</v>
      </c>
      <c r="M13" s="1">
        <v>3.0</v>
      </c>
    </row>
    <row r="14">
      <c r="A14" s="1">
        <v>652.0</v>
      </c>
      <c r="B14" s="1">
        <v>2.0</v>
      </c>
      <c r="C14" s="1">
        <v>0.978825566271891</v>
      </c>
      <c r="D14" s="1" t="s">
        <v>441</v>
      </c>
      <c r="E14" s="1" t="s">
        <v>41</v>
      </c>
      <c r="F14" s="1" t="s">
        <v>142</v>
      </c>
      <c r="G14" s="1" t="s">
        <v>1274</v>
      </c>
      <c r="H14" s="1">
        <v>2024.0</v>
      </c>
      <c r="I14" s="1" t="s">
        <v>240</v>
      </c>
      <c r="J14" s="1" t="s">
        <v>1272</v>
      </c>
      <c r="K14" s="1">
        <v>5.0</v>
      </c>
      <c r="L14" s="1" t="s">
        <v>1273</v>
      </c>
      <c r="M14" s="1">
        <v>3.0</v>
      </c>
    </row>
    <row r="15">
      <c r="A15" s="1">
        <v>501.0</v>
      </c>
      <c r="B15" s="1">
        <v>1.0</v>
      </c>
      <c r="C15" s="1">
        <v>0.97882032051814</v>
      </c>
      <c r="D15" s="1" t="s">
        <v>462</v>
      </c>
      <c r="E15" s="1" t="s">
        <v>111</v>
      </c>
      <c r="F15" s="1" t="s">
        <v>1274</v>
      </c>
      <c r="G15" s="1" t="s">
        <v>42</v>
      </c>
      <c r="H15" s="1">
        <v>2022.0</v>
      </c>
      <c r="I15" s="1" t="s">
        <v>240</v>
      </c>
      <c r="J15" s="1" t="s">
        <v>1272</v>
      </c>
      <c r="K15" s="1">
        <v>5.0</v>
      </c>
      <c r="L15" s="1" t="s">
        <v>1273</v>
      </c>
      <c r="M15" s="1">
        <v>2.0</v>
      </c>
    </row>
    <row r="16">
      <c r="A16" s="1">
        <v>651.0</v>
      </c>
      <c r="B16" s="1">
        <v>2.0</v>
      </c>
      <c r="C16" s="1">
        <v>0.978803703763492</v>
      </c>
      <c r="D16" s="1" t="s">
        <v>348</v>
      </c>
      <c r="E16" s="1" t="s">
        <v>41</v>
      </c>
      <c r="F16" s="1" t="s">
        <v>142</v>
      </c>
      <c r="G16" s="1" t="s">
        <v>1274</v>
      </c>
      <c r="H16" s="1">
        <v>2024.0</v>
      </c>
      <c r="I16" s="1" t="s">
        <v>240</v>
      </c>
      <c r="J16" s="1" t="s">
        <v>1272</v>
      </c>
      <c r="K16" s="1">
        <v>5.0</v>
      </c>
      <c r="L16" s="1" t="s">
        <v>1273</v>
      </c>
      <c r="M16" s="1">
        <v>3.0</v>
      </c>
    </row>
    <row r="17">
      <c r="A17" s="1">
        <v>88.0</v>
      </c>
      <c r="B17" s="1">
        <v>3.0</v>
      </c>
      <c r="C17" s="1">
        <v>0.978627767207868</v>
      </c>
      <c r="D17" s="1" t="s">
        <v>98</v>
      </c>
      <c r="E17" s="1" t="s">
        <v>20</v>
      </c>
      <c r="F17" s="1" t="s">
        <v>18</v>
      </c>
      <c r="G17" s="1" t="s">
        <v>11</v>
      </c>
      <c r="H17" s="1">
        <v>2017.0</v>
      </c>
      <c r="I17" s="1" t="s">
        <v>12</v>
      </c>
      <c r="J17" s="1" t="s">
        <v>1272</v>
      </c>
      <c r="K17" s="1">
        <v>5.0</v>
      </c>
      <c r="L17" s="1" t="s">
        <v>1273</v>
      </c>
      <c r="M17" s="1">
        <v>0.0</v>
      </c>
    </row>
    <row r="18">
      <c r="A18" s="1">
        <v>640.0</v>
      </c>
      <c r="B18" s="1">
        <v>6.0</v>
      </c>
      <c r="C18" s="1">
        <v>0.978570191273324</v>
      </c>
      <c r="D18" s="1" t="s">
        <v>435</v>
      </c>
      <c r="E18" s="1" t="s">
        <v>41</v>
      </c>
      <c r="F18" s="1" t="s">
        <v>142</v>
      </c>
      <c r="G18" s="1" t="s">
        <v>1274</v>
      </c>
      <c r="H18" s="1">
        <v>2024.0</v>
      </c>
      <c r="I18" s="1" t="s">
        <v>240</v>
      </c>
      <c r="J18" s="1" t="s">
        <v>1272</v>
      </c>
      <c r="K18" s="1">
        <v>10.0</v>
      </c>
      <c r="L18" s="1" t="s">
        <v>1273</v>
      </c>
      <c r="M18" s="1">
        <v>5.0</v>
      </c>
    </row>
    <row r="19">
      <c r="A19" s="1">
        <v>353.0</v>
      </c>
      <c r="B19" s="1">
        <v>6.0</v>
      </c>
      <c r="C19" s="1">
        <v>0.978570191273324</v>
      </c>
      <c r="D19" s="1" t="s">
        <v>338</v>
      </c>
      <c r="E19" s="1" t="s">
        <v>41</v>
      </c>
      <c r="F19" s="1" t="s">
        <v>18</v>
      </c>
      <c r="G19" s="1" t="s">
        <v>11</v>
      </c>
      <c r="H19" s="1">
        <v>2024.0</v>
      </c>
      <c r="I19" s="1" t="s">
        <v>240</v>
      </c>
      <c r="J19" s="1" t="s">
        <v>1272</v>
      </c>
      <c r="K19" s="1">
        <v>10.0</v>
      </c>
      <c r="L19" s="1" t="s">
        <v>1273</v>
      </c>
      <c r="M19" s="1">
        <v>5.0</v>
      </c>
    </row>
    <row r="20">
      <c r="A20" s="1">
        <v>847.0</v>
      </c>
      <c r="B20" s="1">
        <v>3.0</v>
      </c>
      <c r="C20" s="1">
        <v>0.978249247982835</v>
      </c>
      <c r="D20" s="1" t="s">
        <v>783</v>
      </c>
      <c r="E20" s="1" t="s">
        <v>107</v>
      </c>
      <c r="F20" s="1" t="s">
        <v>18</v>
      </c>
      <c r="G20" s="1" t="s">
        <v>1274</v>
      </c>
      <c r="H20" s="1">
        <v>2024.0</v>
      </c>
      <c r="I20" s="1" t="s">
        <v>630</v>
      </c>
      <c r="J20" s="1" t="s">
        <v>1272</v>
      </c>
      <c r="K20" s="1">
        <v>5.0</v>
      </c>
      <c r="L20" s="1" t="s">
        <v>1273</v>
      </c>
      <c r="M20" s="1">
        <v>13.0</v>
      </c>
    </row>
    <row r="21">
      <c r="A21" s="1">
        <v>502.0</v>
      </c>
      <c r="B21" s="1">
        <v>1.0</v>
      </c>
      <c r="C21" s="1">
        <v>0.978244453535866</v>
      </c>
      <c r="D21" s="1" t="s">
        <v>463</v>
      </c>
      <c r="E21" s="1" t="s">
        <v>111</v>
      </c>
      <c r="F21" s="1" t="s">
        <v>1274</v>
      </c>
      <c r="G21" s="1" t="s">
        <v>42</v>
      </c>
      <c r="H21" s="1">
        <v>2022.0</v>
      </c>
      <c r="I21" s="1" t="s">
        <v>240</v>
      </c>
      <c r="J21" s="1" t="s">
        <v>1272</v>
      </c>
      <c r="K21" s="1">
        <v>5.0</v>
      </c>
      <c r="L21" s="1" t="s">
        <v>1273</v>
      </c>
      <c r="M21" s="1">
        <v>2.0</v>
      </c>
    </row>
    <row r="22">
      <c r="A22" s="1">
        <v>322.0</v>
      </c>
      <c r="B22" s="1">
        <v>2.0</v>
      </c>
      <c r="C22" s="1">
        <v>0.978222841506649</v>
      </c>
      <c r="D22" s="1" t="s">
        <v>310</v>
      </c>
      <c r="E22" s="1" t="s">
        <v>45</v>
      </c>
      <c r="F22" s="1" t="s">
        <v>65</v>
      </c>
      <c r="G22" s="1" t="s">
        <v>1274</v>
      </c>
      <c r="H22" s="1">
        <v>2019.0</v>
      </c>
      <c r="I22" s="1" t="s">
        <v>240</v>
      </c>
      <c r="J22" s="1" t="s">
        <v>1272</v>
      </c>
      <c r="K22" s="1">
        <v>5.0</v>
      </c>
      <c r="L22" s="1" t="s">
        <v>1273</v>
      </c>
      <c r="M22" s="1">
        <v>5.0</v>
      </c>
    </row>
    <row r="23">
      <c r="A23" s="1">
        <v>5.0</v>
      </c>
      <c r="B23" s="1">
        <v>3.0</v>
      </c>
      <c r="C23" s="1">
        <v>0.978069236571074</v>
      </c>
      <c r="D23" s="1" t="s">
        <v>19</v>
      </c>
      <c r="E23" s="1" t="s">
        <v>20</v>
      </c>
      <c r="F23" s="1" t="s">
        <v>21</v>
      </c>
      <c r="G23" s="1" t="s">
        <v>1274</v>
      </c>
      <c r="H23" s="1" t="s">
        <v>1274</v>
      </c>
      <c r="I23" s="1" t="s">
        <v>12</v>
      </c>
      <c r="J23" s="1" t="s">
        <v>1272</v>
      </c>
      <c r="K23" s="1">
        <v>5.0</v>
      </c>
      <c r="L23" s="1" t="s">
        <v>1273</v>
      </c>
      <c r="M23" s="1">
        <v>-1.0</v>
      </c>
    </row>
    <row r="24">
      <c r="A24" s="1">
        <v>475.0</v>
      </c>
      <c r="B24" s="1">
        <v>7.0</v>
      </c>
      <c r="C24" s="1">
        <v>0.978000174055756</v>
      </c>
      <c r="D24" s="1" t="s">
        <v>440</v>
      </c>
      <c r="E24" s="1" t="s">
        <v>41</v>
      </c>
      <c r="F24" s="1" t="s">
        <v>118</v>
      </c>
      <c r="G24" s="1" t="s">
        <v>1274</v>
      </c>
      <c r="H24" s="1">
        <v>2024.0</v>
      </c>
      <c r="I24" s="1" t="s">
        <v>240</v>
      </c>
      <c r="J24" s="1" t="s">
        <v>1272</v>
      </c>
      <c r="K24" s="1">
        <v>7.0</v>
      </c>
      <c r="L24" s="1" t="s">
        <v>1273</v>
      </c>
      <c r="M24" s="1">
        <v>3.0</v>
      </c>
    </row>
    <row r="25">
      <c r="A25" s="1">
        <v>494.0</v>
      </c>
      <c r="B25" s="1">
        <v>4.0</v>
      </c>
      <c r="C25" s="1">
        <v>0.977999183475125</v>
      </c>
      <c r="D25" s="1" t="s">
        <v>455</v>
      </c>
      <c r="E25" s="1" t="s">
        <v>102</v>
      </c>
      <c r="F25" s="1" t="s">
        <v>1274</v>
      </c>
      <c r="G25" s="1" t="s">
        <v>42</v>
      </c>
      <c r="H25" s="1">
        <v>2022.0</v>
      </c>
      <c r="I25" s="1" t="s">
        <v>240</v>
      </c>
      <c r="J25" s="1" t="s">
        <v>1272</v>
      </c>
      <c r="K25" s="1">
        <v>7.0</v>
      </c>
      <c r="L25" s="1" t="s">
        <v>1273</v>
      </c>
      <c r="M25" s="1">
        <v>2.0</v>
      </c>
    </row>
    <row r="26">
      <c r="A26" s="1">
        <v>164.0</v>
      </c>
      <c r="B26" s="1">
        <v>4.0</v>
      </c>
      <c r="C26" s="1">
        <v>0.977690041918587</v>
      </c>
      <c r="D26" s="1" t="s">
        <v>160</v>
      </c>
      <c r="E26" s="1" t="s">
        <v>41</v>
      </c>
      <c r="F26" s="1" t="s">
        <v>180</v>
      </c>
      <c r="G26" s="1" t="s">
        <v>1274</v>
      </c>
      <c r="H26" s="1" t="s">
        <v>1274</v>
      </c>
      <c r="I26" s="1" t="s">
        <v>12</v>
      </c>
      <c r="J26" s="1" t="s">
        <v>1272</v>
      </c>
      <c r="K26" s="1">
        <v>5.0</v>
      </c>
      <c r="L26" s="1" t="s">
        <v>1273</v>
      </c>
      <c r="M26" s="1">
        <v>-1.0</v>
      </c>
    </row>
    <row r="27">
      <c r="A27" s="1">
        <v>848.0</v>
      </c>
      <c r="B27" s="1">
        <v>3.0</v>
      </c>
      <c r="C27" s="1">
        <v>0.977647380749639</v>
      </c>
      <c r="D27" s="1" t="s">
        <v>784</v>
      </c>
      <c r="E27" s="1" t="s">
        <v>107</v>
      </c>
      <c r="F27" s="1" t="s">
        <v>18</v>
      </c>
      <c r="G27" s="1" t="s">
        <v>1274</v>
      </c>
      <c r="H27" s="1">
        <v>2024.0</v>
      </c>
      <c r="I27" s="1" t="s">
        <v>630</v>
      </c>
      <c r="J27" s="1" t="s">
        <v>1272</v>
      </c>
      <c r="K27" s="1">
        <v>5.0</v>
      </c>
      <c r="L27" s="1" t="s">
        <v>1273</v>
      </c>
      <c r="M27" s="1">
        <v>13.0</v>
      </c>
    </row>
    <row r="28">
      <c r="A28" s="1">
        <v>359.0</v>
      </c>
      <c r="B28" s="1">
        <v>2.0</v>
      </c>
      <c r="C28" s="1">
        <v>0.977630082654444</v>
      </c>
      <c r="D28" s="1" t="s">
        <v>343</v>
      </c>
      <c r="E28" s="1" t="s">
        <v>41</v>
      </c>
      <c r="F28" s="1" t="s">
        <v>18</v>
      </c>
      <c r="G28" s="1" t="s">
        <v>11</v>
      </c>
      <c r="H28" s="1">
        <v>2024.0</v>
      </c>
      <c r="I28" s="1" t="s">
        <v>240</v>
      </c>
      <c r="J28" s="1" t="s">
        <v>1272</v>
      </c>
      <c r="K28" s="1">
        <v>5.0</v>
      </c>
      <c r="L28" s="1" t="s">
        <v>1273</v>
      </c>
      <c r="M28" s="1">
        <v>12.0</v>
      </c>
    </row>
    <row r="29">
      <c r="A29" s="1">
        <v>337.0</v>
      </c>
      <c r="B29" s="1">
        <v>2.0</v>
      </c>
      <c r="C29" s="1">
        <v>0.977599422791078</v>
      </c>
      <c r="D29" s="1" t="s">
        <v>323</v>
      </c>
      <c r="E29" s="1" t="s">
        <v>45</v>
      </c>
      <c r="F29" s="1" t="s">
        <v>65</v>
      </c>
      <c r="G29" s="1" t="s">
        <v>1274</v>
      </c>
      <c r="H29" s="1">
        <v>2019.0</v>
      </c>
      <c r="I29" s="1" t="s">
        <v>240</v>
      </c>
      <c r="J29" s="1" t="s">
        <v>1272</v>
      </c>
      <c r="K29" s="1">
        <v>5.0</v>
      </c>
      <c r="L29" s="1" t="s">
        <v>1273</v>
      </c>
      <c r="M29" s="1">
        <v>-1.0</v>
      </c>
    </row>
    <row r="30">
      <c r="A30" s="1">
        <v>644.0</v>
      </c>
      <c r="B30" s="1">
        <v>2.0</v>
      </c>
      <c r="C30" s="1">
        <v>0.977473216642524</v>
      </c>
      <c r="D30" s="1" t="s">
        <v>341</v>
      </c>
      <c r="E30" s="1" t="s">
        <v>41</v>
      </c>
      <c r="F30" s="1" t="s">
        <v>142</v>
      </c>
      <c r="G30" s="1" t="s">
        <v>1274</v>
      </c>
      <c r="H30" s="1">
        <v>2024.0</v>
      </c>
      <c r="I30" s="1" t="s">
        <v>240</v>
      </c>
      <c r="J30" s="1" t="s">
        <v>1272</v>
      </c>
      <c r="K30" s="1">
        <v>5.0</v>
      </c>
      <c r="L30" s="1" t="s">
        <v>1273</v>
      </c>
      <c r="M30" s="1">
        <v>0.0</v>
      </c>
    </row>
    <row r="31">
      <c r="A31" s="1">
        <v>361.0</v>
      </c>
      <c r="B31" s="1">
        <v>7.0</v>
      </c>
      <c r="C31" s="1">
        <v>0.977420769641204</v>
      </c>
      <c r="D31" s="1" t="s">
        <v>345</v>
      </c>
      <c r="E31" s="1" t="s">
        <v>41</v>
      </c>
      <c r="F31" s="1" t="s">
        <v>18</v>
      </c>
      <c r="G31" s="1" t="s">
        <v>11</v>
      </c>
      <c r="H31" s="1">
        <v>2024.0</v>
      </c>
      <c r="I31" s="1" t="s">
        <v>240</v>
      </c>
      <c r="J31" s="1" t="s">
        <v>1272</v>
      </c>
      <c r="K31" s="1">
        <v>7.0</v>
      </c>
      <c r="L31" s="1" t="s">
        <v>1273</v>
      </c>
      <c r="M31" s="1">
        <v>3.0</v>
      </c>
    </row>
    <row r="32">
      <c r="A32" s="1">
        <v>648.0</v>
      </c>
      <c r="B32" s="1">
        <v>7.0</v>
      </c>
      <c r="C32" s="1">
        <v>0.977420594247316</v>
      </c>
      <c r="D32" s="1" t="s">
        <v>593</v>
      </c>
      <c r="E32" s="1" t="s">
        <v>41</v>
      </c>
      <c r="F32" s="1" t="s">
        <v>142</v>
      </c>
      <c r="G32" s="1" t="s">
        <v>1274</v>
      </c>
      <c r="H32" s="1">
        <v>2024.0</v>
      </c>
      <c r="I32" s="1" t="s">
        <v>240</v>
      </c>
      <c r="J32" s="1" t="s">
        <v>1272</v>
      </c>
      <c r="K32" s="1">
        <v>7.0</v>
      </c>
      <c r="L32" s="1" t="s">
        <v>1273</v>
      </c>
      <c r="M32" s="1">
        <v>3.0</v>
      </c>
    </row>
    <row r="33">
      <c r="A33" s="1">
        <v>623.0</v>
      </c>
      <c r="B33" s="1">
        <v>4.0</v>
      </c>
      <c r="C33" s="1">
        <v>0.977416888625967</v>
      </c>
      <c r="D33" s="1" t="s">
        <v>575</v>
      </c>
      <c r="E33" s="1" t="s">
        <v>45</v>
      </c>
      <c r="F33" s="1" t="s">
        <v>18</v>
      </c>
      <c r="G33" s="1" t="s">
        <v>1274</v>
      </c>
      <c r="H33" s="1">
        <v>2022.0</v>
      </c>
      <c r="I33" s="1" t="s">
        <v>240</v>
      </c>
      <c r="J33" s="1" t="s">
        <v>1272</v>
      </c>
      <c r="K33" s="1">
        <v>7.0</v>
      </c>
      <c r="L33" s="1" t="s">
        <v>1273</v>
      </c>
      <c r="M33" s="1">
        <v>3.0</v>
      </c>
    </row>
    <row r="34">
      <c r="A34" s="1">
        <v>921.0</v>
      </c>
      <c r="B34" s="1">
        <v>3.0</v>
      </c>
      <c r="C34" s="1">
        <v>0.977398553506109</v>
      </c>
      <c r="D34" s="1" t="s">
        <v>855</v>
      </c>
      <c r="E34" s="1" t="s">
        <v>173</v>
      </c>
      <c r="F34" s="1" t="s">
        <v>1274</v>
      </c>
      <c r="G34" s="1" t="s">
        <v>609</v>
      </c>
      <c r="H34" s="1">
        <v>2015.0</v>
      </c>
      <c r="I34" s="1" t="s">
        <v>630</v>
      </c>
      <c r="J34" s="1" t="s">
        <v>1272</v>
      </c>
      <c r="K34" s="1">
        <v>7.0</v>
      </c>
      <c r="L34" s="1" t="s">
        <v>1273</v>
      </c>
      <c r="M34" s="1">
        <v>1.0</v>
      </c>
    </row>
    <row r="35">
      <c r="A35" s="1">
        <v>6.0</v>
      </c>
      <c r="B35" s="1">
        <v>2.0</v>
      </c>
      <c r="C35" s="1">
        <v>0.977386808509866</v>
      </c>
      <c r="D35" s="1" t="s">
        <v>22</v>
      </c>
      <c r="E35" s="1" t="s">
        <v>20</v>
      </c>
      <c r="F35" s="1" t="s">
        <v>21</v>
      </c>
      <c r="G35" s="1" t="s">
        <v>1274</v>
      </c>
      <c r="H35" s="1" t="s">
        <v>1274</v>
      </c>
      <c r="I35" s="1" t="s">
        <v>12</v>
      </c>
      <c r="J35" s="1" t="s">
        <v>1272</v>
      </c>
      <c r="K35" s="1">
        <v>7.0</v>
      </c>
      <c r="L35" s="1" t="s">
        <v>1273</v>
      </c>
      <c r="M35" s="1">
        <v>-1.0</v>
      </c>
    </row>
    <row r="36">
      <c r="A36" s="1">
        <v>127.0</v>
      </c>
      <c r="B36" s="1">
        <v>2.0</v>
      </c>
      <c r="C36" s="1">
        <v>0.977175672435306</v>
      </c>
      <c r="D36" s="1" t="s">
        <v>147</v>
      </c>
      <c r="E36" s="1" t="s">
        <v>111</v>
      </c>
      <c r="F36" s="1" t="s">
        <v>18</v>
      </c>
      <c r="G36" s="1" t="s">
        <v>42</v>
      </c>
      <c r="H36" s="1" t="s">
        <v>1274</v>
      </c>
      <c r="I36" s="1" t="s">
        <v>12</v>
      </c>
      <c r="J36" s="1" t="s">
        <v>1272</v>
      </c>
      <c r="K36" s="1">
        <v>5.0</v>
      </c>
      <c r="L36" s="1" t="s">
        <v>1273</v>
      </c>
      <c r="M36" s="1">
        <v>6.0</v>
      </c>
    </row>
    <row r="37">
      <c r="A37" s="1">
        <v>62.0</v>
      </c>
      <c r="B37" s="1">
        <v>5.0</v>
      </c>
      <c r="C37" s="1">
        <v>0.97706809994997</v>
      </c>
      <c r="D37" s="1" t="s">
        <v>85</v>
      </c>
      <c r="E37" s="1" t="s">
        <v>47</v>
      </c>
      <c r="F37" s="1" t="s">
        <v>1274</v>
      </c>
      <c r="G37" s="1" t="s">
        <v>11</v>
      </c>
      <c r="H37" s="1">
        <v>2016.0</v>
      </c>
      <c r="I37" s="1" t="s">
        <v>12</v>
      </c>
      <c r="J37" s="1" t="s">
        <v>1272</v>
      </c>
      <c r="K37" s="1">
        <v>5.0</v>
      </c>
      <c r="L37" s="1" t="s">
        <v>1273</v>
      </c>
      <c r="M37" s="1">
        <v>14.0</v>
      </c>
    </row>
    <row r="38">
      <c r="A38" s="1">
        <v>1107.0</v>
      </c>
      <c r="B38" s="1">
        <v>5.0</v>
      </c>
      <c r="C38" s="1">
        <v>0.977064694535341</v>
      </c>
      <c r="D38" s="1" t="s">
        <v>86</v>
      </c>
      <c r="E38" s="1" t="s">
        <v>47</v>
      </c>
      <c r="F38" s="1" t="s">
        <v>1274</v>
      </c>
      <c r="G38" s="1" t="s">
        <v>11</v>
      </c>
      <c r="H38" s="1">
        <v>2016.0</v>
      </c>
      <c r="I38" s="1" t="s">
        <v>861</v>
      </c>
      <c r="J38" s="1" t="s">
        <v>1272</v>
      </c>
      <c r="K38" s="1">
        <v>5.0</v>
      </c>
      <c r="L38" s="1" t="s">
        <v>1273</v>
      </c>
      <c r="M38" s="1">
        <v>14.0</v>
      </c>
    </row>
    <row r="39">
      <c r="A39" s="1">
        <v>221.0</v>
      </c>
      <c r="B39" s="1">
        <v>5.0</v>
      </c>
      <c r="C39" s="1">
        <v>0.977062519608044</v>
      </c>
      <c r="D39" s="1" t="s">
        <v>218</v>
      </c>
      <c r="E39" s="1" t="s">
        <v>47</v>
      </c>
      <c r="F39" s="1" t="s">
        <v>1274</v>
      </c>
      <c r="G39" s="1" t="s">
        <v>11</v>
      </c>
      <c r="H39" s="1">
        <v>2016.0</v>
      </c>
      <c r="I39" s="1" t="s">
        <v>198</v>
      </c>
      <c r="J39" s="1" t="s">
        <v>1272</v>
      </c>
      <c r="K39" s="1">
        <v>5.0</v>
      </c>
      <c r="L39" s="1" t="s">
        <v>1273</v>
      </c>
      <c r="M39" s="1">
        <v>14.0</v>
      </c>
    </row>
    <row r="40">
      <c r="A40" s="1">
        <v>352.0</v>
      </c>
      <c r="B40" s="1">
        <v>2.0</v>
      </c>
      <c r="C40" s="1">
        <v>0.977008189594241</v>
      </c>
      <c r="D40" s="1" t="s">
        <v>337</v>
      </c>
      <c r="E40" s="1" t="s">
        <v>41</v>
      </c>
      <c r="F40" s="1" t="s">
        <v>18</v>
      </c>
      <c r="G40" s="1" t="s">
        <v>11</v>
      </c>
      <c r="H40" s="1">
        <v>2024.0</v>
      </c>
      <c r="I40" s="1" t="s">
        <v>240</v>
      </c>
      <c r="J40" s="1" t="s">
        <v>1272</v>
      </c>
      <c r="K40" s="1">
        <v>5.0</v>
      </c>
      <c r="L40" s="1" t="s">
        <v>1273</v>
      </c>
      <c r="M40" s="1">
        <v>3.0</v>
      </c>
    </row>
    <row r="41">
      <c r="A41" s="1">
        <v>466.0</v>
      </c>
      <c r="B41" s="1">
        <v>2.0</v>
      </c>
      <c r="C41" s="1">
        <v>0.977008189594241</v>
      </c>
      <c r="D41" s="1" t="s">
        <v>434</v>
      </c>
      <c r="E41" s="1" t="s">
        <v>41</v>
      </c>
      <c r="F41" s="1" t="s">
        <v>118</v>
      </c>
      <c r="G41" s="1" t="s">
        <v>1274</v>
      </c>
      <c r="H41" s="1">
        <v>2024.0</v>
      </c>
      <c r="I41" s="1" t="s">
        <v>240</v>
      </c>
      <c r="J41" s="1" t="s">
        <v>1272</v>
      </c>
      <c r="K41" s="1">
        <v>5.0</v>
      </c>
      <c r="L41" s="1" t="s">
        <v>1273</v>
      </c>
      <c r="M41" s="1">
        <v>3.0</v>
      </c>
    </row>
    <row r="42">
      <c r="A42" s="1">
        <v>639.0</v>
      </c>
      <c r="B42" s="1">
        <v>2.0</v>
      </c>
      <c r="C42" s="1">
        <v>0.977008189594241</v>
      </c>
      <c r="D42" s="1" t="s">
        <v>589</v>
      </c>
      <c r="E42" s="1" t="s">
        <v>41</v>
      </c>
      <c r="F42" s="1" t="s">
        <v>142</v>
      </c>
      <c r="G42" s="1" t="s">
        <v>1274</v>
      </c>
      <c r="H42" s="1">
        <v>2024.0</v>
      </c>
      <c r="I42" s="1" t="s">
        <v>240</v>
      </c>
      <c r="J42" s="1" t="s">
        <v>1272</v>
      </c>
      <c r="K42" s="1">
        <v>5.0</v>
      </c>
      <c r="L42" s="1" t="s">
        <v>1273</v>
      </c>
      <c r="M42" s="1">
        <v>3.0</v>
      </c>
    </row>
    <row r="43">
      <c r="A43" s="1">
        <v>646.0</v>
      </c>
      <c r="B43" s="1">
        <v>2.0</v>
      </c>
      <c r="C43" s="1">
        <v>0.976985977674213</v>
      </c>
      <c r="D43" s="1" t="s">
        <v>591</v>
      </c>
      <c r="E43" s="1" t="s">
        <v>41</v>
      </c>
      <c r="F43" s="1" t="s">
        <v>142</v>
      </c>
      <c r="G43" s="1" t="s">
        <v>1274</v>
      </c>
      <c r="H43" s="1">
        <v>2024.0</v>
      </c>
      <c r="I43" s="1" t="s">
        <v>240</v>
      </c>
      <c r="J43" s="1" t="s">
        <v>1272</v>
      </c>
      <c r="K43" s="1">
        <v>5.0</v>
      </c>
      <c r="L43" s="1" t="s">
        <v>1273</v>
      </c>
      <c r="M43" s="1">
        <v>12.0</v>
      </c>
    </row>
    <row r="44">
      <c r="A44" s="1">
        <v>451.0</v>
      </c>
      <c r="B44" s="1">
        <v>2.0</v>
      </c>
      <c r="C44" s="1">
        <v>0.976977615990682</v>
      </c>
      <c r="D44" s="1" t="s">
        <v>421</v>
      </c>
      <c r="E44" s="1" t="s">
        <v>187</v>
      </c>
      <c r="F44" s="1" t="s">
        <v>1274</v>
      </c>
      <c r="G44" s="1" t="s">
        <v>11</v>
      </c>
      <c r="H44" s="1">
        <v>2019.0</v>
      </c>
      <c r="I44" s="1" t="s">
        <v>240</v>
      </c>
      <c r="J44" s="1" t="s">
        <v>1272</v>
      </c>
      <c r="K44" s="1">
        <v>5.0</v>
      </c>
      <c r="L44" s="1" t="s">
        <v>1273</v>
      </c>
      <c r="M44" s="1">
        <v>-1.0</v>
      </c>
    </row>
    <row r="45">
      <c r="A45" s="1">
        <v>690.0</v>
      </c>
      <c r="B45" s="1">
        <v>2.0</v>
      </c>
      <c r="C45" s="1">
        <v>0.976973860526907</v>
      </c>
      <c r="D45" s="1" t="s">
        <v>628</v>
      </c>
      <c r="E45" s="1" t="s">
        <v>50</v>
      </c>
      <c r="F45" s="1" t="s">
        <v>1274</v>
      </c>
      <c r="G45" s="1" t="s">
        <v>26</v>
      </c>
      <c r="H45" s="1">
        <v>2022.0</v>
      </c>
      <c r="I45" s="1" t="s">
        <v>240</v>
      </c>
      <c r="J45" s="1" t="s">
        <v>1272</v>
      </c>
      <c r="K45" s="1">
        <v>5.0</v>
      </c>
      <c r="L45" s="1" t="s">
        <v>1273</v>
      </c>
      <c r="M45" s="1">
        <v>-1.0</v>
      </c>
    </row>
    <row r="46">
      <c r="A46" s="1">
        <v>389.0</v>
      </c>
      <c r="B46" s="1">
        <v>2.0</v>
      </c>
      <c r="C46" s="1">
        <v>0.976962709091328</v>
      </c>
      <c r="D46" s="1" t="s">
        <v>366</v>
      </c>
      <c r="E46" s="1" t="s">
        <v>50</v>
      </c>
      <c r="F46" s="1" t="s">
        <v>1274</v>
      </c>
      <c r="G46" s="2">
        <v>46213.0</v>
      </c>
      <c r="H46" s="1">
        <v>2021.0</v>
      </c>
      <c r="I46" s="1" t="s">
        <v>240</v>
      </c>
      <c r="J46" s="1" t="s">
        <v>1272</v>
      </c>
      <c r="K46" s="1">
        <v>5.0</v>
      </c>
      <c r="L46" s="1" t="s">
        <v>1273</v>
      </c>
      <c r="M46" s="1">
        <v>-1.0</v>
      </c>
    </row>
    <row r="47">
      <c r="A47" s="1">
        <v>445.0</v>
      </c>
      <c r="B47" s="1">
        <v>2.0</v>
      </c>
      <c r="C47" s="1">
        <v>0.976950034781855</v>
      </c>
      <c r="D47" s="1" t="s">
        <v>415</v>
      </c>
      <c r="E47" s="1" t="s">
        <v>50</v>
      </c>
      <c r="F47" s="1" t="s">
        <v>18</v>
      </c>
      <c r="G47" s="1" t="s">
        <v>284</v>
      </c>
      <c r="H47" s="1">
        <v>2022.0</v>
      </c>
      <c r="I47" s="1" t="s">
        <v>240</v>
      </c>
      <c r="J47" s="1" t="s">
        <v>1272</v>
      </c>
      <c r="K47" s="1">
        <v>5.0</v>
      </c>
      <c r="L47" s="1" t="s">
        <v>1273</v>
      </c>
      <c r="M47" s="1">
        <v>-1.0</v>
      </c>
    </row>
    <row r="48">
      <c r="A48" s="1">
        <v>688.0</v>
      </c>
      <c r="B48" s="1">
        <v>2.0</v>
      </c>
      <c r="C48" s="1">
        <v>0.97694753662061</v>
      </c>
      <c r="D48" s="1" t="s">
        <v>626</v>
      </c>
      <c r="E48" s="1" t="s">
        <v>50</v>
      </c>
      <c r="F48" s="1" t="s">
        <v>1274</v>
      </c>
      <c r="G48" s="1" t="s">
        <v>26</v>
      </c>
      <c r="H48" s="1">
        <v>2022.0</v>
      </c>
      <c r="I48" s="1" t="s">
        <v>240</v>
      </c>
      <c r="J48" s="1" t="s">
        <v>1272</v>
      </c>
      <c r="K48" s="1">
        <v>5.0</v>
      </c>
      <c r="L48" s="1" t="s">
        <v>1273</v>
      </c>
      <c r="M48" s="1">
        <v>-1.0</v>
      </c>
    </row>
    <row r="49">
      <c r="A49" s="1">
        <v>338.0</v>
      </c>
      <c r="B49" s="1">
        <v>2.0</v>
      </c>
      <c r="C49" s="1">
        <v>0.976927919578464</v>
      </c>
      <c r="D49" s="1" t="s">
        <v>324</v>
      </c>
      <c r="E49" s="1" t="s">
        <v>45</v>
      </c>
      <c r="F49" s="1" t="s">
        <v>65</v>
      </c>
      <c r="G49" s="1" t="s">
        <v>1274</v>
      </c>
      <c r="H49" s="1">
        <v>2019.0</v>
      </c>
      <c r="I49" s="1" t="s">
        <v>240</v>
      </c>
      <c r="J49" s="1" t="s">
        <v>1272</v>
      </c>
      <c r="K49" s="1">
        <v>5.0</v>
      </c>
      <c r="L49" s="1" t="s">
        <v>1273</v>
      </c>
      <c r="M49" s="1">
        <v>-1.0</v>
      </c>
    </row>
    <row r="50">
      <c r="A50" s="1">
        <v>323.0</v>
      </c>
      <c r="B50" s="1">
        <v>2.0</v>
      </c>
      <c r="C50" s="1">
        <v>0.976891789301348</v>
      </c>
      <c r="D50" s="1" t="s">
        <v>311</v>
      </c>
      <c r="E50" s="1" t="s">
        <v>45</v>
      </c>
      <c r="F50" s="1" t="s">
        <v>65</v>
      </c>
      <c r="G50" s="1" t="s">
        <v>1274</v>
      </c>
      <c r="H50" s="1">
        <v>2019.0</v>
      </c>
      <c r="I50" s="1" t="s">
        <v>240</v>
      </c>
      <c r="J50" s="1" t="s">
        <v>1272</v>
      </c>
      <c r="K50" s="1">
        <v>5.0</v>
      </c>
      <c r="L50" s="1" t="s">
        <v>1273</v>
      </c>
      <c r="M50" s="1">
        <v>5.0</v>
      </c>
    </row>
    <row r="51">
      <c r="A51" s="1">
        <v>87.0</v>
      </c>
      <c r="B51" s="1">
        <v>1.0</v>
      </c>
      <c r="C51" s="1">
        <v>0.976850061882255</v>
      </c>
      <c r="D51" s="1" t="s">
        <v>96</v>
      </c>
      <c r="E51" s="1" t="s">
        <v>20</v>
      </c>
      <c r="F51" s="1" t="s">
        <v>18</v>
      </c>
      <c r="G51" s="1" t="s">
        <v>11</v>
      </c>
      <c r="H51" s="1">
        <v>2017.0</v>
      </c>
      <c r="I51" s="1" t="s">
        <v>12</v>
      </c>
      <c r="J51" s="1" t="s">
        <v>1272</v>
      </c>
      <c r="K51" s="1">
        <v>5.0</v>
      </c>
      <c r="L51" s="1" t="s">
        <v>1273</v>
      </c>
      <c r="M51" s="1">
        <v>5.0</v>
      </c>
    </row>
    <row r="52">
      <c r="A52" s="1">
        <v>481.0</v>
      </c>
      <c r="B52" s="1">
        <v>2.0</v>
      </c>
      <c r="C52" s="1">
        <v>0.97683110619738</v>
      </c>
      <c r="D52" s="1" t="s">
        <v>351</v>
      </c>
      <c r="E52" s="1" t="s">
        <v>41</v>
      </c>
      <c r="F52" s="1" t="s">
        <v>118</v>
      </c>
      <c r="G52" s="1" t="s">
        <v>1274</v>
      </c>
      <c r="H52" s="1">
        <v>2024.0</v>
      </c>
      <c r="I52" s="1" t="s">
        <v>240</v>
      </c>
      <c r="J52" s="1" t="s">
        <v>1272</v>
      </c>
      <c r="K52" s="1">
        <v>5.0</v>
      </c>
      <c r="L52" s="1" t="s">
        <v>1273</v>
      </c>
      <c r="M52" s="1">
        <v>0.0</v>
      </c>
    </row>
    <row r="53">
      <c r="A53" s="1">
        <v>476.0</v>
      </c>
      <c r="B53" s="1">
        <v>7.0</v>
      </c>
      <c r="C53" s="1">
        <v>0.976818517533799</v>
      </c>
      <c r="D53" s="1" t="s">
        <v>346</v>
      </c>
      <c r="E53" s="1" t="s">
        <v>41</v>
      </c>
      <c r="F53" s="1" t="s">
        <v>118</v>
      </c>
      <c r="G53" s="1" t="s">
        <v>1274</v>
      </c>
      <c r="H53" s="1">
        <v>2024.0</v>
      </c>
      <c r="I53" s="1" t="s">
        <v>240</v>
      </c>
      <c r="J53" s="1" t="s">
        <v>1272</v>
      </c>
      <c r="K53" s="1">
        <v>7.0</v>
      </c>
      <c r="L53" s="1" t="s">
        <v>1273</v>
      </c>
      <c r="M53" s="1">
        <v>3.0</v>
      </c>
    </row>
    <row r="54">
      <c r="A54" s="1">
        <v>477.0</v>
      </c>
      <c r="B54" s="1">
        <v>7.0</v>
      </c>
      <c r="C54" s="1">
        <v>0.976816245018213</v>
      </c>
      <c r="D54" s="1" t="s">
        <v>347</v>
      </c>
      <c r="E54" s="1" t="s">
        <v>41</v>
      </c>
      <c r="F54" s="1" t="s">
        <v>118</v>
      </c>
      <c r="G54" s="1" t="s">
        <v>1274</v>
      </c>
      <c r="H54" s="1">
        <v>2024.0</v>
      </c>
      <c r="I54" s="1" t="s">
        <v>240</v>
      </c>
      <c r="J54" s="1" t="s">
        <v>1272</v>
      </c>
      <c r="K54" s="1">
        <v>7.0</v>
      </c>
      <c r="L54" s="1" t="s">
        <v>1273</v>
      </c>
      <c r="M54" s="1">
        <v>3.0</v>
      </c>
    </row>
    <row r="55">
      <c r="A55" s="1">
        <v>650.0</v>
      </c>
      <c r="B55" s="1">
        <v>7.0</v>
      </c>
      <c r="C55" s="1">
        <v>0.976815712708647</v>
      </c>
      <c r="D55" s="1" t="s">
        <v>595</v>
      </c>
      <c r="E55" s="1" t="s">
        <v>41</v>
      </c>
      <c r="F55" s="1" t="s">
        <v>142</v>
      </c>
      <c r="G55" s="1" t="s">
        <v>1274</v>
      </c>
      <c r="H55" s="1">
        <v>2024.0</v>
      </c>
      <c r="I55" s="1" t="s">
        <v>240</v>
      </c>
      <c r="J55" s="1" t="s">
        <v>1272</v>
      </c>
      <c r="K55" s="1">
        <v>7.0</v>
      </c>
      <c r="L55" s="1" t="s">
        <v>1273</v>
      </c>
      <c r="M55" s="1">
        <v>3.0</v>
      </c>
    </row>
    <row r="56">
      <c r="A56" s="1">
        <v>943.0</v>
      </c>
      <c r="B56" s="1">
        <v>1.0</v>
      </c>
      <c r="C56" s="1">
        <v>0.976807177347514</v>
      </c>
      <c r="D56" s="1" t="s">
        <v>866</v>
      </c>
      <c r="E56" s="1" t="s">
        <v>41</v>
      </c>
      <c r="F56" s="1" t="s">
        <v>180</v>
      </c>
      <c r="G56" s="1" t="s">
        <v>1274</v>
      </c>
      <c r="H56" s="1" t="s">
        <v>1274</v>
      </c>
      <c r="I56" s="1" t="s">
        <v>861</v>
      </c>
      <c r="J56" s="1" t="s">
        <v>1272</v>
      </c>
      <c r="K56" s="1">
        <v>7.0</v>
      </c>
      <c r="L56" s="1" t="s">
        <v>1273</v>
      </c>
      <c r="M56" s="1">
        <v>0.0</v>
      </c>
    </row>
    <row r="57">
      <c r="A57" s="1">
        <v>1098.0</v>
      </c>
      <c r="B57" s="1">
        <v>1.0</v>
      </c>
      <c r="C57" s="1">
        <v>0.976806339820198</v>
      </c>
      <c r="D57" s="1" t="s">
        <v>996</v>
      </c>
      <c r="E57" s="1" t="s">
        <v>41</v>
      </c>
      <c r="F57" s="1" t="s">
        <v>18</v>
      </c>
      <c r="G57" s="1" t="s">
        <v>11</v>
      </c>
      <c r="H57" s="1" t="s">
        <v>1274</v>
      </c>
      <c r="I57" s="1" t="s">
        <v>861</v>
      </c>
      <c r="J57" s="1" t="s">
        <v>1272</v>
      </c>
      <c r="K57" s="1">
        <v>7.0</v>
      </c>
      <c r="L57" s="1" t="s">
        <v>1273</v>
      </c>
      <c r="M57" s="1">
        <v>0.0</v>
      </c>
    </row>
    <row r="58">
      <c r="A58" s="1">
        <v>512.0</v>
      </c>
      <c r="B58" s="1">
        <v>4.0</v>
      </c>
      <c r="C58" s="1">
        <v>0.976804749098395</v>
      </c>
      <c r="D58" s="1" t="s">
        <v>473</v>
      </c>
      <c r="E58" s="1" t="s">
        <v>111</v>
      </c>
      <c r="F58" s="1" t="s">
        <v>1274</v>
      </c>
      <c r="G58" s="1" t="s">
        <v>42</v>
      </c>
      <c r="H58" s="1">
        <v>2022.0</v>
      </c>
      <c r="I58" s="1" t="s">
        <v>240</v>
      </c>
      <c r="J58" s="1" t="s">
        <v>1272</v>
      </c>
      <c r="K58" s="1">
        <v>7.0</v>
      </c>
      <c r="L58" s="1" t="s">
        <v>1273</v>
      </c>
      <c r="M58" s="1">
        <v>4.0</v>
      </c>
    </row>
    <row r="59">
      <c r="A59" s="1">
        <v>447.0</v>
      </c>
      <c r="B59" s="1">
        <v>2.0</v>
      </c>
      <c r="C59" s="1">
        <v>0.976797136754286</v>
      </c>
      <c r="D59" s="1" t="s">
        <v>417</v>
      </c>
      <c r="E59" s="1" t="s">
        <v>50</v>
      </c>
      <c r="F59" s="1" t="s">
        <v>18</v>
      </c>
      <c r="G59" s="1" t="s">
        <v>284</v>
      </c>
      <c r="H59" s="1">
        <v>2022.0</v>
      </c>
      <c r="I59" s="1" t="s">
        <v>240</v>
      </c>
      <c r="J59" s="1" t="s">
        <v>1272</v>
      </c>
      <c r="K59" s="1">
        <v>7.0</v>
      </c>
      <c r="L59" s="1" t="s">
        <v>1273</v>
      </c>
      <c r="M59" s="1">
        <v>0.0</v>
      </c>
    </row>
    <row r="60">
      <c r="A60" s="1">
        <v>523.0</v>
      </c>
      <c r="B60" s="1">
        <v>4.0</v>
      </c>
      <c r="C60" s="1">
        <v>0.976793654539805</v>
      </c>
      <c r="D60" s="1" t="s">
        <v>484</v>
      </c>
      <c r="E60" s="1" t="s">
        <v>20</v>
      </c>
      <c r="F60" s="1" t="s">
        <v>18</v>
      </c>
      <c r="G60" s="1" t="s">
        <v>42</v>
      </c>
      <c r="H60" s="1">
        <v>2022.0</v>
      </c>
      <c r="I60" s="1" t="s">
        <v>240</v>
      </c>
      <c r="J60" s="1" t="s">
        <v>1272</v>
      </c>
      <c r="K60" s="1">
        <v>7.0</v>
      </c>
      <c r="L60" s="1" t="s">
        <v>1273</v>
      </c>
      <c r="M60" s="1">
        <v>2.0</v>
      </c>
    </row>
    <row r="61">
      <c r="A61" s="1">
        <v>89.0</v>
      </c>
      <c r="B61" s="1">
        <v>2.0</v>
      </c>
      <c r="C61" s="1">
        <v>0.976775660465995</v>
      </c>
      <c r="D61" s="1" t="s">
        <v>99</v>
      </c>
      <c r="E61" s="1" t="s">
        <v>20</v>
      </c>
      <c r="F61" s="1" t="s">
        <v>18</v>
      </c>
      <c r="G61" s="1" t="s">
        <v>11</v>
      </c>
      <c r="H61" s="1">
        <v>2017.0</v>
      </c>
      <c r="I61" s="1" t="s">
        <v>12</v>
      </c>
      <c r="J61" s="1" t="s">
        <v>1272</v>
      </c>
      <c r="K61" s="1">
        <v>7.0</v>
      </c>
      <c r="L61" s="1" t="s">
        <v>1273</v>
      </c>
      <c r="M61" s="1">
        <v>-1.0</v>
      </c>
    </row>
    <row r="62">
      <c r="A62" s="1">
        <v>44.0</v>
      </c>
      <c r="B62" s="1">
        <v>2.0</v>
      </c>
      <c r="C62" s="1">
        <v>0.97676225917916</v>
      </c>
      <c r="D62" s="1" t="s">
        <v>68</v>
      </c>
      <c r="E62" s="1" t="s">
        <v>45</v>
      </c>
      <c r="F62" s="1" t="s">
        <v>65</v>
      </c>
      <c r="G62" s="1" t="s">
        <v>1274</v>
      </c>
      <c r="H62" s="1">
        <v>2019.0</v>
      </c>
      <c r="I62" s="1" t="s">
        <v>12</v>
      </c>
      <c r="J62" s="1" t="s">
        <v>1272</v>
      </c>
      <c r="K62" s="1">
        <v>5.0</v>
      </c>
      <c r="L62" s="1" t="s">
        <v>1273</v>
      </c>
      <c r="M62" s="1">
        <v>0.0</v>
      </c>
    </row>
    <row r="63">
      <c r="A63" s="1">
        <v>465.0</v>
      </c>
      <c r="B63" s="1">
        <v>2.0</v>
      </c>
      <c r="C63" s="1">
        <v>0.976707970773587</v>
      </c>
      <c r="D63" s="1" t="s">
        <v>433</v>
      </c>
      <c r="E63" s="1" t="s">
        <v>41</v>
      </c>
      <c r="F63" s="1" t="s">
        <v>118</v>
      </c>
      <c r="G63" s="1" t="s">
        <v>1274</v>
      </c>
      <c r="H63" s="1">
        <v>2024.0</v>
      </c>
      <c r="I63" s="1" t="s">
        <v>240</v>
      </c>
      <c r="J63" s="1" t="s">
        <v>1272</v>
      </c>
      <c r="K63" s="1">
        <v>5.0</v>
      </c>
      <c r="L63" s="1" t="s">
        <v>1273</v>
      </c>
      <c r="M63" s="1">
        <v>0.0</v>
      </c>
    </row>
    <row r="64">
      <c r="A64" s="1">
        <v>944.0</v>
      </c>
      <c r="B64" s="1">
        <v>4.0</v>
      </c>
      <c r="C64" s="1">
        <v>0.976332044633377</v>
      </c>
      <c r="D64" s="1" t="s">
        <v>162</v>
      </c>
      <c r="E64" s="1" t="s">
        <v>41</v>
      </c>
      <c r="F64" s="1" t="s">
        <v>180</v>
      </c>
      <c r="G64" s="1" t="s">
        <v>1274</v>
      </c>
      <c r="H64" s="1" t="s">
        <v>1274</v>
      </c>
      <c r="I64" s="1" t="s">
        <v>861</v>
      </c>
      <c r="J64" s="1" t="s">
        <v>1272</v>
      </c>
      <c r="K64" s="1">
        <v>5.0</v>
      </c>
      <c r="L64" s="1" t="s">
        <v>1273</v>
      </c>
      <c r="M64" s="1">
        <v>0.0</v>
      </c>
    </row>
    <row r="65">
      <c r="A65" s="1">
        <v>662.0</v>
      </c>
      <c r="B65" s="1">
        <v>2.0</v>
      </c>
      <c r="C65" s="1">
        <v>0.976324781537854</v>
      </c>
      <c r="D65" s="1" t="s">
        <v>602</v>
      </c>
      <c r="E65" s="1" t="s">
        <v>173</v>
      </c>
      <c r="F65" s="1" t="s">
        <v>18</v>
      </c>
      <c r="G65" s="1" t="s">
        <v>42</v>
      </c>
      <c r="H65" s="1">
        <v>2021.0</v>
      </c>
      <c r="I65" s="1" t="s">
        <v>240</v>
      </c>
      <c r="J65" s="1" t="s">
        <v>1272</v>
      </c>
      <c r="K65" s="1">
        <v>5.0</v>
      </c>
      <c r="L65" s="1" t="s">
        <v>1273</v>
      </c>
      <c r="M65" s="1">
        <v>4.0</v>
      </c>
    </row>
    <row r="66">
      <c r="A66" s="1">
        <v>473.0</v>
      </c>
      <c r="B66" s="1">
        <v>2.0</v>
      </c>
      <c r="C66" s="1">
        <v>0.976318391242741</v>
      </c>
      <c r="D66" s="1" t="s">
        <v>439</v>
      </c>
      <c r="E66" s="1" t="s">
        <v>41</v>
      </c>
      <c r="F66" s="1" t="s">
        <v>118</v>
      </c>
      <c r="G66" s="1" t="s">
        <v>1274</v>
      </c>
      <c r="H66" s="1">
        <v>2024.0</v>
      </c>
      <c r="I66" s="1" t="s">
        <v>240</v>
      </c>
      <c r="J66" s="1" t="s">
        <v>1272</v>
      </c>
      <c r="K66" s="1">
        <v>5.0</v>
      </c>
      <c r="L66" s="1" t="s">
        <v>1273</v>
      </c>
      <c r="M66" s="1">
        <v>12.0</v>
      </c>
    </row>
    <row r="67">
      <c r="A67" s="1">
        <v>387.0</v>
      </c>
      <c r="B67" s="1">
        <v>2.0</v>
      </c>
      <c r="C67" s="1">
        <v>0.976287302271754</v>
      </c>
      <c r="D67" s="1" t="s">
        <v>364</v>
      </c>
      <c r="E67" s="1" t="s">
        <v>50</v>
      </c>
      <c r="F67" s="1" t="s">
        <v>1274</v>
      </c>
      <c r="G67" s="2">
        <v>46213.0</v>
      </c>
      <c r="H67" s="1">
        <v>2021.0</v>
      </c>
      <c r="I67" s="1" t="s">
        <v>240</v>
      </c>
      <c r="J67" s="1" t="s">
        <v>1272</v>
      </c>
      <c r="K67" s="1">
        <v>5.0</v>
      </c>
      <c r="L67" s="1" t="s">
        <v>1273</v>
      </c>
      <c r="M67" s="1">
        <v>-1.0</v>
      </c>
    </row>
    <row r="68">
      <c r="A68" s="1">
        <v>691.0</v>
      </c>
      <c r="B68" s="1">
        <v>2.0</v>
      </c>
      <c r="C68" s="1">
        <v>0.976252591615534</v>
      </c>
      <c r="D68" s="1" t="s">
        <v>367</v>
      </c>
      <c r="E68" s="1" t="s">
        <v>50</v>
      </c>
      <c r="F68" s="1" t="s">
        <v>1274</v>
      </c>
      <c r="G68" s="1" t="s">
        <v>26</v>
      </c>
      <c r="H68" s="1">
        <v>2022.0</v>
      </c>
      <c r="I68" s="1" t="s">
        <v>240</v>
      </c>
      <c r="J68" s="1" t="s">
        <v>1272</v>
      </c>
      <c r="K68" s="1">
        <v>5.0</v>
      </c>
      <c r="L68" s="1" t="s">
        <v>1273</v>
      </c>
      <c r="M68" s="1">
        <v>0.0</v>
      </c>
    </row>
    <row r="69">
      <c r="A69" s="1">
        <v>343.0</v>
      </c>
      <c r="B69" s="1">
        <v>2.0</v>
      </c>
      <c r="C69" s="1">
        <v>0.976240620064951</v>
      </c>
      <c r="D69" s="1" t="s">
        <v>329</v>
      </c>
      <c r="E69" s="1" t="s">
        <v>45</v>
      </c>
      <c r="F69" s="1" t="s">
        <v>65</v>
      </c>
      <c r="G69" s="1" t="s">
        <v>1274</v>
      </c>
      <c r="H69" s="1">
        <v>2019.0</v>
      </c>
      <c r="I69" s="1" t="s">
        <v>240</v>
      </c>
      <c r="J69" s="1" t="s">
        <v>1272</v>
      </c>
      <c r="K69" s="1">
        <v>5.0</v>
      </c>
      <c r="L69" s="1" t="s">
        <v>1273</v>
      </c>
      <c r="M69" s="1">
        <v>5.0</v>
      </c>
    </row>
    <row r="70">
      <c r="A70" s="1">
        <v>649.0</v>
      </c>
      <c r="B70" s="1">
        <v>7.0</v>
      </c>
      <c r="C70" s="1">
        <v>0.976173605247854</v>
      </c>
      <c r="D70" s="1" t="s">
        <v>594</v>
      </c>
      <c r="E70" s="1" t="s">
        <v>41</v>
      </c>
      <c r="F70" s="1" t="s">
        <v>142</v>
      </c>
      <c r="G70" s="1" t="s">
        <v>1274</v>
      </c>
      <c r="H70" s="1">
        <v>2024.0</v>
      </c>
      <c r="I70" s="1" t="s">
        <v>240</v>
      </c>
      <c r="J70" s="1" t="s">
        <v>1272</v>
      </c>
      <c r="K70" s="1">
        <v>7.0</v>
      </c>
      <c r="L70" s="1" t="s">
        <v>1273</v>
      </c>
      <c r="M70" s="1">
        <v>3.0</v>
      </c>
    </row>
    <row r="71">
      <c r="A71" s="1">
        <v>622.0</v>
      </c>
      <c r="B71" s="1">
        <v>4.0</v>
      </c>
      <c r="C71" s="1">
        <v>0.97616368698815</v>
      </c>
      <c r="D71" s="1" t="s">
        <v>574</v>
      </c>
      <c r="E71" s="1" t="s">
        <v>45</v>
      </c>
      <c r="F71" s="1" t="s">
        <v>18</v>
      </c>
      <c r="G71" s="1" t="s">
        <v>1274</v>
      </c>
      <c r="H71" s="1">
        <v>2022.0</v>
      </c>
      <c r="I71" s="1" t="s">
        <v>240</v>
      </c>
      <c r="J71" s="1" t="s">
        <v>1272</v>
      </c>
      <c r="K71" s="1">
        <v>7.0</v>
      </c>
      <c r="L71" s="1" t="s">
        <v>1273</v>
      </c>
      <c r="M71" s="1">
        <v>-1.0</v>
      </c>
    </row>
    <row r="72">
      <c r="A72" s="1">
        <v>539.0</v>
      </c>
      <c r="B72" s="1">
        <v>4.0</v>
      </c>
      <c r="C72" s="1">
        <v>0.976161377293254</v>
      </c>
      <c r="D72" s="1" t="s">
        <v>500</v>
      </c>
      <c r="E72" s="1" t="s">
        <v>17</v>
      </c>
      <c r="F72" s="1" t="s">
        <v>18</v>
      </c>
      <c r="G72" s="1">
        <v>12.0</v>
      </c>
      <c r="H72" s="1">
        <v>2024.0</v>
      </c>
      <c r="I72" s="1" t="s">
        <v>240</v>
      </c>
      <c r="J72" s="1" t="s">
        <v>1272</v>
      </c>
      <c r="K72" s="1">
        <v>7.0</v>
      </c>
      <c r="L72" s="1" t="s">
        <v>1273</v>
      </c>
      <c r="M72" s="1">
        <v>2.0</v>
      </c>
    </row>
    <row r="73">
      <c r="A73" s="1">
        <v>531.0</v>
      </c>
      <c r="B73" s="1">
        <v>4.0</v>
      </c>
      <c r="C73" s="1">
        <v>0.976154661174206</v>
      </c>
      <c r="D73" s="1" t="s">
        <v>492</v>
      </c>
      <c r="E73" s="1" t="s">
        <v>17</v>
      </c>
      <c r="F73" s="1" t="s">
        <v>18</v>
      </c>
      <c r="G73" s="1">
        <v>12.0</v>
      </c>
      <c r="H73" s="1">
        <v>2024.0</v>
      </c>
      <c r="I73" s="1" t="s">
        <v>240</v>
      </c>
      <c r="J73" s="1" t="s">
        <v>1272</v>
      </c>
      <c r="K73" s="1">
        <v>7.0</v>
      </c>
      <c r="L73" s="1" t="s">
        <v>1273</v>
      </c>
      <c r="M73" s="1">
        <v>2.0</v>
      </c>
    </row>
    <row r="74">
      <c r="A74" s="1">
        <v>351.0</v>
      </c>
      <c r="B74" s="1">
        <v>2.0</v>
      </c>
      <c r="C74" s="1">
        <v>0.97600229050423</v>
      </c>
      <c r="D74" s="1" t="s">
        <v>336</v>
      </c>
      <c r="E74" s="1" t="s">
        <v>41</v>
      </c>
      <c r="F74" s="1" t="s">
        <v>18</v>
      </c>
      <c r="G74" s="1" t="s">
        <v>11</v>
      </c>
      <c r="H74" s="1">
        <v>2024.0</v>
      </c>
      <c r="I74" s="1" t="s">
        <v>240</v>
      </c>
      <c r="J74" s="1" t="s">
        <v>1272</v>
      </c>
      <c r="K74" s="1">
        <v>5.0</v>
      </c>
      <c r="L74" s="1" t="s">
        <v>1273</v>
      </c>
      <c r="M74" s="1">
        <v>0.0</v>
      </c>
    </row>
    <row r="75">
      <c r="A75" s="1">
        <v>296.0</v>
      </c>
      <c r="B75" s="1">
        <v>5.0</v>
      </c>
      <c r="C75" s="1">
        <v>0.975682367609427</v>
      </c>
      <c r="D75" s="1" t="s">
        <v>217</v>
      </c>
      <c r="E75" s="1" t="s">
        <v>47</v>
      </c>
      <c r="F75" s="1" t="s">
        <v>1274</v>
      </c>
      <c r="G75" s="1" t="s">
        <v>284</v>
      </c>
      <c r="H75" s="1">
        <v>2022.0</v>
      </c>
      <c r="I75" s="1" t="s">
        <v>240</v>
      </c>
      <c r="J75" s="1" t="s">
        <v>1272</v>
      </c>
      <c r="K75" s="1">
        <v>5.0</v>
      </c>
      <c r="L75" s="1" t="s">
        <v>1273</v>
      </c>
      <c r="M75" s="1">
        <v>14.0</v>
      </c>
    </row>
    <row r="76">
      <c r="A76" s="1">
        <v>653.0</v>
      </c>
      <c r="B76" s="1">
        <v>2.0</v>
      </c>
      <c r="C76" s="1">
        <v>0.975548447417628</v>
      </c>
      <c r="D76" s="1" t="s">
        <v>442</v>
      </c>
      <c r="E76" s="1" t="s">
        <v>41</v>
      </c>
      <c r="F76" s="1" t="s">
        <v>142</v>
      </c>
      <c r="G76" s="1" t="s">
        <v>1274</v>
      </c>
      <c r="H76" s="1">
        <v>2024.0</v>
      </c>
      <c r="I76" s="1" t="s">
        <v>240</v>
      </c>
      <c r="J76" s="1" t="s">
        <v>1272</v>
      </c>
      <c r="K76" s="1">
        <v>5.0</v>
      </c>
      <c r="L76" s="1" t="s">
        <v>1273</v>
      </c>
      <c r="M76" s="1">
        <v>-1.0</v>
      </c>
    </row>
    <row r="77">
      <c r="A77" s="1">
        <v>449.0</v>
      </c>
      <c r="B77" s="1">
        <v>2.0</v>
      </c>
      <c r="C77" s="1">
        <v>0.975540595136828</v>
      </c>
      <c r="D77" s="1" t="s">
        <v>419</v>
      </c>
      <c r="E77" s="1" t="s">
        <v>50</v>
      </c>
      <c r="F77" s="1" t="s">
        <v>18</v>
      </c>
      <c r="G77" s="1" t="s">
        <v>284</v>
      </c>
      <c r="H77" s="1">
        <v>2022.0</v>
      </c>
      <c r="I77" s="1" t="s">
        <v>240</v>
      </c>
      <c r="J77" s="1" t="s">
        <v>1272</v>
      </c>
      <c r="K77" s="1">
        <v>5.0</v>
      </c>
      <c r="L77" s="1" t="s">
        <v>1273</v>
      </c>
      <c r="M77" s="1">
        <v>-1.0</v>
      </c>
    </row>
    <row r="78">
      <c r="A78" s="1">
        <v>460.0</v>
      </c>
      <c r="B78" s="1">
        <v>4.0</v>
      </c>
      <c r="C78" s="1">
        <v>0.975495352361807</v>
      </c>
      <c r="D78" s="1" t="s">
        <v>430</v>
      </c>
      <c r="E78" s="1" t="s">
        <v>187</v>
      </c>
      <c r="F78" s="1" t="s">
        <v>1274</v>
      </c>
      <c r="G78" s="1" t="s">
        <v>11</v>
      </c>
      <c r="H78" s="1">
        <v>2019.0</v>
      </c>
      <c r="I78" s="1" t="s">
        <v>240</v>
      </c>
      <c r="J78" s="1" t="s">
        <v>1272</v>
      </c>
      <c r="K78" s="1">
        <v>7.0</v>
      </c>
      <c r="L78" s="1" t="s">
        <v>1273</v>
      </c>
      <c r="M78" s="1">
        <v>15.0</v>
      </c>
    </row>
    <row r="79">
      <c r="A79" s="1">
        <v>495.0</v>
      </c>
      <c r="B79" s="1">
        <v>4.0</v>
      </c>
      <c r="C79" s="1">
        <v>0.975480185078258</v>
      </c>
      <c r="D79" s="1" t="s">
        <v>456</v>
      </c>
      <c r="E79" s="1" t="s">
        <v>102</v>
      </c>
      <c r="F79" s="1" t="s">
        <v>1274</v>
      </c>
      <c r="G79" s="1" t="s">
        <v>42</v>
      </c>
      <c r="H79" s="1">
        <v>2022.0</v>
      </c>
      <c r="I79" s="1" t="s">
        <v>240</v>
      </c>
      <c r="J79" s="1" t="s">
        <v>1272</v>
      </c>
      <c r="K79" s="1">
        <v>7.0</v>
      </c>
      <c r="L79" s="1" t="s">
        <v>1273</v>
      </c>
      <c r="M79" s="1">
        <v>2.0</v>
      </c>
    </row>
    <row r="80">
      <c r="A80" s="1">
        <v>513.0</v>
      </c>
      <c r="B80" s="1">
        <v>4.0</v>
      </c>
      <c r="C80" s="1">
        <v>0.975474941057991</v>
      </c>
      <c r="D80" s="1" t="s">
        <v>474</v>
      </c>
      <c r="E80" s="1" t="s">
        <v>111</v>
      </c>
      <c r="F80" s="1" t="s">
        <v>1274</v>
      </c>
      <c r="G80" s="1" t="s">
        <v>42</v>
      </c>
      <c r="H80" s="1">
        <v>2022.0</v>
      </c>
      <c r="I80" s="1" t="s">
        <v>240</v>
      </c>
      <c r="J80" s="1" t="s">
        <v>1272</v>
      </c>
      <c r="K80" s="1">
        <v>7.0</v>
      </c>
      <c r="L80" s="1" t="s">
        <v>1273</v>
      </c>
      <c r="M80" s="1">
        <v>4.0</v>
      </c>
    </row>
    <row r="81">
      <c r="A81" s="1">
        <v>527.0</v>
      </c>
      <c r="B81" s="1">
        <v>4.0</v>
      </c>
      <c r="C81" s="1">
        <v>0.975472501917672</v>
      </c>
      <c r="D81" s="1" t="s">
        <v>488</v>
      </c>
      <c r="E81" s="1" t="s">
        <v>17</v>
      </c>
      <c r="F81" s="1" t="s">
        <v>18</v>
      </c>
      <c r="G81" s="1">
        <v>12.0</v>
      </c>
      <c r="H81" s="1">
        <v>2024.0</v>
      </c>
      <c r="I81" s="1" t="s">
        <v>240</v>
      </c>
      <c r="J81" s="1" t="s">
        <v>1272</v>
      </c>
      <c r="K81" s="1">
        <v>7.0</v>
      </c>
      <c r="L81" s="1" t="s">
        <v>1273</v>
      </c>
      <c r="M81" s="1">
        <v>2.0</v>
      </c>
    </row>
    <row r="82">
      <c r="A82" s="1">
        <v>511.0</v>
      </c>
      <c r="B82" s="1">
        <v>4.0</v>
      </c>
      <c r="C82" s="1">
        <v>0.975472295264137</v>
      </c>
      <c r="D82" s="1" t="s">
        <v>472</v>
      </c>
      <c r="E82" s="1" t="s">
        <v>111</v>
      </c>
      <c r="F82" s="1" t="s">
        <v>1274</v>
      </c>
      <c r="G82" s="1" t="s">
        <v>42</v>
      </c>
      <c r="H82" s="1">
        <v>2022.0</v>
      </c>
      <c r="I82" s="1" t="s">
        <v>240</v>
      </c>
      <c r="J82" s="1" t="s">
        <v>1272</v>
      </c>
      <c r="K82" s="1">
        <v>7.0</v>
      </c>
      <c r="L82" s="1" t="s">
        <v>1273</v>
      </c>
      <c r="M82" s="1">
        <v>4.0</v>
      </c>
    </row>
    <row r="83">
      <c r="A83" s="1">
        <v>606.0</v>
      </c>
      <c r="B83" s="1">
        <v>2.0</v>
      </c>
      <c r="C83" s="1">
        <v>0.975418039766264</v>
      </c>
      <c r="D83" s="1" t="s">
        <v>558</v>
      </c>
      <c r="E83" s="1" t="s">
        <v>102</v>
      </c>
      <c r="F83" s="1" t="s">
        <v>1274</v>
      </c>
      <c r="G83" s="1" t="s">
        <v>11</v>
      </c>
      <c r="H83" s="1">
        <v>2010.0</v>
      </c>
      <c r="I83" s="1" t="s">
        <v>240</v>
      </c>
      <c r="J83" s="1" t="s">
        <v>1272</v>
      </c>
      <c r="K83" s="1">
        <v>5.0</v>
      </c>
      <c r="L83" s="1" t="s">
        <v>1273</v>
      </c>
      <c r="M83" s="1">
        <v>-1.0</v>
      </c>
    </row>
    <row r="84">
      <c r="A84" s="1">
        <v>1128.0</v>
      </c>
      <c r="B84" s="1">
        <v>5.0</v>
      </c>
      <c r="C84" s="1">
        <v>0.974963770662209</v>
      </c>
      <c r="D84" s="1" t="s">
        <v>1013</v>
      </c>
      <c r="E84" s="1" t="s">
        <v>58</v>
      </c>
      <c r="F84" s="1" t="s">
        <v>18</v>
      </c>
      <c r="G84" s="1" t="s">
        <v>11</v>
      </c>
      <c r="H84" s="1">
        <v>2024.0</v>
      </c>
      <c r="I84" s="1" t="s">
        <v>861</v>
      </c>
      <c r="J84" s="1" t="s">
        <v>1272</v>
      </c>
      <c r="K84" s="1">
        <v>5.0</v>
      </c>
      <c r="L84" s="1" t="s">
        <v>1273</v>
      </c>
      <c r="M84" s="1">
        <v>0.0</v>
      </c>
    </row>
    <row r="85">
      <c r="A85" s="1">
        <v>295.0</v>
      </c>
      <c r="B85" s="1">
        <v>5.0</v>
      </c>
      <c r="C85" s="1">
        <v>0.97487052156681</v>
      </c>
      <c r="D85" s="1" t="s">
        <v>84</v>
      </c>
      <c r="E85" s="1" t="s">
        <v>47</v>
      </c>
      <c r="F85" s="1" t="s">
        <v>1274</v>
      </c>
      <c r="G85" s="1" t="s">
        <v>284</v>
      </c>
      <c r="H85" s="1">
        <v>2022.0</v>
      </c>
      <c r="I85" s="1" t="s">
        <v>240</v>
      </c>
      <c r="J85" s="1" t="s">
        <v>1272</v>
      </c>
      <c r="K85" s="1">
        <v>5.0</v>
      </c>
      <c r="L85" s="1" t="s">
        <v>1273</v>
      </c>
      <c r="M85" s="1">
        <v>14.0</v>
      </c>
    </row>
    <row r="86">
      <c r="A86" s="1">
        <v>856.0</v>
      </c>
      <c r="B86" s="1">
        <v>3.0</v>
      </c>
      <c r="C86" s="1">
        <v>0.974849238567914</v>
      </c>
      <c r="D86" s="1" t="s">
        <v>792</v>
      </c>
      <c r="E86" s="1" t="s">
        <v>107</v>
      </c>
      <c r="F86" s="1" t="s">
        <v>18</v>
      </c>
      <c r="G86" s="1" t="s">
        <v>1274</v>
      </c>
      <c r="H86" s="1">
        <v>2024.0</v>
      </c>
      <c r="I86" s="1" t="s">
        <v>630</v>
      </c>
      <c r="J86" s="1" t="s">
        <v>1272</v>
      </c>
      <c r="K86" s="1">
        <v>5.0</v>
      </c>
      <c r="L86" s="1" t="s">
        <v>1273</v>
      </c>
      <c r="M86" s="1">
        <v>13.0</v>
      </c>
    </row>
    <row r="87">
      <c r="A87" s="1">
        <v>320.0</v>
      </c>
      <c r="B87" s="1">
        <v>2.0</v>
      </c>
      <c r="C87" s="1">
        <v>0.97481811882873</v>
      </c>
      <c r="D87" s="1" t="s">
        <v>308</v>
      </c>
      <c r="E87" s="1" t="s">
        <v>45</v>
      </c>
      <c r="F87" s="1" t="s">
        <v>65</v>
      </c>
      <c r="G87" s="1" t="s">
        <v>1274</v>
      </c>
      <c r="H87" s="1">
        <v>2019.0</v>
      </c>
      <c r="I87" s="1" t="s">
        <v>240</v>
      </c>
      <c r="J87" s="1" t="s">
        <v>1272</v>
      </c>
      <c r="K87" s="1">
        <v>5.0</v>
      </c>
      <c r="L87" s="1" t="s">
        <v>1273</v>
      </c>
      <c r="M87" s="1">
        <v>4.0</v>
      </c>
    </row>
    <row r="88">
      <c r="A88" s="1">
        <v>169.0</v>
      </c>
      <c r="B88" s="1">
        <v>3.0</v>
      </c>
      <c r="C88" s="1">
        <v>0.974790138255804</v>
      </c>
      <c r="D88" s="1" t="s">
        <v>184</v>
      </c>
      <c r="E88" s="1" t="s">
        <v>24</v>
      </c>
      <c r="F88" s="1" t="s">
        <v>18</v>
      </c>
      <c r="G88" s="1" t="s">
        <v>42</v>
      </c>
      <c r="H88" s="1">
        <v>2020.0</v>
      </c>
      <c r="I88" s="1" t="s">
        <v>12</v>
      </c>
      <c r="J88" s="1" t="s">
        <v>1272</v>
      </c>
      <c r="K88" s="1">
        <v>5.0</v>
      </c>
      <c r="L88" s="1" t="s">
        <v>1273</v>
      </c>
      <c r="M88" s="1">
        <v>0.0</v>
      </c>
    </row>
    <row r="89">
      <c r="A89" s="1">
        <v>183.0</v>
      </c>
      <c r="B89" s="1">
        <v>3.0</v>
      </c>
      <c r="C89" s="1">
        <v>0.974790138255804</v>
      </c>
      <c r="D89" s="1" t="s">
        <v>179</v>
      </c>
      <c r="E89" s="1" t="s">
        <v>24</v>
      </c>
      <c r="F89" s="1" t="s">
        <v>18</v>
      </c>
      <c r="G89" s="1" t="s">
        <v>42</v>
      </c>
      <c r="H89" s="1">
        <v>2024.0</v>
      </c>
      <c r="I89" s="1" t="s">
        <v>12</v>
      </c>
      <c r="J89" s="1" t="s">
        <v>1272</v>
      </c>
      <c r="K89" s="1">
        <v>5.0</v>
      </c>
      <c r="L89" s="1" t="s">
        <v>1273</v>
      </c>
      <c r="M89" s="1">
        <v>0.0</v>
      </c>
    </row>
    <row r="90">
      <c r="A90" s="1">
        <v>598.0</v>
      </c>
      <c r="B90" s="1">
        <v>4.0</v>
      </c>
      <c r="C90" s="1">
        <v>0.974774136199167</v>
      </c>
      <c r="D90" s="1" t="s">
        <v>550</v>
      </c>
      <c r="E90" s="1" t="s">
        <v>187</v>
      </c>
      <c r="F90" s="1" t="s">
        <v>1274</v>
      </c>
      <c r="G90" s="1" t="s">
        <v>1274</v>
      </c>
      <c r="H90" s="1" t="s">
        <v>1274</v>
      </c>
      <c r="I90" s="1" t="s">
        <v>240</v>
      </c>
      <c r="J90" s="1" t="s">
        <v>1272</v>
      </c>
      <c r="K90" s="1">
        <v>7.0</v>
      </c>
      <c r="L90" s="1" t="s">
        <v>1273</v>
      </c>
      <c r="M90" s="1">
        <v>15.0</v>
      </c>
    </row>
    <row r="91">
      <c r="A91" s="1">
        <v>453.0</v>
      </c>
      <c r="B91" s="1">
        <v>4.0</v>
      </c>
      <c r="C91" s="1">
        <v>0.974770264723199</v>
      </c>
      <c r="D91" s="1" t="s">
        <v>423</v>
      </c>
      <c r="E91" s="1" t="s">
        <v>187</v>
      </c>
      <c r="F91" s="1" t="s">
        <v>1274</v>
      </c>
      <c r="G91" s="1" t="s">
        <v>11</v>
      </c>
      <c r="H91" s="1">
        <v>2019.0</v>
      </c>
      <c r="I91" s="1" t="s">
        <v>240</v>
      </c>
      <c r="J91" s="1" t="s">
        <v>1272</v>
      </c>
      <c r="K91" s="1">
        <v>7.0</v>
      </c>
      <c r="L91" s="1" t="s">
        <v>1273</v>
      </c>
      <c r="M91" s="1">
        <v>15.0</v>
      </c>
    </row>
    <row r="92">
      <c r="A92" s="1">
        <v>587.0</v>
      </c>
      <c r="B92" s="1">
        <v>4.0</v>
      </c>
      <c r="C92" s="1">
        <v>0.974767105901365</v>
      </c>
      <c r="D92" s="1" t="s">
        <v>539</v>
      </c>
      <c r="E92" s="1" t="s">
        <v>187</v>
      </c>
      <c r="F92" s="1" t="s">
        <v>1274</v>
      </c>
      <c r="G92" s="1" t="s">
        <v>1274</v>
      </c>
      <c r="H92" s="1" t="s">
        <v>1274</v>
      </c>
      <c r="I92" s="1" t="s">
        <v>240</v>
      </c>
      <c r="J92" s="1" t="s">
        <v>1272</v>
      </c>
      <c r="K92" s="1">
        <v>7.0</v>
      </c>
      <c r="L92" s="1" t="s">
        <v>1273</v>
      </c>
      <c r="M92" s="1">
        <v>15.0</v>
      </c>
    </row>
    <row r="93">
      <c r="A93" s="1">
        <v>455.0</v>
      </c>
      <c r="B93" s="1">
        <v>4.0</v>
      </c>
      <c r="C93" s="1">
        <v>0.974763759849375</v>
      </c>
      <c r="D93" s="1" t="s">
        <v>425</v>
      </c>
      <c r="E93" s="1" t="s">
        <v>187</v>
      </c>
      <c r="F93" s="1" t="s">
        <v>1274</v>
      </c>
      <c r="G93" s="1" t="s">
        <v>11</v>
      </c>
      <c r="H93" s="1">
        <v>2019.0</v>
      </c>
      <c r="I93" s="1" t="s">
        <v>240</v>
      </c>
      <c r="J93" s="1" t="s">
        <v>1272</v>
      </c>
      <c r="K93" s="1">
        <v>7.0</v>
      </c>
      <c r="L93" s="1" t="s">
        <v>1273</v>
      </c>
      <c r="M93" s="1">
        <v>15.0</v>
      </c>
    </row>
    <row r="94">
      <c r="A94" s="1">
        <v>590.0</v>
      </c>
      <c r="B94" s="1">
        <v>4.0</v>
      </c>
      <c r="C94" s="1">
        <v>0.974761867380024</v>
      </c>
      <c r="D94" s="1" t="s">
        <v>542</v>
      </c>
      <c r="E94" s="1" t="s">
        <v>187</v>
      </c>
      <c r="F94" s="1" t="s">
        <v>1274</v>
      </c>
      <c r="G94" s="1" t="s">
        <v>1274</v>
      </c>
      <c r="H94" s="1" t="s">
        <v>1274</v>
      </c>
      <c r="I94" s="1" t="s">
        <v>240</v>
      </c>
      <c r="J94" s="1" t="s">
        <v>1272</v>
      </c>
      <c r="K94" s="1">
        <v>7.0</v>
      </c>
      <c r="L94" s="1" t="s">
        <v>1273</v>
      </c>
      <c r="M94" s="1">
        <v>15.0</v>
      </c>
    </row>
    <row r="95">
      <c r="A95" s="1">
        <v>500.0</v>
      </c>
      <c r="B95" s="1">
        <v>4.0</v>
      </c>
      <c r="C95" s="1">
        <v>0.974749520906099</v>
      </c>
      <c r="D95" s="1" t="s">
        <v>461</v>
      </c>
      <c r="E95" s="1" t="s">
        <v>111</v>
      </c>
      <c r="F95" s="1" t="s">
        <v>1274</v>
      </c>
      <c r="G95" s="1" t="s">
        <v>42</v>
      </c>
      <c r="H95" s="1">
        <v>2022.0</v>
      </c>
      <c r="I95" s="1" t="s">
        <v>240</v>
      </c>
      <c r="J95" s="1" t="s">
        <v>1272</v>
      </c>
      <c r="K95" s="1">
        <v>7.0</v>
      </c>
      <c r="L95" s="1" t="s">
        <v>1273</v>
      </c>
      <c r="M95" s="1">
        <v>2.0</v>
      </c>
    </row>
    <row r="96">
      <c r="A96" s="1">
        <v>2.0</v>
      </c>
      <c r="B96" s="1">
        <v>2.0</v>
      </c>
      <c r="C96" s="1">
        <v>0.974738832403191</v>
      </c>
      <c r="D96" s="1" t="s">
        <v>14</v>
      </c>
      <c r="E96" s="1" t="s">
        <v>10</v>
      </c>
      <c r="F96" s="1" t="s">
        <v>1274</v>
      </c>
      <c r="G96" s="1" t="s">
        <v>11</v>
      </c>
      <c r="H96" s="1">
        <v>2024.0</v>
      </c>
      <c r="I96" s="1" t="s">
        <v>12</v>
      </c>
      <c r="J96" s="1" t="s">
        <v>1272</v>
      </c>
      <c r="K96" s="1">
        <v>7.0</v>
      </c>
      <c r="L96" s="1" t="s">
        <v>1273</v>
      </c>
      <c r="M96" s="1">
        <v>-1.0</v>
      </c>
    </row>
    <row r="97">
      <c r="A97" s="1">
        <v>308.0</v>
      </c>
      <c r="B97" s="1">
        <v>4.0</v>
      </c>
      <c r="C97" s="1">
        <v>0.974707962949031</v>
      </c>
      <c r="D97" s="1" t="s">
        <v>296</v>
      </c>
      <c r="E97" s="1" t="s">
        <v>24</v>
      </c>
      <c r="F97" s="1" t="s">
        <v>18</v>
      </c>
      <c r="G97" s="1" t="s">
        <v>42</v>
      </c>
      <c r="H97" s="1">
        <v>2024.0</v>
      </c>
      <c r="I97" s="1" t="s">
        <v>240</v>
      </c>
      <c r="J97" s="1" t="s">
        <v>1272</v>
      </c>
      <c r="K97" s="1">
        <v>5.0</v>
      </c>
      <c r="L97" s="1" t="s">
        <v>1273</v>
      </c>
      <c r="M97" s="1">
        <v>-1.0</v>
      </c>
    </row>
    <row r="98">
      <c r="A98" s="1">
        <v>621.0</v>
      </c>
      <c r="B98" s="1">
        <v>2.0</v>
      </c>
      <c r="C98" s="1">
        <v>0.974630839592388</v>
      </c>
      <c r="D98" s="1" t="s">
        <v>573</v>
      </c>
      <c r="E98" s="1" t="s">
        <v>45</v>
      </c>
      <c r="F98" s="1" t="s">
        <v>18</v>
      </c>
      <c r="G98" s="1" t="s">
        <v>1274</v>
      </c>
      <c r="H98" s="1">
        <v>2022.0</v>
      </c>
      <c r="I98" s="1" t="s">
        <v>240</v>
      </c>
      <c r="J98" s="1" t="s">
        <v>1272</v>
      </c>
      <c r="K98" s="1">
        <v>5.0</v>
      </c>
      <c r="L98" s="1" t="s">
        <v>1273</v>
      </c>
      <c r="M98" s="1">
        <v>3.0</v>
      </c>
    </row>
    <row r="99">
      <c r="A99" s="1">
        <v>368.0</v>
      </c>
      <c r="B99" s="1">
        <v>2.0</v>
      </c>
      <c r="C99" s="1">
        <v>0.974585332954098</v>
      </c>
      <c r="D99" s="1" t="s">
        <v>352</v>
      </c>
      <c r="E99" s="1" t="s">
        <v>41</v>
      </c>
      <c r="F99" s="1" t="s">
        <v>18</v>
      </c>
      <c r="G99" s="1" t="s">
        <v>11</v>
      </c>
      <c r="H99" s="1">
        <v>2024.0</v>
      </c>
      <c r="I99" s="1" t="s">
        <v>240</v>
      </c>
      <c r="J99" s="1" t="s">
        <v>1272</v>
      </c>
      <c r="K99" s="1">
        <v>5.0</v>
      </c>
      <c r="L99" s="1" t="s">
        <v>1273</v>
      </c>
      <c r="M99" s="1">
        <v>0.0</v>
      </c>
    </row>
    <row r="100">
      <c r="A100" s="1">
        <v>655.0</v>
      </c>
      <c r="B100" s="1">
        <v>2.0</v>
      </c>
      <c r="C100" s="1">
        <v>0.974580426428815</v>
      </c>
      <c r="D100" s="1" t="s">
        <v>443</v>
      </c>
      <c r="E100" s="1" t="s">
        <v>41</v>
      </c>
      <c r="F100" s="1" t="s">
        <v>142</v>
      </c>
      <c r="G100" s="1" t="s">
        <v>1274</v>
      </c>
      <c r="H100" s="1">
        <v>2024.0</v>
      </c>
      <c r="I100" s="1" t="s">
        <v>240</v>
      </c>
      <c r="J100" s="1" t="s">
        <v>1272</v>
      </c>
      <c r="K100" s="1">
        <v>5.0</v>
      </c>
      <c r="L100" s="1" t="s">
        <v>1273</v>
      </c>
      <c r="M100" s="1">
        <v>0.0</v>
      </c>
    </row>
    <row r="101">
      <c r="A101" s="1">
        <v>422.0</v>
      </c>
      <c r="B101" s="1">
        <v>4.0</v>
      </c>
      <c r="C101" s="1">
        <v>0.974564235308807</v>
      </c>
      <c r="D101" s="1" t="s">
        <v>398</v>
      </c>
      <c r="E101" s="1" t="s">
        <v>24</v>
      </c>
      <c r="F101" s="1" t="s">
        <v>18</v>
      </c>
      <c r="G101" s="1" t="s">
        <v>42</v>
      </c>
      <c r="H101" s="1">
        <v>2024.0</v>
      </c>
      <c r="I101" s="1" t="s">
        <v>240</v>
      </c>
      <c r="J101" s="1" t="s">
        <v>1272</v>
      </c>
      <c r="K101" s="1">
        <v>5.0</v>
      </c>
      <c r="L101" s="1" t="s">
        <v>1273</v>
      </c>
      <c r="M101" s="1">
        <v>-1.0</v>
      </c>
    </row>
    <row r="102">
      <c r="A102" s="1">
        <v>472.0</v>
      </c>
      <c r="B102" s="1">
        <v>2.0</v>
      </c>
      <c r="C102" s="1">
        <v>0.974553099186222</v>
      </c>
      <c r="D102" s="1" t="s">
        <v>438</v>
      </c>
      <c r="E102" s="1" t="s">
        <v>41</v>
      </c>
      <c r="F102" s="1" t="s">
        <v>118</v>
      </c>
      <c r="G102" s="1" t="s">
        <v>1274</v>
      </c>
      <c r="H102" s="1">
        <v>2024.0</v>
      </c>
      <c r="I102" s="1" t="s">
        <v>240</v>
      </c>
      <c r="J102" s="1" t="s">
        <v>1272</v>
      </c>
      <c r="K102" s="1">
        <v>5.0</v>
      </c>
      <c r="L102" s="1" t="s">
        <v>1273</v>
      </c>
      <c r="M102" s="1">
        <v>5.0</v>
      </c>
    </row>
    <row r="103">
      <c r="A103" s="1">
        <v>358.0</v>
      </c>
      <c r="B103" s="1">
        <v>2.0</v>
      </c>
      <c r="C103" s="1">
        <v>0.974553099186222</v>
      </c>
      <c r="D103" s="1" t="s">
        <v>342</v>
      </c>
      <c r="E103" s="1" t="s">
        <v>41</v>
      </c>
      <c r="F103" s="1" t="s">
        <v>18</v>
      </c>
      <c r="G103" s="1" t="s">
        <v>11</v>
      </c>
      <c r="H103" s="1">
        <v>2024.0</v>
      </c>
      <c r="I103" s="1" t="s">
        <v>240</v>
      </c>
      <c r="J103" s="1" t="s">
        <v>1272</v>
      </c>
      <c r="K103" s="1">
        <v>5.0</v>
      </c>
      <c r="L103" s="1" t="s">
        <v>1273</v>
      </c>
      <c r="M103" s="1">
        <v>5.0</v>
      </c>
    </row>
    <row r="104">
      <c r="A104" s="1">
        <v>1154.0</v>
      </c>
      <c r="B104" s="1">
        <v>5.0</v>
      </c>
      <c r="C104" s="1">
        <v>0.97415351179422</v>
      </c>
      <c r="D104" s="1" t="s">
        <v>1034</v>
      </c>
      <c r="E104" s="1" t="s">
        <v>58</v>
      </c>
      <c r="F104" s="1" t="s">
        <v>59</v>
      </c>
      <c r="G104" s="2">
        <v>46153.0</v>
      </c>
      <c r="H104" s="1">
        <v>2024.0</v>
      </c>
      <c r="I104" s="1" t="s">
        <v>861</v>
      </c>
      <c r="J104" s="1" t="s">
        <v>1272</v>
      </c>
      <c r="K104" s="1">
        <v>5.0</v>
      </c>
      <c r="L104" s="1" t="s">
        <v>1273</v>
      </c>
      <c r="M104" s="1">
        <v>0.0</v>
      </c>
    </row>
    <row r="105">
      <c r="A105" s="1">
        <v>974.0</v>
      </c>
      <c r="B105" s="1">
        <v>4.0</v>
      </c>
      <c r="C105" s="1">
        <v>0.974120410768759</v>
      </c>
      <c r="D105" s="1" t="s">
        <v>205</v>
      </c>
      <c r="E105" s="1" t="s">
        <v>50</v>
      </c>
      <c r="F105" s="1" t="s">
        <v>1274</v>
      </c>
      <c r="G105" s="1" t="s">
        <v>11</v>
      </c>
      <c r="H105" s="1">
        <v>2023.0</v>
      </c>
      <c r="I105" s="1" t="s">
        <v>861</v>
      </c>
      <c r="J105" s="1" t="s">
        <v>1272</v>
      </c>
      <c r="K105" s="1">
        <v>5.0</v>
      </c>
      <c r="L105" s="1" t="s">
        <v>1273</v>
      </c>
      <c r="M105" s="1">
        <v>10.0</v>
      </c>
    </row>
    <row r="106">
      <c r="A106" s="1">
        <v>561.0</v>
      </c>
      <c r="B106" s="1">
        <v>2.0</v>
      </c>
      <c r="C106" s="1">
        <v>0.974117456743944</v>
      </c>
      <c r="D106" s="1" t="s">
        <v>513</v>
      </c>
      <c r="E106" s="1" t="s">
        <v>107</v>
      </c>
      <c r="F106" s="1" t="s">
        <v>18</v>
      </c>
      <c r="G106" s="1" t="s">
        <v>1274</v>
      </c>
      <c r="H106" s="1">
        <v>2022.0</v>
      </c>
      <c r="I106" s="1" t="s">
        <v>240</v>
      </c>
      <c r="J106" s="1" t="s">
        <v>1272</v>
      </c>
      <c r="K106" s="1">
        <v>5.0</v>
      </c>
      <c r="L106" s="1" t="s">
        <v>1273</v>
      </c>
      <c r="M106" s="1">
        <v>-1.0</v>
      </c>
    </row>
    <row r="107">
      <c r="A107" s="1">
        <v>1104.0</v>
      </c>
      <c r="B107" s="1">
        <v>5.0</v>
      </c>
      <c r="C107" s="1">
        <v>0.97411712493775</v>
      </c>
      <c r="D107" s="1" t="s">
        <v>83</v>
      </c>
      <c r="E107" s="1" t="s">
        <v>47</v>
      </c>
      <c r="F107" s="1" t="s">
        <v>1274</v>
      </c>
      <c r="G107" s="1" t="s">
        <v>11</v>
      </c>
      <c r="H107" s="1">
        <v>2016.0</v>
      </c>
      <c r="I107" s="1" t="s">
        <v>861</v>
      </c>
      <c r="J107" s="1" t="s">
        <v>1272</v>
      </c>
      <c r="K107" s="1">
        <v>5.0</v>
      </c>
      <c r="L107" s="1" t="s">
        <v>1273</v>
      </c>
      <c r="M107" s="1">
        <v>14.0</v>
      </c>
    </row>
    <row r="108">
      <c r="A108" s="1">
        <v>1103.0</v>
      </c>
      <c r="B108" s="1">
        <v>5.0</v>
      </c>
      <c r="C108" s="1">
        <v>0.974109137815355</v>
      </c>
      <c r="D108" s="1" t="s">
        <v>82</v>
      </c>
      <c r="E108" s="1" t="s">
        <v>47</v>
      </c>
      <c r="F108" s="1" t="s">
        <v>1274</v>
      </c>
      <c r="G108" s="1" t="s">
        <v>11</v>
      </c>
      <c r="H108" s="1">
        <v>2016.0</v>
      </c>
      <c r="I108" s="1" t="s">
        <v>861</v>
      </c>
      <c r="J108" s="1" t="s">
        <v>1272</v>
      </c>
      <c r="K108" s="1">
        <v>5.0</v>
      </c>
      <c r="L108" s="1" t="s">
        <v>1273</v>
      </c>
      <c r="M108" s="1">
        <v>14.0</v>
      </c>
    </row>
    <row r="109">
      <c r="A109" s="1">
        <v>292.0</v>
      </c>
      <c r="B109" s="1">
        <v>5.0</v>
      </c>
      <c r="C109" s="1">
        <v>0.974105559586579</v>
      </c>
      <c r="D109" s="1" t="s">
        <v>81</v>
      </c>
      <c r="E109" s="1" t="s">
        <v>47</v>
      </c>
      <c r="F109" s="1" t="s">
        <v>1274</v>
      </c>
      <c r="G109" s="1" t="s">
        <v>284</v>
      </c>
      <c r="H109" s="1">
        <v>2022.0</v>
      </c>
      <c r="I109" s="1" t="s">
        <v>240</v>
      </c>
      <c r="J109" s="1" t="s">
        <v>1272</v>
      </c>
      <c r="K109" s="1">
        <v>5.0</v>
      </c>
      <c r="L109" s="1" t="s">
        <v>1273</v>
      </c>
      <c r="M109" s="1">
        <v>14.0</v>
      </c>
    </row>
    <row r="110">
      <c r="A110" s="1">
        <v>454.0</v>
      </c>
      <c r="B110" s="1">
        <v>4.0</v>
      </c>
      <c r="C110" s="1">
        <v>0.974001565467219</v>
      </c>
      <c r="D110" s="1" t="s">
        <v>424</v>
      </c>
      <c r="E110" s="1" t="s">
        <v>187</v>
      </c>
      <c r="F110" s="1" t="s">
        <v>1274</v>
      </c>
      <c r="G110" s="1" t="s">
        <v>11</v>
      </c>
      <c r="H110" s="1">
        <v>2019.0</v>
      </c>
      <c r="I110" s="1" t="s">
        <v>240</v>
      </c>
      <c r="J110" s="1" t="s">
        <v>1272</v>
      </c>
      <c r="K110" s="1">
        <v>7.0</v>
      </c>
      <c r="L110" s="1" t="s">
        <v>1273</v>
      </c>
      <c r="M110" s="1">
        <v>15.0</v>
      </c>
    </row>
    <row r="111">
      <c r="A111" s="1">
        <v>588.0</v>
      </c>
      <c r="B111" s="1">
        <v>4.0</v>
      </c>
      <c r="C111" s="1">
        <v>0.973997914352044</v>
      </c>
      <c r="D111" s="1" t="s">
        <v>540</v>
      </c>
      <c r="E111" s="1" t="s">
        <v>187</v>
      </c>
      <c r="F111" s="1" t="s">
        <v>1274</v>
      </c>
      <c r="G111" s="1" t="s">
        <v>1274</v>
      </c>
      <c r="H111" s="1" t="s">
        <v>1274</v>
      </c>
      <c r="I111" s="1" t="s">
        <v>240</v>
      </c>
      <c r="J111" s="1" t="s">
        <v>1272</v>
      </c>
      <c r="K111" s="1">
        <v>7.0</v>
      </c>
      <c r="L111" s="1" t="s">
        <v>1273</v>
      </c>
      <c r="M111" s="1">
        <v>15.0</v>
      </c>
    </row>
    <row r="112">
      <c r="A112" s="1">
        <v>589.0</v>
      </c>
      <c r="B112" s="1">
        <v>4.0</v>
      </c>
      <c r="C112" s="1">
        <v>0.973997233305504</v>
      </c>
      <c r="D112" s="1" t="s">
        <v>541</v>
      </c>
      <c r="E112" s="1" t="s">
        <v>187</v>
      </c>
      <c r="F112" s="1" t="s">
        <v>1274</v>
      </c>
      <c r="G112" s="1" t="s">
        <v>1274</v>
      </c>
      <c r="H112" s="1" t="s">
        <v>1274</v>
      </c>
      <c r="I112" s="1" t="s">
        <v>240</v>
      </c>
      <c r="J112" s="1" t="s">
        <v>1272</v>
      </c>
      <c r="K112" s="1">
        <v>7.0</v>
      </c>
      <c r="L112" s="1" t="s">
        <v>1273</v>
      </c>
      <c r="M112" s="1">
        <v>15.0</v>
      </c>
    </row>
    <row r="113">
      <c r="A113" s="1">
        <v>209.0</v>
      </c>
      <c r="B113" s="1">
        <v>2.0</v>
      </c>
      <c r="C113" s="1">
        <v>0.973995460595848</v>
      </c>
      <c r="D113" s="1" t="s">
        <v>60</v>
      </c>
      <c r="E113" s="1" t="s">
        <v>58</v>
      </c>
      <c r="F113" s="1" t="s">
        <v>18</v>
      </c>
      <c r="G113" s="1" t="s">
        <v>11</v>
      </c>
      <c r="H113" s="1">
        <v>2024.0</v>
      </c>
      <c r="I113" s="1" t="s">
        <v>198</v>
      </c>
      <c r="J113" s="1" t="s">
        <v>1272</v>
      </c>
      <c r="K113" s="1">
        <v>5.0</v>
      </c>
      <c r="L113" s="1" t="s">
        <v>1273</v>
      </c>
      <c r="M113" s="1">
        <v>0.0</v>
      </c>
    </row>
    <row r="114">
      <c r="A114" s="1">
        <v>253.0</v>
      </c>
      <c r="B114" s="1">
        <v>2.0</v>
      </c>
      <c r="C114" s="1">
        <v>0.973995460595848</v>
      </c>
      <c r="D114" s="1" t="s">
        <v>246</v>
      </c>
      <c r="E114" s="1" t="s">
        <v>58</v>
      </c>
      <c r="F114" s="1" t="s">
        <v>1274</v>
      </c>
      <c r="G114" s="1" t="s">
        <v>26</v>
      </c>
      <c r="H114" s="1">
        <v>2023.0</v>
      </c>
      <c r="I114" s="1" t="s">
        <v>240</v>
      </c>
      <c r="J114" s="1" t="s">
        <v>1272</v>
      </c>
      <c r="K114" s="1">
        <v>5.0</v>
      </c>
      <c r="L114" s="1" t="s">
        <v>1273</v>
      </c>
      <c r="M114" s="1">
        <v>0.0</v>
      </c>
    </row>
    <row r="115">
      <c r="A115" s="1">
        <v>900.0</v>
      </c>
      <c r="B115" s="1">
        <v>3.0</v>
      </c>
      <c r="C115" s="1">
        <v>0.97398031687932</v>
      </c>
      <c r="D115" s="1" t="s">
        <v>834</v>
      </c>
      <c r="E115" s="1" t="s">
        <v>17</v>
      </c>
      <c r="F115" s="1" t="s">
        <v>18</v>
      </c>
      <c r="G115" s="1" t="s">
        <v>831</v>
      </c>
      <c r="H115" s="1" t="s">
        <v>1274</v>
      </c>
      <c r="I115" s="1" t="s">
        <v>630</v>
      </c>
      <c r="J115" s="1" t="s">
        <v>1272</v>
      </c>
      <c r="K115" s="1">
        <v>5.0</v>
      </c>
      <c r="L115" s="1" t="s">
        <v>1273</v>
      </c>
      <c r="M115" s="1">
        <v>1.0</v>
      </c>
    </row>
    <row r="116">
      <c r="A116" s="1">
        <v>551.0</v>
      </c>
      <c r="B116" s="1">
        <v>1.0</v>
      </c>
      <c r="C116" s="1">
        <v>0.973977606504021</v>
      </c>
      <c r="D116" s="1" t="s">
        <v>409</v>
      </c>
      <c r="E116" s="1" t="s">
        <v>47</v>
      </c>
      <c r="F116" s="1" t="s">
        <v>18</v>
      </c>
      <c r="G116" s="1" t="s">
        <v>1274</v>
      </c>
      <c r="H116" s="1">
        <v>2022.0</v>
      </c>
      <c r="I116" s="1" t="s">
        <v>240</v>
      </c>
      <c r="J116" s="1" t="s">
        <v>1272</v>
      </c>
      <c r="K116" s="1">
        <v>5.0</v>
      </c>
      <c r="L116" s="1" t="s">
        <v>1273</v>
      </c>
      <c r="M116" s="1">
        <v>2.0</v>
      </c>
    </row>
    <row r="117">
      <c r="A117" s="1">
        <v>366.0</v>
      </c>
      <c r="B117" s="1">
        <v>2.0</v>
      </c>
      <c r="C117" s="1">
        <v>0.973962299853796</v>
      </c>
      <c r="D117" s="1" t="s">
        <v>350</v>
      </c>
      <c r="E117" s="1" t="s">
        <v>41</v>
      </c>
      <c r="F117" s="1" t="s">
        <v>18</v>
      </c>
      <c r="G117" s="1" t="s">
        <v>11</v>
      </c>
      <c r="H117" s="1">
        <v>2024.0</v>
      </c>
      <c r="I117" s="1" t="s">
        <v>240</v>
      </c>
      <c r="J117" s="1" t="s">
        <v>1272</v>
      </c>
      <c r="K117" s="1">
        <v>5.0</v>
      </c>
      <c r="L117" s="1" t="s">
        <v>1273</v>
      </c>
      <c r="M117" s="1">
        <v>-1.0</v>
      </c>
    </row>
    <row r="118">
      <c r="A118" s="1">
        <v>248.0</v>
      </c>
      <c r="B118" s="1">
        <v>4.0</v>
      </c>
      <c r="C118" s="1">
        <v>0.97395154288449</v>
      </c>
      <c r="D118" s="1" t="s">
        <v>241</v>
      </c>
      <c r="E118" s="1" t="s">
        <v>24</v>
      </c>
      <c r="F118" s="1" t="s">
        <v>25</v>
      </c>
      <c r="G118" s="1" t="s">
        <v>26</v>
      </c>
      <c r="H118" s="1">
        <v>2014.0</v>
      </c>
      <c r="I118" s="1" t="s">
        <v>240</v>
      </c>
      <c r="J118" s="1" t="s">
        <v>1272</v>
      </c>
      <c r="K118" s="1">
        <v>7.0</v>
      </c>
      <c r="L118" s="1" t="s">
        <v>1273</v>
      </c>
      <c r="M118" s="1">
        <v>-1.0</v>
      </c>
    </row>
    <row r="119">
      <c r="A119" s="1">
        <v>307.0</v>
      </c>
      <c r="B119" s="1">
        <v>4.0</v>
      </c>
      <c r="C119" s="1">
        <v>0.97384875836151</v>
      </c>
      <c r="D119" s="1" t="s">
        <v>295</v>
      </c>
      <c r="E119" s="1" t="s">
        <v>24</v>
      </c>
      <c r="F119" s="1" t="s">
        <v>18</v>
      </c>
      <c r="G119" s="1" t="s">
        <v>42</v>
      </c>
      <c r="H119" s="1">
        <v>2024.0</v>
      </c>
      <c r="I119" s="1" t="s">
        <v>240</v>
      </c>
      <c r="J119" s="1" t="s">
        <v>1272</v>
      </c>
      <c r="K119" s="1">
        <v>5.0</v>
      </c>
      <c r="L119" s="1" t="s">
        <v>1273</v>
      </c>
      <c r="M119" s="1">
        <v>-1.0</v>
      </c>
    </row>
    <row r="120">
      <c r="A120" s="1">
        <v>645.0</v>
      </c>
      <c r="B120" s="1">
        <v>2.0</v>
      </c>
      <c r="C120" s="1">
        <v>0.973750726724251</v>
      </c>
      <c r="D120" s="1" t="s">
        <v>590</v>
      </c>
      <c r="E120" s="1" t="s">
        <v>41</v>
      </c>
      <c r="F120" s="1" t="s">
        <v>142</v>
      </c>
      <c r="G120" s="1" t="s">
        <v>1274</v>
      </c>
      <c r="H120" s="1">
        <v>2024.0</v>
      </c>
      <c r="I120" s="1" t="s">
        <v>240</v>
      </c>
      <c r="J120" s="1" t="s">
        <v>1272</v>
      </c>
      <c r="K120" s="1">
        <v>5.0</v>
      </c>
      <c r="L120" s="1" t="s">
        <v>1273</v>
      </c>
      <c r="M120" s="1">
        <v>5.0</v>
      </c>
    </row>
    <row r="121">
      <c r="A121" s="1">
        <v>78.0</v>
      </c>
      <c r="B121" s="1">
        <v>5.0</v>
      </c>
      <c r="C121" s="1">
        <v>0.973643817298274</v>
      </c>
      <c r="D121" s="1" t="s">
        <v>101</v>
      </c>
      <c r="E121" s="1" t="s">
        <v>102</v>
      </c>
      <c r="F121" s="1" t="s">
        <v>65</v>
      </c>
      <c r="G121" s="1" t="s">
        <v>1274</v>
      </c>
      <c r="H121" s="1">
        <v>2017.0</v>
      </c>
      <c r="I121" s="1" t="s">
        <v>12</v>
      </c>
      <c r="J121" s="1" t="s">
        <v>1272</v>
      </c>
      <c r="K121" s="1">
        <v>5.0</v>
      </c>
      <c r="L121" s="1" t="s">
        <v>1273</v>
      </c>
      <c r="M121" s="1">
        <v>0.0</v>
      </c>
    </row>
    <row r="122">
      <c r="A122" s="1">
        <v>384.0</v>
      </c>
      <c r="B122" s="1">
        <v>2.0</v>
      </c>
      <c r="C122" s="1">
        <v>0.973523918377113</v>
      </c>
      <c r="D122" s="1" t="s">
        <v>272</v>
      </c>
      <c r="E122" s="1" t="s">
        <v>124</v>
      </c>
      <c r="F122" s="1" t="s">
        <v>18</v>
      </c>
      <c r="G122" s="1" t="s">
        <v>1274</v>
      </c>
      <c r="H122" s="1">
        <v>2024.0</v>
      </c>
      <c r="I122" s="1" t="s">
        <v>240</v>
      </c>
      <c r="J122" s="1" t="s">
        <v>1272</v>
      </c>
      <c r="K122" s="1">
        <v>10.0</v>
      </c>
      <c r="L122" s="1" t="s">
        <v>1273</v>
      </c>
      <c r="M122" s="1">
        <v>0.0</v>
      </c>
    </row>
    <row r="123">
      <c r="A123" s="1">
        <v>1153.0</v>
      </c>
      <c r="B123" s="1">
        <v>5.0</v>
      </c>
      <c r="C123" s="1">
        <v>0.973293007241541</v>
      </c>
      <c r="D123" s="1" t="s">
        <v>1033</v>
      </c>
      <c r="E123" s="1" t="s">
        <v>58</v>
      </c>
      <c r="F123" s="1" t="s">
        <v>59</v>
      </c>
      <c r="G123" s="2">
        <v>46153.0</v>
      </c>
      <c r="H123" s="1">
        <v>2024.0</v>
      </c>
      <c r="I123" s="1" t="s">
        <v>861</v>
      </c>
      <c r="J123" s="1" t="s">
        <v>1272</v>
      </c>
      <c r="K123" s="1">
        <v>5.0</v>
      </c>
      <c r="L123" s="1" t="s">
        <v>1273</v>
      </c>
      <c r="M123" s="1">
        <v>0.0</v>
      </c>
    </row>
    <row r="124">
      <c r="A124" s="1">
        <v>415.0</v>
      </c>
      <c r="B124" s="1">
        <v>4.0</v>
      </c>
      <c r="C124" s="1">
        <v>0.973193532428125</v>
      </c>
      <c r="D124" s="1" t="s">
        <v>391</v>
      </c>
      <c r="E124" s="1" t="s">
        <v>24</v>
      </c>
      <c r="F124" s="1" t="s">
        <v>18</v>
      </c>
      <c r="G124" s="1" t="s">
        <v>42</v>
      </c>
      <c r="H124" s="1">
        <v>2024.0</v>
      </c>
      <c r="I124" s="1" t="s">
        <v>240</v>
      </c>
      <c r="J124" s="1" t="s">
        <v>1272</v>
      </c>
      <c r="K124" s="1">
        <v>7.0</v>
      </c>
      <c r="L124" s="1" t="s">
        <v>1273</v>
      </c>
      <c r="M124" s="1">
        <v>-1.0</v>
      </c>
    </row>
    <row r="125">
      <c r="A125" s="1">
        <v>540.0</v>
      </c>
      <c r="B125" s="1">
        <v>4.0</v>
      </c>
      <c r="C125" s="1">
        <v>0.97318437461428</v>
      </c>
      <c r="D125" s="1" t="s">
        <v>501</v>
      </c>
      <c r="E125" s="1" t="s">
        <v>17</v>
      </c>
      <c r="F125" s="1" t="s">
        <v>18</v>
      </c>
      <c r="G125" s="1">
        <v>12.0</v>
      </c>
      <c r="H125" s="1">
        <v>2024.0</v>
      </c>
      <c r="I125" s="1" t="s">
        <v>240</v>
      </c>
      <c r="J125" s="1" t="s">
        <v>1272</v>
      </c>
      <c r="K125" s="1">
        <v>7.0</v>
      </c>
      <c r="L125" s="1" t="s">
        <v>1273</v>
      </c>
      <c r="M125" s="1">
        <v>2.0</v>
      </c>
    </row>
    <row r="126">
      <c r="A126" s="1">
        <v>264.0</v>
      </c>
      <c r="B126" s="1">
        <v>4.0</v>
      </c>
      <c r="C126" s="1">
        <v>0.973180352220284</v>
      </c>
      <c r="D126" s="1" t="s">
        <v>257</v>
      </c>
      <c r="E126" s="1" t="s">
        <v>17</v>
      </c>
      <c r="F126" s="1" t="s">
        <v>118</v>
      </c>
      <c r="G126" s="1" t="s">
        <v>1274</v>
      </c>
      <c r="H126" s="1">
        <v>2023.0</v>
      </c>
      <c r="I126" s="1" t="s">
        <v>240</v>
      </c>
      <c r="J126" s="1" t="s">
        <v>1272</v>
      </c>
      <c r="K126" s="1">
        <v>7.0</v>
      </c>
      <c r="L126" s="1" t="s">
        <v>1273</v>
      </c>
      <c r="M126" s="1">
        <v>4.0</v>
      </c>
    </row>
    <row r="127">
      <c r="A127" s="1">
        <v>518.0</v>
      </c>
      <c r="B127" s="1">
        <v>2.0</v>
      </c>
      <c r="C127" s="1">
        <v>0.973095148355513</v>
      </c>
      <c r="D127" s="1" t="s">
        <v>479</v>
      </c>
      <c r="E127" s="1" t="s">
        <v>20</v>
      </c>
      <c r="F127" s="1" t="s">
        <v>18</v>
      </c>
      <c r="G127" s="1" t="s">
        <v>42</v>
      </c>
      <c r="H127" s="1">
        <v>2022.0</v>
      </c>
      <c r="I127" s="1" t="s">
        <v>240</v>
      </c>
      <c r="J127" s="1" t="s">
        <v>1272</v>
      </c>
      <c r="K127" s="1">
        <v>7.0</v>
      </c>
      <c r="L127" s="1" t="s">
        <v>1273</v>
      </c>
      <c r="M127" s="1">
        <v>-1.0</v>
      </c>
    </row>
    <row r="128">
      <c r="A128" s="1">
        <v>665.0</v>
      </c>
      <c r="B128" s="1">
        <v>2.0</v>
      </c>
      <c r="C128" s="1">
        <v>0.973082134195326</v>
      </c>
      <c r="D128" s="1" t="s">
        <v>605</v>
      </c>
      <c r="E128" s="1" t="s">
        <v>173</v>
      </c>
      <c r="F128" s="1" t="s">
        <v>18</v>
      </c>
      <c r="G128" s="1" t="s">
        <v>42</v>
      </c>
      <c r="H128" s="1">
        <v>2021.0</v>
      </c>
      <c r="I128" s="1" t="s">
        <v>240</v>
      </c>
      <c r="J128" s="1" t="s">
        <v>1272</v>
      </c>
      <c r="K128" s="1">
        <v>5.0</v>
      </c>
      <c r="L128" s="1" t="s">
        <v>1273</v>
      </c>
      <c r="M128" s="1">
        <v>3.0</v>
      </c>
    </row>
    <row r="129">
      <c r="A129" s="1">
        <v>52.0</v>
      </c>
      <c r="B129" s="1">
        <v>2.0</v>
      </c>
      <c r="C129" s="1">
        <v>0.972882167287186</v>
      </c>
      <c r="D129" s="1" t="s">
        <v>76</v>
      </c>
      <c r="E129" s="1" t="s">
        <v>45</v>
      </c>
      <c r="F129" s="1" t="s">
        <v>65</v>
      </c>
      <c r="G129" s="1" t="s">
        <v>1274</v>
      </c>
      <c r="H129" s="1">
        <v>2019.0</v>
      </c>
      <c r="I129" s="1" t="s">
        <v>12</v>
      </c>
      <c r="J129" s="1" t="s">
        <v>1272</v>
      </c>
      <c r="K129" s="1">
        <v>5.0</v>
      </c>
      <c r="L129" s="1" t="s">
        <v>1273</v>
      </c>
      <c r="M129" s="1">
        <v>6.0</v>
      </c>
    </row>
    <row r="130">
      <c r="A130" s="1">
        <v>474.0</v>
      </c>
      <c r="B130" s="1">
        <v>9.0</v>
      </c>
      <c r="C130" s="1">
        <v>0.972726239478506</v>
      </c>
      <c r="D130" s="1" t="s">
        <v>344</v>
      </c>
      <c r="E130" s="1" t="s">
        <v>41</v>
      </c>
      <c r="F130" s="1" t="s">
        <v>118</v>
      </c>
      <c r="G130" s="1" t="s">
        <v>1274</v>
      </c>
      <c r="H130" s="1">
        <v>2024.0</v>
      </c>
      <c r="I130" s="1" t="s">
        <v>240</v>
      </c>
      <c r="J130" s="1" t="s">
        <v>1272</v>
      </c>
      <c r="K130" s="1">
        <v>10.0</v>
      </c>
      <c r="L130" s="1" t="s">
        <v>1273</v>
      </c>
      <c r="M130" s="1">
        <v>-1.0</v>
      </c>
    </row>
    <row r="131">
      <c r="A131" s="1">
        <v>334.0</v>
      </c>
      <c r="B131" s="1">
        <v>2.0</v>
      </c>
      <c r="C131" s="1">
        <v>0.972369025495673</v>
      </c>
      <c r="D131" s="1" t="s">
        <v>320</v>
      </c>
      <c r="E131" s="1" t="s">
        <v>45</v>
      </c>
      <c r="F131" s="1" t="s">
        <v>65</v>
      </c>
      <c r="G131" s="1" t="s">
        <v>1274</v>
      </c>
      <c r="H131" s="1">
        <v>2019.0</v>
      </c>
      <c r="I131" s="1" t="s">
        <v>240</v>
      </c>
      <c r="J131" s="1" t="s">
        <v>1272</v>
      </c>
      <c r="K131" s="1">
        <v>5.0</v>
      </c>
      <c r="L131" s="1" t="s">
        <v>1273</v>
      </c>
      <c r="M131" s="1">
        <v>4.0</v>
      </c>
    </row>
    <row r="132">
      <c r="A132" s="1">
        <v>440.0</v>
      </c>
      <c r="B132" s="1">
        <v>4.0</v>
      </c>
      <c r="C132" s="1">
        <v>0.972320089047529</v>
      </c>
      <c r="D132" s="1" t="s">
        <v>410</v>
      </c>
      <c r="E132" s="1" t="s">
        <v>47</v>
      </c>
      <c r="F132" s="1" t="s">
        <v>197</v>
      </c>
      <c r="G132" s="1" t="s">
        <v>42</v>
      </c>
      <c r="H132" s="1">
        <v>2022.0</v>
      </c>
      <c r="I132" s="1" t="s">
        <v>240</v>
      </c>
      <c r="J132" s="1" t="s">
        <v>1272</v>
      </c>
      <c r="K132" s="1">
        <v>7.0</v>
      </c>
      <c r="L132" s="1" t="s">
        <v>1273</v>
      </c>
      <c r="M132" s="1">
        <v>2.0</v>
      </c>
    </row>
    <row r="133">
      <c r="A133" s="1">
        <v>581.0</v>
      </c>
      <c r="B133" s="1">
        <v>4.0</v>
      </c>
      <c r="C133" s="1">
        <v>0.972318653433471</v>
      </c>
      <c r="D133" s="1" t="s">
        <v>533</v>
      </c>
      <c r="E133" s="1" t="s">
        <v>187</v>
      </c>
      <c r="F133" s="1" t="s">
        <v>1274</v>
      </c>
      <c r="G133" s="1" t="s">
        <v>1274</v>
      </c>
      <c r="H133" s="1" t="s">
        <v>1274</v>
      </c>
      <c r="I133" s="1" t="s">
        <v>240</v>
      </c>
      <c r="J133" s="1" t="s">
        <v>1272</v>
      </c>
      <c r="K133" s="1">
        <v>7.0</v>
      </c>
      <c r="L133" s="1" t="s">
        <v>1273</v>
      </c>
      <c r="M133" s="1">
        <v>2.0</v>
      </c>
    </row>
    <row r="134">
      <c r="A134" s="1">
        <v>541.0</v>
      </c>
      <c r="B134" s="1">
        <v>4.0</v>
      </c>
      <c r="C134" s="1">
        <v>0.972317593176081</v>
      </c>
      <c r="D134" s="1" t="s">
        <v>502</v>
      </c>
      <c r="E134" s="1" t="s">
        <v>17</v>
      </c>
      <c r="F134" s="1" t="s">
        <v>18</v>
      </c>
      <c r="G134" s="1">
        <v>12.0</v>
      </c>
      <c r="H134" s="1">
        <v>2024.0</v>
      </c>
      <c r="I134" s="1" t="s">
        <v>240</v>
      </c>
      <c r="J134" s="1" t="s">
        <v>1272</v>
      </c>
      <c r="K134" s="1">
        <v>7.0</v>
      </c>
      <c r="L134" s="1" t="s">
        <v>1273</v>
      </c>
      <c r="M134" s="1">
        <v>2.0</v>
      </c>
    </row>
    <row r="135">
      <c r="A135" s="1">
        <v>530.0</v>
      </c>
      <c r="B135" s="1">
        <v>4.0</v>
      </c>
      <c r="C135" s="1">
        <v>0.972315406656475</v>
      </c>
      <c r="D135" s="1" t="s">
        <v>491</v>
      </c>
      <c r="E135" s="1" t="s">
        <v>17</v>
      </c>
      <c r="F135" s="1" t="s">
        <v>18</v>
      </c>
      <c r="G135" s="1">
        <v>12.0</v>
      </c>
      <c r="H135" s="1">
        <v>2024.0</v>
      </c>
      <c r="I135" s="1" t="s">
        <v>240</v>
      </c>
      <c r="J135" s="1" t="s">
        <v>1272</v>
      </c>
      <c r="K135" s="1">
        <v>7.0</v>
      </c>
      <c r="L135" s="1" t="s">
        <v>1273</v>
      </c>
      <c r="M135" s="1">
        <v>-1.0</v>
      </c>
    </row>
    <row r="136">
      <c r="A136" s="1">
        <v>257.0</v>
      </c>
      <c r="B136" s="1">
        <v>4.0</v>
      </c>
      <c r="C136" s="1">
        <v>0.972307222485033</v>
      </c>
      <c r="D136" s="1" t="s">
        <v>250</v>
      </c>
      <c r="E136" s="1" t="s">
        <v>58</v>
      </c>
      <c r="F136" s="1" t="s">
        <v>1274</v>
      </c>
      <c r="G136" s="1" t="s">
        <v>26</v>
      </c>
      <c r="H136" s="1">
        <v>2023.0</v>
      </c>
      <c r="I136" s="1" t="s">
        <v>240</v>
      </c>
      <c r="J136" s="1" t="s">
        <v>1272</v>
      </c>
      <c r="K136" s="1">
        <v>7.0</v>
      </c>
      <c r="L136" s="1" t="s">
        <v>1273</v>
      </c>
      <c r="M136" s="1">
        <v>4.0</v>
      </c>
    </row>
    <row r="137">
      <c r="A137" s="1">
        <v>249.0</v>
      </c>
      <c r="B137" s="1">
        <v>4.0</v>
      </c>
      <c r="C137" s="1">
        <v>0.972301678898952</v>
      </c>
      <c r="D137" s="1" t="s">
        <v>242</v>
      </c>
      <c r="E137" s="1" t="s">
        <v>24</v>
      </c>
      <c r="F137" s="1" t="s">
        <v>25</v>
      </c>
      <c r="G137" s="1" t="s">
        <v>26</v>
      </c>
      <c r="H137" s="1">
        <v>2014.0</v>
      </c>
      <c r="I137" s="1" t="s">
        <v>240</v>
      </c>
      <c r="J137" s="1" t="s">
        <v>1272</v>
      </c>
      <c r="K137" s="1">
        <v>7.0</v>
      </c>
      <c r="L137" s="1" t="s">
        <v>1273</v>
      </c>
      <c r="M137" s="1">
        <v>4.0</v>
      </c>
    </row>
    <row r="138">
      <c r="A138" s="1">
        <v>503.0</v>
      </c>
      <c r="B138" s="1">
        <v>4.0</v>
      </c>
      <c r="C138" s="1">
        <v>0.972301494119611</v>
      </c>
      <c r="D138" s="1" t="s">
        <v>464</v>
      </c>
      <c r="E138" s="1" t="s">
        <v>111</v>
      </c>
      <c r="F138" s="1" t="s">
        <v>1274</v>
      </c>
      <c r="G138" s="1" t="s">
        <v>42</v>
      </c>
      <c r="H138" s="1">
        <v>2022.0</v>
      </c>
      <c r="I138" s="1" t="s">
        <v>240</v>
      </c>
      <c r="J138" s="1" t="s">
        <v>1272</v>
      </c>
      <c r="K138" s="1">
        <v>7.0</v>
      </c>
      <c r="L138" s="1" t="s">
        <v>1273</v>
      </c>
      <c r="M138" s="1">
        <v>6.0</v>
      </c>
    </row>
    <row r="139">
      <c r="A139" s="1">
        <v>542.0</v>
      </c>
      <c r="B139" s="1">
        <v>4.0</v>
      </c>
      <c r="C139" s="1">
        <v>0.972300548087236</v>
      </c>
      <c r="D139" s="1" t="s">
        <v>503</v>
      </c>
      <c r="E139" s="1" t="s">
        <v>17</v>
      </c>
      <c r="F139" s="1" t="s">
        <v>18</v>
      </c>
      <c r="G139" s="1">
        <v>12.0</v>
      </c>
      <c r="H139" s="1">
        <v>2024.0</v>
      </c>
      <c r="I139" s="1" t="s">
        <v>240</v>
      </c>
      <c r="J139" s="1" t="s">
        <v>1272</v>
      </c>
      <c r="K139" s="1">
        <v>7.0</v>
      </c>
      <c r="L139" s="1" t="s">
        <v>1273</v>
      </c>
      <c r="M139" s="1">
        <v>-1.0</v>
      </c>
    </row>
    <row r="140">
      <c r="A140" s="1">
        <v>424.0</v>
      </c>
      <c r="B140" s="1">
        <v>4.0</v>
      </c>
      <c r="C140" s="1">
        <v>0.972299755812113</v>
      </c>
      <c r="D140" s="1" t="s">
        <v>399</v>
      </c>
      <c r="E140" s="1" t="s">
        <v>24</v>
      </c>
      <c r="F140" s="1" t="s">
        <v>18</v>
      </c>
      <c r="G140" s="1" t="s">
        <v>42</v>
      </c>
      <c r="H140" s="1">
        <v>2024.0</v>
      </c>
      <c r="I140" s="1" t="s">
        <v>240</v>
      </c>
      <c r="J140" s="1" t="s">
        <v>1272</v>
      </c>
      <c r="K140" s="1">
        <v>7.0</v>
      </c>
      <c r="L140" s="1" t="s">
        <v>1273</v>
      </c>
      <c r="M140" s="1">
        <v>-1.0</v>
      </c>
    </row>
    <row r="141">
      <c r="A141" s="1">
        <v>1101.0</v>
      </c>
      <c r="B141" s="1">
        <v>1.0</v>
      </c>
      <c r="C141" s="1">
        <v>0.972281793398015</v>
      </c>
      <c r="D141" s="1" t="s">
        <v>911</v>
      </c>
      <c r="E141" s="1" t="s">
        <v>47</v>
      </c>
      <c r="F141" s="1" t="s">
        <v>1274</v>
      </c>
      <c r="G141" s="1" t="s">
        <v>11</v>
      </c>
      <c r="H141" s="1">
        <v>2016.0</v>
      </c>
      <c r="I141" s="1" t="s">
        <v>861</v>
      </c>
      <c r="J141" s="1" t="s">
        <v>1272</v>
      </c>
      <c r="K141" s="1">
        <v>7.0</v>
      </c>
      <c r="L141" s="1" t="s">
        <v>1273</v>
      </c>
      <c r="M141" s="1">
        <v>0.0</v>
      </c>
    </row>
    <row r="142">
      <c r="A142" s="1">
        <v>763.0</v>
      </c>
      <c r="B142" s="1">
        <v>3.0</v>
      </c>
      <c r="C142" s="1">
        <v>0.972259237438207</v>
      </c>
      <c r="D142" s="1" t="s">
        <v>699</v>
      </c>
      <c r="E142" s="1" t="s">
        <v>1274</v>
      </c>
      <c r="F142" s="1" t="s">
        <v>1274</v>
      </c>
      <c r="G142" s="1" t="s">
        <v>1274</v>
      </c>
      <c r="H142" s="1">
        <v>2006.0</v>
      </c>
      <c r="I142" s="1" t="s">
        <v>630</v>
      </c>
      <c r="J142" s="1" t="s">
        <v>1272</v>
      </c>
      <c r="K142" s="1">
        <v>5.0</v>
      </c>
      <c r="L142" s="1" t="s">
        <v>1273</v>
      </c>
      <c r="M142" s="1">
        <v>1.0</v>
      </c>
    </row>
    <row r="143">
      <c r="A143" s="1">
        <v>616.0</v>
      </c>
      <c r="B143" s="1">
        <v>2.0</v>
      </c>
      <c r="C143" s="1">
        <v>0.972177367694344</v>
      </c>
      <c r="D143" s="1" t="s">
        <v>568</v>
      </c>
      <c r="E143" s="1" t="s">
        <v>10</v>
      </c>
      <c r="F143" s="1" t="s">
        <v>118</v>
      </c>
      <c r="G143" s="1" t="s">
        <v>1274</v>
      </c>
      <c r="H143" s="1">
        <v>2011.0</v>
      </c>
      <c r="I143" s="1" t="s">
        <v>240</v>
      </c>
      <c r="J143" s="1" t="s">
        <v>1272</v>
      </c>
      <c r="K143" s="1">
        <v>5.0</v>
      </c>
      <c r="L143" s="1" t="s">
        <v>1273</v>
      </c>
      <c r="M143" s="1">
        <v>4.0</v>
      </c>
    </row>
    <row r="144">
      <c r="A144" s="1">
        <v>321.0</v>
      </c>
      <c r="B144" s="1">
        <v>2.0</v>
      </c>
      <c r="C144" s="1">
        <v>0.97214026528594</v>
      </c>
      <c r="D144" s="1" t="s">
        <v>309</v>
      </c>
      <c r="E144" s="1" t="s">
        <v>45</v>
      </c>
      <c r="F144" s="1" t="s">
        <v>65</v>
      </c>
      <c r="G144" s="1" t="s">
        <v>1274</v>
      </c>
      <c r="H144" s="1">
        <v>2019.0</v>
      </c>
      <c r="I144" s="1" t="s">
        <v>240</v>
      </c>
      <c r="J144" s="1" t="s">
        <v>1272</v>
      </c>
      <c r="K144" s="1">
        <v>5.0</v>
      </c>
      <c r="L144" s="1" t="s">
        <v>1273</v>
      </c>
      <c r="M144" s="1">
        <v>0.0</v>
      </c>
    </row>
    <row r="145">
      <c r="A145" s="1">
        <v>506.0</v>
      </c>
      <c r="B145" s="1">
        <v>2.0</v>
      </c>
      <c r="C145" s="1">
        <v>0.972083174910207</v>
      </c>
      <c r="D145" s="1" t="s">
        <v>467</v>
      </c>
      <c r="E145" s="1" t="s">
        <v>111</v>
      </c>
      <c r="F145" s="1" t="s">
        <v>1274</v>
      </c>
      <c r="G145" s="1" t="s">
        <v>42</v>
      </c>
      <c r="H145" s="1">
        <v>2022.0</v>
      </c>
      <c r="I145" s="1" t="s">
        <v>240</v>
      </c>
      <c r="J145" s="1" t="s">
        <v>1272</v>
      </c>
      <c r="K145" s="1">
        <v>5.0</v>
      </c>
      <c r="L145" s="1" t="s">
        <v>1273</v>
      </c>
      <c r="M145" s="1">
        <v>3.0</v>
      </c>
    </row>
    <row r="146">
      <c r="A146" s="1">
        <v>631.0</v>
      </c>
      <c r="B146" s="1">
        <v>2.0</v>
      </c>
      <c r="C146" s="1">
        <v>0.971953404329639</v>
      </c>
      <c r="D146" s="1" t="s">
        <v>583</v>
      </c>
      <c r="E146" s="1" t="s">
        <v>45</v>
      </c>
      <c r="F146" s="1" t="s">
        <v>18</v>
      </c>
      <c r="G146" s="1" t="s">
        <v>1274</v>
      </c>
      <c r="H146" s="1">
        <v>2022.0</v>
      </c>
      <c r="I146" s="1" t="s">
        <v>240</v>
      </c>
      <c r="J146" s="1" t="s">
        <v>1272</v>
      </c>
      <c r="K146" s="1">
        <v>5.0</v>
      </c>
      <c r="L146" s="1" t="s">
        <v>1273</v>
      </c>
      <c r="M146" s="1">
        <v>-1.0</v>
      </c>
    </row>
    <row r="147">
      <c r="A147" s="1">
        <v>327.0</v>
      </c>
      <c r="B147" s="1">
        <v>2.0</v>
      </c>
      <c r="C147" s="1">
        <v>0.971921801307942</v>
      </c>
      <c r="D147" s="1" t="s">
        <v>315</v>
      </c>
      <c r="E147" s="1" t="s">
        <v>45</v>
      </c>
      <c r="F147" s="1" t="s">
        <v>65</v>
      </c>
      <c r="G147" s="1" t="s">
        <v>1274</v>
      </c>
      <c r="H147" s="1">
        <v>2019.0</v>
      </c>
      <c r="I147" s="1" t="s">
        <v>240</v>
      </c>
      <c r="J147" s="1" t="s">
        <v>1272</v>
      </c>
      <c r="K147" s="1">
        <v>5.0</v>
      </c>
      <c r="L147" s="1" t="s">
        <v>1273</v>
      </c>
      <c r="M147" s="1">
        <v>-1.0</v>
      </c>
    </row>
    <row r="148">
      <c r="A148" s="1">
        <v>336.0</v>
      </c>
      <c r="B148" s="1">
        <v>2.0</v>
      </c>
      <c r="C148" s="1">
        <v>0.971867292347738</v>
      </c>
      <c r="D148" s="1" t="s">
        <v>322</v>
      </c>
      <c r="E148" s="1" t="s">
        <v>45</v>
      </c>
      <c r="F148" s="1" t="s">
        <v>65</v>
      </c>
      <c r="G148" s="1" t="s">
        <v>1274</v>
      </c>
      <c r="H148" s="1">
        <v>2019.0</v>
      </c>
      <c r="I148" s="1" t="s">
        <v>240</v>
      </c>
      <c r="J148" s="1" t="s">
        <v>1272</v>
      </c>
      <c r="K148" s="1">
        <v>10.0</v>
      </c>
      <c r="L148" s="1" t="s">
        <v>1273</v>
      </c>
      <c r="M148" s="1">
        <v>4.0</v>
      </c>
    </row>
    <row r="149">
      <c r="A149" s="1">
        <v>100.0</v>
      </c>
      <c r="B149" s="1">
        <v>4.0</v>
      </c>
      <c r="C149" s="1">
        <v>0.971590567401842</v>
      </c>
      <c r="D149" s="1" t="s">
        <v>120</v>
      </c>
      <c r="E149" s="1" t="s">
        <v>17</v>
      </c>
      <c r="F149" s="1" t="s">
        <v>118</v>
      </c>
      <c r="G149" s="1" t="s">
        <v>1274</v>
      </c>
      <c r="H149" s="1">
        <v>2023.0</v>
      </c>
      <c r="I149" s="1" t="s">
        <v>12</v>
      </c>
      <c r="J149" s="1" t="s">
        <v>1272</v>
      </c>
      <c r="K149" s="1">
        <v>5.0</v>
      </c>
      <c r="L149" s="1" t="s">
        <v>1273</v>
      </c>
      <c r="M149" s="1">
        <v>0.0</v>
      </c>
    </row>
    <row r="150">
      <c r="A150" s="1">
        <v>565.0</v>
      </c>
      <c r="B150" s="1">
        <v>2.0</v>
      </c>
      <c r="C150" s="1">
        <v>0.971471808466668</v>
      </c>
      <c r="D150" s="1" t="s">
        <v>517</v>
      </c>
      <c r="E150" s="1" t="s">
        <v>107</v>
      </c>
      <c r="F150" s="1" t="s">
        <v>18</v>
      </c>
      <c r="G150" s="1" t="s">
        <v>1274</v>
      </c>
      <c r="H150" s="1">
        <v>2022.0</v>
      </c>
      <c r="I150" s="1" t="s">
        <v>240</v>
      </c>
      <c r="J150" s="1" t="s">
        <v>1272</v>
      </c>
      <c r="K150" s="1">
        <v>5.0</v>
      </c>
      <c r="L150" s="1" t="s">
        <v>1273</v>
      </c>
      <c r="M150" s="1">
        <v>-1.0</v>
      </c>
    </row>
    <row r="151">
      <c r="A151" s="1">
        <v>595.0</v>
      </c>
      <c r="B151" s="1">
        <v>4.0</v>
      </c>
      <c r="C151" s="1">
        <v>0.971400179447594</v>
      </c>
      <c r="D151" s="1" t="s">
        <v>547</v>
      </c>
      <c r="E151" s="1" t="s">
        <v>187</v>
      </c>
      <c r="F151" s="1" t="s">
        <v>1274</v>
      </c>
      <c r="G151" s="1" t="s">
        <v>1274</v>
      </c>
      <c r="H151" s="1" t="s">
        <v>1274</v>
      </c>
      <c r="I151" s="1" t="s">
        <v>240</v>
      </c>
      <c r="J151" s="1" t="s">
        <v>1272</v>
      </c>
      <c r="K151" s="1">
        <v>7.0</v>
      </c>
      <c r="L151" s="1" t="s">
        <v>1273</v>
      </c>
      <c r="M151" s="1">
        <v>2.0</v>
      </c>
    </row>
    <row r="152">
      <c r="A152" s="1">
        <v>504.0</v>
      </c>
      <c r="B152" s="1">
        <v>4.0</v>
      </c>
      <c r="C152" s="1">
        <v>0.971393625351442</v>
      </c>
      <c r="D152" s="1" t="s">
        <v>465</v>
      </c>
      <c r="E152" s="1" t="s">
        <v>111</v>
      </c>
      <c r="F152" s="1" t="s">
        <v>1274</v>
      </c>
      <c r="G152" s="1" t="s">
        <v>42</v>
      </c>
      <c r="H152" s="1">
        <v>2022.0</v>
      </c>
      <c r="I152" s="1" t="s">
        <v>240</v>
      </c>
      <c r="J152" s="1" t="s">
        <v>1272</v>
      </c>
      <c r="K152" s="1">
        <v>7.0</v>
      </c>
      <c r="L152" s="1" t="s">
        <v>1273</v>
      </c>
      <c r="M152" s="1">
        <v>2.0</v>
      </c>
    </row>
    <row r="153">
      <c r="A153" s="1">
        <v>528.0</v>
      </c>
      <c r="B153" s="1">
        <v>4.0</v>
      </c>
      <c r="C153" s="1">
        <v>0.971385620540994</v>
      </c>
      <c r="D153" s="1" t="s">
        <v>489</v>
      </c>
      <c r="E153" s="1" t="s">
        <v>17</v>
      </c>
      <c r="F153" s="1" t="s">
        <v>18</v>
      </c>
      <c r="G153" s="1">
        <v>12.0</v>
      </c>
      <c r="H153" s="1">
        <v>2024.0</v>
      </c>
      <c r="I153" s="1" t="s">
        <v>240</v>
      </c>
      <c r="J153" s="1" t="s">
        <v>1272</v>
      </c>
      <c r="K153" s="1">
        <v>7.0</v>
      </c>
      <c r="L153" s="1" t="s">
        <v>1273</v>
      </c>
      <c r="M153" s="1">
        <v>2.0</v>
      </c>
    </row>
    <row r="154">
      <c r="A154" s="1">
        <v>54.0</v>
      </c>
      <c r="B154" s="1">
        <v>2.0</v>
      </c>
      <c r="C154" s="1">
        <v>0.971384761423034</v>
      </c>
      <c r="D154" s="1" t="s">
        <v>78</v>
      </c>
      <c r="E154" s="1" t="s">
        <v>45</v>
      </c>
      <c r="F154" s="1" t="s">
        <v>65</v>
      </c>
      <c r="G154" s="1" t="s">
        <v>1274</v>
      </c>
      <c r="H154" s="1">
        <v>2019.0</v>
      </c>
      <c r="I154" s="1" t="s">
        <v>12</v>
      </c>
      <c r="J154" s="1" t="s">
        <v>1272</v>
      </c>
      <c r="K154" s="1">
        <v>7.0</v>
      </c>
      <c r="L154" s="1" t="s">
        <v>1273</v>
      </c>
      <c r="M154" s="1">
        <v>5.0</v>
      </c>
    </row>
    <row r="155">
      <c r="A155" s="1">
        <v>1152.0</v>
      </c>
      <c r="B155" s="1">
        <v>5.0</v>
      </c>
      <c r="C155" s="1">
        <v>0.971380721225748</v>
      </c>
      <c r="D155" s="1" t="s">
        <v>1032</v>
      </c>
      <c r="E155" s="1" t="s">
        <v>58</v>
      </c>
      <c r="F155" s="1" t="s">
        <v>59</v>
      </c>
      <c r="G155" s="2">
        <v>46153.0</v>
      </c>
      <c r="H155" s="1">
        <v>2024.0</v>
      </c>
      <c r="I155" s="1" t="s">
        <v>861</v>
      </c>
      <c r="J155" s="1" t="s">
        <v>1272</v>
      </c>
      <c r="K155" s="1">
        <v>5.0</v>
      </c>
      <c r="L155" s="1" t="s">
        <v>1273</v>
      </c>
      <c r="M155" s="1">
        <v>0.0</v>
      </c>
    </row>
    <row r="156">
      <c r="A156" s="1">
        <v>112.0</v>
      </c>
      <c r="B156" s="1">
        <v>7.0</v>
      </c>
      <c r="C156" s="1">
        <v>0.971343646234076</v>
      </c>
      <c r="D156" s="1" t="s">
        <v>134</v>
      </c>
      <c r="E156" s="1" t="s">
        <v>50</v>
      </c>
      <c r="F156" s="1" t="s">
        <v>1274</v>
      </c>
      <c r="G156" s="2">
        <v>46213.0</v>
      </c>
      <c r="H156" s="1">
        <v>2002.0</v>
      </c>
      <c r="I156" s="1" t="s">
        <v>12</v>
      </c>
      <c r="J156" s="1" t="s">
        <v>1272</v>
      </c>
      <c r="K156" s="1">
        <v>7.0</v>
      </c>
      <c r="L156" s="1" t="s">
        <v>1273</v>
      </c>
      <c r="M156" s="1">
        <v>16.0</v>
      </c>
    </row>
    <row r="157">
      <c r="A157" s="1">
        <v>319.0</v>
      </c>
      <c r="B157" s="1">
        <v>2.0</v>
      </c>
      <c r="C157" s="1">
        <v>0.971334499475183</v>
      </c>
      <c r="D157" s="1" t="s">
        <v>307</v>
      </c>
      <c r="E157" s="1" t="s">
        <v>45</v>
      </c>
      <c r="F157" s="1" t="s">
        <v>65</v>
      </c>
      <c r="G157" s="1" t="s">
        <v>1274</v>
      </c>
      <c r="H157" s="1">
        <v>2019.0</v>
      </c>
      <c r="I157" s="1" t="s">
        <v>240</v>
      </c>
      <c r="J157" s="1" t="s">
        <v>1272</v>
      </c>
      <c r="K157" s="1">
        <v>5.0</v>
      </c>
      <c r="L157" s="1" t="s">
        <v>1273</v>
      </c>
      <c r="M157" s="1">
        <v>4.0</v>
      </c>
    </row>
    <row r="158">
      <c r="A158" s="1">
        <v>33.0</v>
      </c>
      <c r="B158" s="1">
        <v>4.0</v>
      </c>
      <c r="C158" s="1">
        <v>0.971302015734826</v>
      </c>
      <c r="D158" s="1" t="s">
        <v>57</v>
      </c>
      <c r="E158" s="1" t="s">
        <v>58</v>
      </c>
      <c r="F158" s="1" t="s">
        <v>59</v>
      </c>
      <c r="G158" s="2">
        <v>46153.0</v>
      </c>
      <c r="H158" s="1">
        <v>2024.0</v>
      </c>
      <c r="I158" s="1" t="s">
        <v>12</v>
      </c>
      <c r="J158" s="1" t="s">
        <v>1272</v>
      </c>
      <c r="K158" s="1">
        <v>5.0</v>
      </c>
      <c r="L158" s="1" t="s">
        <v>1273</v>
      </c>
      <c r="M158" s="1">
        <v>0.0</v>
      </c>
    </row>
    <row r="159">
      <c r="A159" s="1">
        <v>1150.0</v>
      </c>
      <c r="B159" s="1">
        <v>4.0</v>
      </c>
      <c r="C159" s="1">
        <v>0.971302015734826</v>
      </c>
      <c r="D159" s="1" t="s">
        <v>245</v>
      </c>
      <c r="E159" s="1" t="s">
        <v>58</v>
      </c>
      <c r="F159" s="1" t="s">
        <v>59</v>
      </c>
      <c r="G159" s="2">
        <v>46153.0</v>
      </c>
      <c r="H159" s="1">
        <v>2024.0</v>
      </c>
      <c r="I159" s="1" t="s">
        <v>861</v>
      </c>
      <c r="J159" s="1" t="s">
        <v>1272</v>
      </c>
      <c r="K159" s="1">
        <v>5.0</v>
      </c>
      <c r="L159" s="1" t="s">
        <v>1273</v>
      </c>
      <c r="M159" s="1">
        <v>0.0</v>
      </c>
    </row>
    <row r="160">
      <c r="A160" s="1">
        <v>433.0</v>
      </c>
      <c r="B160" s="1">
        <v>2.0</v>
      </c>
      <c r="C160" s="1">
        <v>0.971221505280966</v>
      </c>
      <c r="D160" s="1" t="s">
        <v>405</v>
      </c>
      <c r="E160" s="1" t="s">
        <v>10</v>
      </c>
      <c r="F160" s="1" t="s">
        <v>142</v>
      </c>
      <c r="G160" s="1" t="s">
        <v>1274</v>
      </c>
      <c r="H160" s="1">
        <v>2011.0</v>
      </c>
      <c r="I160" s="1" t="s">
        <v>240</v>
      </c>
      <c r="J160" s="1" t="s">
        <v>1272</v>
      </c>
      <c r="K160" s="1">
        <v>5.0</v>
      </c>
      <c r="L160" s="1" t="s">
        <v>1273</v>
      </c>
      <c r="M160" s="1">
        <v>4.0</v>
      </c>
    </row>
    <row r="161">
      <c r="A161" s="1">
        <v>458.0</v>
      </c>
      <c r="B161" s="1">
        <v>2.0</v>
      </c>
      <c r="C161" s="1">
        <v>0.971191887755057</v>
      </c>
      <c r="D161" s="1" t="s">
        <v>428</v>
      </c>
      <c r="E161" s="1" t="s">
        <v>187</v>
      </c>
      <c r="F161" s="1" t="s">
        <v>1274</v>
      </c>
      <c r="G161" s="1" t="s">
        <v>11</v>
      </c>
      <c r="H161" s="1">
        <v>2019.0</v>
      </c>
      <c r="I161" s="1" t="s">
        <v>240</v>
      </c>
      <c r="J161" s="1" t="s">
        <v>1272</v>
      </c>
      <c r="K161" s="1">
        <v>5.0</v>
      </c>
      <c r="L161" s="1" t="s">
        <v>1273</v>
      </c>
      <c r="M161" s="1">
        <v>-1.0</v>
      </c>
    </row>
    <row r="162">
      <c r="A162" s="1">
        <v>79.0</v>
      </c>
      <c r="B162" s="1">
        <v>5.0</v>
      </c>
      <c r="C162" s="1">
        <v>0.971066796570072</v>
      </c>
      <c r="D162" s="1" t="s">
        <v>103</v>
      </c>
      <c r="E162" s="1" t="s">
        <v>102</v>
      </c>
      <c r="F162" s="1" t="s">
        <v>65</v>
      </c>
      <c r="G162" s="1" t="s">
        <v>1274</v>
      </c>
      <c r="H162" s="1">
        <v>2017.0</v>
      </c>
      <c r="I162" s="1" t="s">
        <v>12</v>
      </c>
      <c r="J162" s="1" t="s">
        <v>1272</v>
      </c>
      <c r="K162" s="1">
        <v>5.0</v>
      </c>
      <c r="L162" s="1" t="s">
        <v>1273</v>
      </c>
      <c r="M162" s="1">
        <v>0.0</v>
      </c>
    </row>
    <row r="163">
      <c r="A163" s="1">
        <v>341.0</v>
      </c>
      <c r="B163" s="1">
        <v>2.0</v>
      </c>
      <c r="C163" s="1">
        <v>0.970942411250027</v>
      </c>
      <c r="D163" s="1" t="s">
        <v>327</v>
      </c>
      <c r="E163" s="1" t="s">
        <v>45</v>
      </c>
      <c r="F163" s="1" t="s">
        <v>65</v>
      </c>
      <c r="G163" s="1" t="s">
        <v>1274</v>
      </c>
      <c r="H163" s="1">
        <v>2019.0</v>
      </c>
      <c r="I163" s="1" t="s">
        <v>240</v>
      </c>
      <c r="J163" s="1" t="s">
        <v>1272</v>
      </c>
      <c r="K163" s="1">
        <v>5.0</v>
      </c>
      <c r="L163" s="1" t="s">
        <v>1273</v>
      </c>
      <c r="M163" s="1">
        <v>0.0</v>
      </c>
    </row>
    <row r="164">
      <c r="A164" s="1">
        <v>555.0</v>
      </c>
      <c r="B164" s="1">
        <v>2.0</v>
      </c>
      <c r="C164" s="1">
        <v>0.970677330989111</v>
      </c>
      <c r="D164" s="1" t="s">
        <v>507</v>
      </c>
      <c r="E164" s="1" t="s">
        <v>107</v>
      </c>
      <c r="F164" s="1" t="s">
        <v>18</v>
      </c>
      <c r="G164" s="1" t="s">
        <v>1274</v>
      </c>
      <c r="H164" s="1">
        <v>2022.0</v>
      </c>
      <c r="I164" s="1" t="s">
        <v>240</v>
      </c>
      <c r="J164" s="1" t="s">
        <v>1272</v>
      </c>
      <c r="K164" s="1">
        <v>5.0</v>
      </c>
      <c r="L164" s="1" t="s">
        <v>1273</v>
      </c>
      <c r="M164" s="1">
        <v>0.0</v>
      </c>
    </row>
    <row r="165">
      <c r="A165" s="1">
        <v>461.0</v>
      </c>
      <c r="B165" s="1">
        <v>4.0</v>
      </c>
      <c r="C165" s="1">
        <v>0.970414713093636</v>
      </c>
      <c r="D165" s="1" t="s">
        <v>431</v>
      </c>
      <c r="E165" s="1" t="s">
        <v>187</v>
      </c>
      <c r="F165" s="1" t="s">
        <v>1274</v>
      </c>
      <c r="G165" s="1" t="s">
        <v>11</v>
      </c>
      <c r="H165" s="1">
        <v>2019.0</v>
      </c>
      <c r="I165" s="1" t="s">
        <v>240</v>
      </c>
      <c r="J165" s="1" t="s">
        <v>1272</v>
      </c>
      <c r="K165" s="1">
        <v>7.0</v>
      </c>
      <c r="L165" s="1" t="s">
        <v>1273</v>
      </c>
      <c r="M165" s="1">
        <v>-1.0</v>
      </c>
    </row>
    <row r="166">
      <c r="A166" s="1">
        <v>456.0</v>
      </c>
      <c r="B166" s="1">
        <v>4.0</v>
      </c>
      <c r="C166" s="1">
        <v>0.970410699879338</v>
      </c>
      <c r="D166" s="1" t="s">
        <v>426</v>
      </c>
      <c r="E166" s="1" t="s">
        <v>187</v>
      </c>
      <c r="F166" s="1" t="s">
        <v>1274</v>
      </c>
      <c r="G166" s="1" t="s">
        <v>11</v>
      </c>
      <c r="H166" s="1">
        <v>2019.0</v>
      </c>
      <c r="I166" s="1" t="s">
        <v>240</v>
      </c>
      <c r="J166" s="1" t="s">
        <v>1272</v>
      </c>
      <c r="K166" s="1">
        <v>7.0</v>
      </c>
      <c r="L166" s="1" t="s">
        <v>1273</v>
      </c>
      <c r="M166" s="1">
        <v>2.0</v>
      </c>
    </row>
    <row r="167">
      <c r="A167" s="1">
        <v>372.0</v>
      </c>
      <c r="B167" s="1">
        <v>2.0</v>
      </c>
      <c r="C167" s="1">
        <v>0.970387064239918</v>
      </c>
      <c r="D167" s="1" t="s">
        <v>354</v>
      </c>
      <c r="E167" s="1" t="s">
        <v>58</v>
      </c>
      <c r="F167" s="1" t="s">
        <v>59</v>
      </c>
      <c r="G167" s="2">
        <v>46153.0</v>
      </c>
      <c r="H167" s="1">
        <v>2024.0</v>
      </c>
      <c r="I167" s="1" t="s">
        <v>240</v>
      </c>
      <c r="J167" s="1" t="s">
        <v>1272</v>
      </c>
      <c r="K167" s="1">
        <v>7.0</v>
      </c>
      <c r="L167" s="1" t="s">
        <v>1273</v>
      </c>
      <c r="M167" s="1">
        <v>0.0</v>
      </c>
    </row>
    <row r="168">
      <c r="A168" s="1">
        <v>309.0</v>
      </c>
      <c r="B168" s="1">
        <v>4.0</v>
      </c>
      <c r="C168" s="1">
        <v>0.970386467141456</v>
      </c>
      <c r="D168" s="1" t="s">
        <v>297</v>
      </c>
      <c r="E168" s="1" t="s">
        <v>24</v>
      </c>
      <c r="F168" s="1" t="s">
        <v>18</v>
      </c>
      <c r="G168" s="1" t="s">
        <v>42</v>
      </c>
      <c r="H168" s="1">
        <v>2024.0</v>
      </c>
      <c r="I168" s="1" t="s">
        <v>240</v>
      </c>
      <c r="J168" s="1" t="s">
        <v>1272</v>
      </c>
      <c r="K168" s="1">
        <v>7.0</v>
      </c>
      <c r="L168" s="1" t="s">
        <v>1273</v>
      </c>
      <c r="M168" s="1">
        <v>-1.0</v>
      </c>
    </row>
    <row r="169">
      <c r="A169" s="1">
        <v>275.0</v>
      </c>
      <c r="B169" s="1">
        <v>6.0</v>
      </c>
      <c r="C169" s="1">
        <v>0.970380936781704</v>
      </c>
      <c r="D169" s="1" t="s">
        <v>268</v>
      </c>
      <c r="E169" s="1" t="s">
        <v>124</v>
      </c>
      <c r="F169" s="1" t="s">
        <v>178</v>
      </c>
      <c r="G169" s="1" t="s">
        <v>1274</v>
      </c>
      <c r="H169" s="1">
        <v>2024.0</v>
      </c>
      <c r="I169" s="1" t="s">
        <v>240</v>
      </c>
      <c r="J169" s="1" t="s">
        <v>1272</v>
      </c>
      <c r="K169" s="1">
        <v>7.0</v>
      </c>
      <c r="L169" s="1" t="s">
        <v>1273</v>
      </c>
      <c r="M169" s="1">
        <v>0.0</v>
      </c>
    </row>
    <row r="170">
      <c r="A170" s="1">
        <v>104.0</v>
      </c>
      <c r="B170" s="1">
        <v>5.0</v>
      </c>
      <c r="C170" s="1">
        <v>0.970367150970394</v>
      </c>
      <c r="D170" s="1" t="s">
        <v>125</v>
      </c>
      <c r="E170" s="1" t="s">
        <v>24</v>
      </c>
      <c r="F170" s="1" t="s">
        <v>25</v>
      </c>
      <c r="G170" s="1" t="s">
        <v>126</v>
      </c>
      <c r="H170" s="1">
        <v>2018.0</v>
      </c>
      <c r="I170" s="1" t="s">
        <v>12</v>
      </c>
      <c r="J170" s="1" t="s">
        <v>1272</v>
      </c>
      <c r="K170" s="1">
        <v>7.0</v>
      </c>
      <c r="L170" s="1" t="s">
        <v>1273</v>
      </c>
      <c r="M170" s="1">
        <v>8.0</v>
      </c>
    </row>
    <row r="171">
      <c r="A171" s="1">
        <v>328.0</v>
      </c>
      <c r="B171" s="1">
        <v>2.0</v>
      </c>
      <c r="C171" s="1">
        <v>0.970156808321612</v>
      </c>
      <c r="D171" s="1" t="s">
        <v>316</v>
      </c>
      <c r="E171" s="1" t="s">
        <v>45</v>
      </c>
      <c r="F171" s="1" t="s">
        <v>65</v>
      </c>
      <c r="G171" s="1" t="s">
        <v>1274</v>
      </c>
      <c r="H171" s="1">
        <v>2019.0</v>
      </c>
      <c r="I171" s="1" t="s">
        <v>240</v>
      </c>
      <c r="J171" s="1" t="s">
        <v>1272</v>
      </c>
      <c r="K171" s="1">
        <v>5.0</v>
      </c>
      <c r="L171" s="1" t="s">
        <v>1273</v>
      </c>
      <c r="M171" s="1">
        <v>-1.0</v>
      </c>
    </row>
    <row r="172">
      <c r="A172" s="1">
        <v>182.0</v>
      </c>
      <c r="B172" s="1">
        <v>1.0</v>
      </c>
      <c r="C172" s="1">
        <v>0.970116211441766</v>
      </c>
      <c r="D172" s="1" t="s">
        <v>62</v>
      </c>
      <c r="E172" s="1" t="s">
        <v>58</v>
      </c>
      <c r="F172" s="1" t="s">
        <v>18</v>
      </c>
      <c r="G172" s="1" t="s">
        <v>11</v>
      </c>
      <c r="H172" s="1">
        <v>2024.0</v>
      </c>
      <c r="I172" s="1" t="s">
        <v>12</v>
      </c>
      <c r="J172" s="1" t="s">
        <v>1272</v>
      </c>
      <c r="K172" s="1">
        <v>5.0</v>
      </c>
      <c r="L172" s="1" t="s">
        <v>1273</v>
      </c>
      <c r="M172" s="1">
        <v>0.0</v>
      </c>
    </row>
    <row r="173">
      <c r="A173" s="1">
        <v>85.0</v>
      </c>
      <c r="B173" s="1">
        <v>3.0</v>
      </c>
      <c r="C173" s="1">
        <v>0.970085460348023</v>
      </c>
      <c r="D173" s="1" t="s">
        <v>100</v>
      </c>
      <c r="E173" s="1" t="s">
        <v>24</v>
      </c>
      <c r="F173" s="1" t="s">
        <v>18</v>
      </c>
      <c r="G173" s="1" t="s">
        <v>1274</v>
      </c>
      <c r="H173" s="1">
        <v>2018.0</v>
      </c>
      <c r="I173" s="1" t="s">
        <v>12</v>
      </c>
      <c r="J173" s="1" t="s">
        <v>1272</v>
      </c>
      <c r="K173" s="1">
        <v>5.0</v>
      </c>
      <c r="L173" s="1" t="s">
        <v>1273</v>
      </c>
      <c r="M173" s="1">
        <v>0.0</v>
      </c>
    </row>
    <row r="174">
      <c r="A174" s="1">
        <v>256.0</v>
      </c>
      <c r="B174" s="1">
        <v>2.0</v>
      </c>
      <c r="C174" s="1">
        <v>0.970046779020443</v>
      </c>
      <c r="D174" s="1" t="s">
        <v>249</v>
      </c>
      <c r="E174" s="1" t="s">
        <v>58</v>
      </c>
      <c r="F174" s="1" t="s">
        <v>1274</v>
      </c>
      <c r="G174" s="1" t="s">
        <v>26</v>
      </c>
      <c r="H174" s="1">
        <v>2023.0</v>
      </c>
      <c r="I174" s="1" t="s">
        <v>240</v>
      </c>
      <c r="J174" s="1" t="s">
        <v>1272</v>
      </c>
      <c r="K174" s="1">
        <v>5.0</v>
      </c>
      <c r="L174" s="1" t="s">
        <v>1273</v>
      </c>
      <c r="M174" s="1">
        <v>3.0</v>
      </c>
    </row>
    <row r="175">
      <c r="A175" s="1">
        <v>192.0</v>
      </c>
      <c r="B175" s="1">
        <v>1.0</v>
      </c>
      <c r="C175" s="1">
        <v>0.970016987216966</v>
      </c>
      <c r="D175" s="1" t="s">
        <v>207</v>
      </c>
      <c r="E175" s="1" t="s">
        <v>50</v>
      </c>
      <c r="F175" s="1" t="s">
        <v>206</v>
      </c>
      <c r="G175" s="2">
        <v>46213.0</v>
      </c>
      <c r="H175" s="1">
        <v>2023.0</v>
      </c>
      <c r="I175" s="1" t="s">
        <v>198</v>
      </c>
      <c r="J175" s="1" t="s">
        <v>1272</v>
      </c>
      <c r="K175" s="1">
        <v>5.0</v>
      </c>
      <c r="L175" s="1" t="s">
        <v>1273</v>
      </c>
      <c r="M175" s="1">
        <v>5.0</v>
      </c>
    </row>
    <row r="176">
      <c r="A176" s="1">
        <v>122.0</v>
      </c>
      <c r="B176" s="1">
        <v>5.0</v>
      </c>
      <c r="C176" s="1">
        <v>0.969898512547765</v>
      </c>
      <c r="D176" s="1" t="s">
        <v>104</v>
      </c>
      <c r="E176" s="1" t="s">
        <v>102</v>
      </c>
      <c r="F176" s="1" t="s">
        <v>18</v>
      </c>
      <c r="G176" s="2">
        <v>46151.0</v>
      </c>
      <c r="H176" s="1">
        <v>2017.0</v>
      </c>
      <c r="I176" s="1" t="s">
        <v>12</v>
      </c>
      <c r="J176" s="1" t="s">
        <v>1272</v>
      </c>
      <c r="K176" s="1">
        <v>5.0</v>
      </c>
      <c r="L176" s="1" t="s">
        <v>1273</v>
      </c>
      <c r="M176" s="1">
        <v>0.0</v>
      </c>
    </row>
    <row r="177">
      <c r="A177" s="1">
        <v>577.0</v>
      </c>
      <c r="B177" s="1">
        <v>2.0</v>
      </c>
      <c r="C177" s="1">
        <v>0.969887570623077</v>
      </c>
      <c r="D177" s="1" t="s">
        <v>529</v>
      </c>
      <c r="E177" s="1" t="s">
        <v>187</v>
      </c>
      <c r="F177" s="1" t="s">
        <v>1274</v>
      </c>
      <c r="G177" s="1" t="s">
        <v>1274</v>
      </c>
      <c r="H177" s="1" t="s">
        <v>1274</v>
      </c>
      <c r="I177" s="1" t="s">
        <v>240</v>
      </c>
      <c r="J177" s="1" t="s">
        <v>1272</v>
      </c>
      <c r="K177" s="1">
        <v>5.0</v>
      </c>
      <c r="L177" s="1" t="s">
        <v>1273</v>
      </c>
      <c r="M177" s="1">
        <v>12.0</v>
      </c>
    </row>
    <row r="178">
      <c r="A178" s="1">
        <v>344.0</v>
      </c>
      <c r="B178" s="1">
        <v>2.0</v>
      </c>
      <c r="C178" s="1">
        <v>0.969854865052975</v>
      </c>
      <c r="D178" s="1" t="s">
        <v>330</v>
      </c>
      <c r="E178" s="1" t="s">
        <v>45</v>
      </c>
      <c r="F178" s="1" t="s">
        <v>65</v>
      </c>
      <c r="G178" s="1" t="s">
        <v>1274</v>
      </c>
      <c r="H178" s="1">
        <v>2019.0</v>
      </c>
      <c r="I178" s="1" t="s">
        <v>240</v>
      </c>
      <c r="J178" s="1" t="s">
        <v>1272</v>
      </c>
      <c r="K178" s="1">
        <v>5.0</v>
      </c>
      <c r="L178" s="1" t="s">
        <v>1273</v>
      </c>
      <c r="M178" s="1">
        <v>0.0</v>
      </c>
    </row>
    <row r="179">
      <c r="A179" s="1">
        <v>608.0</v>
      </c>
      <c r="B179" s="1">
        <v>2.0</v>
      </c>
      <c r="C179" s="1">
        <v>0.969846601206054</v>
      </c>
      <c r="D179" s="1" t="s">
        <v>560</v>
      </c>
      <c r="E179" s="1" t="s">
        <v>102</v>
      </c>
      <c r="F179" s="1" t="s">
        <v>1274</v>
      </c>
      <c r="G179" s="1" t="s">
        <v>11</v>
      </c>
      <c r="H179" s="1">
        <v>2010.0</v>
      </c>
      <c r="I179" s="1" t="s">
        <v>240</v>
      </c>
      <c r="J179" s="1" t="s">
        <v>1272</v>
      </c>
      <c r="K179" s="1">
        <v>5.0</v>
      </c>
      <c r="L179" s="1" t="s">
        <v>1273</v>
      </c>
      <c r="M179" s="1">
        <v>-1.0</v>
      </c>
    </row>
    <row r="180">
      <c r="A180" s="1">
        <v>457.0</v>
      </c>
      <c r="B180" s="1">
        <v>4.0</v>
      </c>
      <c r="C180" s="1">
        <v>0.969355723636637</v>
      </c>
      <c r="D180" s="1" t="s">
        <v>427</v>
      </c>
      <c r="E180" s="1" t="s">
        <v>187</v>
      </c>
      <c r="F180" s="1" t="s">
        <v>1274</v>
      </c>
      <c r="G180" s="1" t="s">
        <v>11</v>
      </c>
      <c r="H180" s="1">
        <v>2019.0</v>
      </c>
      <c r="I180" s="1" t="s">
        <v>240</v>
      </c>
      <c r="J180" s="1" t="s">
        <v>1272</v>
      </c>
      <c r="K180" s="1">
        <v>7.0</v>
      </c>
      <c r="L180" s="1" t="s">
        <v>1273</v>
      </c>
      <c r="M180" s="1">
        <v>2.0</v>
      </c>
    </row>
    <row r="181">
      <c r="A181" s="1">
        <v>529.0</v>
      </c>
      <c r="B181" s="1">
        <v>4.0</v>
      </c>
      <c r="C181" s="1">
        <v>0.969345920863088</v>
      </c>
      <c r="D181" s="1" t="s">
        <v>490</v>
      </c>
      <c r="E181" s="1" t="s">
        <v>17</v>
      </c>
      <c r="F181" s="1" t="s">
        <v>18</v>
      </c>
      <c r="G181" s="1">
        <v>12.0</v>
      </c>
      <c r="H181" s="1">
        <v>2024.0</v>
      </c>
      <c r="I181" s="1" t="s">
        <v>240</v>
      </c>
      <c r="J181" s="1" t="s">
        <v>1272</v>
      </c>
      <c r="K181" s="1">
        <v>7.0</v>
      </c>
      <c r="L181" s="1" t="s">
        <v>1273</v>
      </c>
      <c r="M181" s="1">
        <v>4.0</v>
      </c>
    </row>
    <row r="182">
      <c r="A182" s="1">
        <v>436.0</v>
      </c>
      <c r="B182" s="1">
        <v>2.0</v>
      </c>
      <c r="C182" s="1">
        <v>0.96932634520488</v>
      </c>
      <c r="D182" s="1" t="s">
        <v>406</v>
      </c>
      <c r="E182" s="1" t="s">
        <v>58</v>
      </c>
      <c r="F182" s="1" t="s">
        <v>18</v>
      </c>
      <c r="G182" s="1" t="s">
        <v>11</v>
      </c>
      <c r="H182" s="1">
        <v>2024.0</v>
      </c>
      <c r="I182" s="1" t="s">
        <v>240</v>
      </c>
      <c r="J182" s="1" t="s">
        <v>1272</v>
      </c>
      <c r="K182" s="1">
        <v>7.0</v>
      </c>
      <c r="L182" s="1" t="s">
        <v>1273</v>
      </c>
      <c r="M182" s="1">
        <v>0.0</v>
      </c>
    </row>
    <row r="183">
      <c r="A183" s="1">
        <v>29.0</v>
      </c>
      <c r="B183" s="1">
        <v>2.0</v>
      </c>
      <c r="C183" s="1">
        <v>0.969287993235386</v>
      </c>
      <c r="D183" s="1" t="s">
        <v>53</v>
      </c>
      <c r="E183" s="1" t="s">
        <v>50</v>
      </c>
      <c r="F183" s="1" t="s">
        <v>1274</v>
      </c>
      <c r="G183" s="2">
        <v>46148.0</v>
      </c>
      <c r="H183" s="1" t="s">
        <v>1274</v>
      </c>
      <c r="I183" s="1" t="s">
        <v>12</v>
      </c>
      <c r="J183" s="1" t="s">
        <v>1272</v>
      </c>
      <c r="K183" s="1">
        <v>7.0</v>
      </c>
      <c r="L183" s="1" t="s">
        <v>1273</v>
      </c>
      <c r="M183" s="1">
        <v>3.0</v>
      </c>
    </row>
    <row r="184">
      <c r="A184" s="1">
        <v>386.0</v>
      </c>
      <c r="B184" s="1">
        <v>4.0</v>
      </c>
      <c r="C184" s="1">
        <v>0.969148551737164</v>
      </c>
      <c r="D184" s="1" t="s">
        <v>363</v>
      </c>
      <c r="E184" s="1" t="s">
        <v>50</v>
      </c>
      <c r="F184" s="1" t="s">
        <v>1274</v>
      </c>
      <c r="G184" s="2">
        <v>46213.0</v>
      </c>
      <c r="H184" s="1">
        <v>2021.0</v>
      </c>
      <c r="I184" s="1" t="s">
        <v>240</v>
      </c>
      <c r="J184" s="1" t="s">
        <v>1272</v>
      </c>
      <c r="K184" s="1">
        <v>5.0</v>
      </c>
      <c r="L184" s="1" t="s">
        <v>1273</v>
      </c>
      <c r="M184" s="1">
        <v>10.0</v>
      </c>
    </row>
    <row r="185">
      <c r="A185" s="1">
        <v>444.0</v>
      </c>
      <c r="B185" s="1">
        <v>4.0</v>
      </c>
      <c r="C185" s="1">
        <v>0.969148551737164</v>
      </c>
      <c r="D185" s="1" t="s">
        <v>414</v>
      </c>
      <c r="E185" s="1" t="s">
        <v>50</v>
      </c>
      <c r="F185" s="1" t="s">
        <v>18</v>
      </c>
      <c r="G185" s="1" t="s">
        <v>284</v>
      </c>
      <c r="H185" s="1">
        <v>2022.0</v>
      </c>
      <c r="I185" s="1" t="s">
        <v>240</v>
      </c>
      <c r="J185" s="1" t="s">
        <v>1272</v>
      </c>
      <c r="K185" s="1">
        <v>5.0</v>
      </c>
      <c r="L185" s="1" t="s">
        <v>1273</v>
      </c>
      <c r="M185" s="1">
        <v>10.0</v>
      </c>
    </row>
    <row r="186">
      <c r="A186" s="1">
        <v>1044.0</v>
      </c>
      <c r="B186" s="1">
        <v>4.0</v>
      </c>
      <c r="C186" s="1">
        <v>0.969148551737164</v>
      </c>
      <c r="D186" s="1" t="s">
        <v>948</v>
      </c>
      <c r="E186" s="1" t="s">
        <v>50</v>
      </c>
      <c r="F186" s="1" t="s">
        <v>1274</v>
      </c>
      <c r="G186" s="1" t="s">
        <v>26</v>
      </c>
      <c r="H186" s="1" t="s">
        <v>1274</v>
      </c>
      <c r="I186" s="1" t="s">
        <v>861</v>
      </c>
      <c r="J186" s="1" t="s">
        <v>1272</v>
      </c>
      <c r="K186" s="1">
        <v>5.0</v>
      </c>
      <c r="L186" s="1" t="s">
        <v>1273</v>
      </c>
      <c r="M186" s="1">
        <v>10.0</v>
      </c>
    </row>
    <row r="187">
      <c r="A187" s="1">
        <v>625.0</v>
      </c>
      <c r="B187" s="1">
        <v>2.0</v>
      </c>
      <c r="C187" s="1">
        <v>0.969061404857643</v>
      </c>
      <c r="D187" s="1" t="s">
        <v>577</v>
      </c>
      <c r="E187" s="1" t="s">
        <v>45</v>
      </c>
      <c r="F187" s="1" t="s">
        <v>18</v>
      </c>
      <c r="G187" s="1" t="s">
        <v>1274</v>
      </c>
      <c r="H187" s="1">
        <v>2022.0</v>
      </c>
      <c r="I187" s="1" t="s">
        <v>240</v>
      </c>
      <c r="J187" s="1" t="s">
        <v>1272</v>
      </c>
      <c r="K187" s="1">
        <v>5.0</v>
      </c>
      <c r="L187" s="1" t="s">
        <v>1273</v>
      </c>
      <c r="M187" s="1">
        <v>4.0</v>
      </c>
    </row>
    <row r="188">
      <c r="A188" s="1">
        <v>254.0</v>
      </c>
      <c r="B188" s="1">
        <v>2.0</v>
      </c>
      <c r="C188" s="1">
        <v>0.969048243954208</v>
      </c>
      <c r="D188" s="1" t="s">
        <v>247</v>
      </c>
      <c r="E188" s="1" t="s">
        <v>58</v>
      </c>
      <c r="F188" s="1" t="s">
        <v>1274</v>
      </c>
      <c r="G188" s="1" t="s">
        <v>26</v>
      </c>
      <c r="H188" s="1">
        <v>2023.0</v>
      </c>
      <c r="I188" s="1" t="s">
        <v>240</v>
      </c>
      <c r="J188" s="1" t="s">
        <v>1272</v>
      </c>
      <c r="K188" s="1">
        <v>5.0</v>
      </c>
      <c r="L188" s="1" t="s">
        <v>1273</v>
      </c>
      <c r="M188" s="1">
        <v>4.0</v>
      </c>
    </row>
    <row r="189">
      <c r="A189" s="1">
        <v>243.0</v>
      </c>
      <c r="B189" s="1">
        <v>3.0</v>
      </c>
      <c r="C189" s="1">
        <v>0.969032897126998</v>
      </c>
      <c r="D189" s="1" t="s">
        <v>72</v>
      </c>
      <c r="E189" s="1" t="s">
        <v>45</v>
      </c>
      <c r="F189" s="1" t="s">
        <v>65</v>
      </c>
      <c r="G189" s="1" t="s">
        <v>1274</v>
      </c>
      <c r="H189" s="1">
        <v>2019.0</v>
      </c>
      <c r="I189" s="1" t="s">
        <v>198</v>
      </c>
      <c r="J189" s="1" t="s">
        <v>1272</v>
      </c>
      <c r="K189" s="1">
        <v>5.0</v>
      </c>
      <c r="L189" s="1" t="s">
        <v>1273</v>
      </c>
      <c r="M189" s="1">
        <v>-1.0</v>
      </c>
    </row>
    <row r="190">
      <c r="A190" s="1">
        <v>492.0</v>
      </c>
      <c r="B190" s="1">
        <v>2.0</v>
      </c>
      <c r="C190" s="1">
        <v>0.969019302838732</v>
      </c>
      <c r="D190" s="1" t="s">
        <v>453</v>
      </c>
      <c r="E190" s="1" t="s">
        <v>10</v>
      </c>
      <c r="F190" s="1" t="s">
        <v>97</v>
      </c>
      <c r="G190" s="1" t="s">
        <v>11</v>
      </c>
      <c r="H190" s="1">
        <v>2011.0</v>
      </c>
      <c r="I190" s="1" t="s">
        <v>240</v>
      </c>
      <c r="J190" s="1" t="s">
        <v>1272</v>
      </c>
      <c r="K190" s="1">
        <v>5.0</v>
      </c>
      <c r="L190" s="1" t="s">
        <v>1273</v>
      </c>
      <c r="M190" s="1">
        <v>-1.0</v>
      </c>
    </row>
    <row r="191">
      <c r="A191" s="1">
        <v>438.0</v>
      </c>
      <c r="B191" s="1">
        <v>2.0</v>
      </c>
      <c r="C191" s="1">
        <v>0.96900659490095</v>
      </c>
      <c r="D191" s="1" t="s">
        <v>408</v>
      </c>
      <c r="E191" s="1" t="s">
        <v>47</v>
      </c>
      <c r="F191" s="1" t="s">
        <v>197</v>
      </c>
      <c r="G191" s="1" t="s">
        <v>42</v>
      </c>
      <c r="H191" s="1">
        <v>2022.0</v>
      </c>
      <c r="I191" s="1" t="s">
        <v>240</v>
      </c>
      <c r="J191" s="1" t="s">
        <v>1272</v>
      </c>
      <c r="K191" s="1">
        <v>5.0</v>
      </c>
      <c r="L191" s="1" t="s">
        <v>1273</v>
      </c>
      <c r="M191" s="1">
        <v>0.0</v>
      </c>
    </row>
    <row r="192">
      <c r="A192" s="1">
        <v>40.0</v>
      </c>
      <c r="B192" s="1">
        <v>1.0</v>
      </c>
      <c r="C192" s="1">
        <v>0.968902101323447</v>
      </c>
      <c r="D192" s="1" t="s">
        <v>28</v>
      </c>
      <c r="E192" s="1" t="s">
        <v>24</v>
      </c>
      <c r="F192" s="1" t="s">
        <v>18</v>
      </c>
      <c r="G192" s="1" t="s">
        <v>26</v>
      </c>
      <c r="H192" s="1">
        <v>2018.0</v>
      </c>
      <c r="I192" s="1" t="s">
        <v>12</v>
      </c>
      <c r="J192" s="1" t="s">
        <v>1272</v>
      </c>
      <c r="K192" s="1">
        <v>5.0</v>
      </c>
      <c r="L192" s="1" t="s">
        <v>1273</v>
      </c>
      <c r="M192" s="1">
        <v>-1.0</v>
      </c>
    </row>
    <row r="193">
      <c r="A193" s="1">
        <v>395.0</v>
      </c>
      <c r="B193" s="1">
        <v>2.0</v>
      </c>
      <c r="C193" s="1">
        <v>0.968883395780843</v>
      </c>
      <c r="D193" s="1" t="s">
        <v>372</v>
      </c>
      <c r="E193" s="1" t="s">
        <v>17</v>
      </c>
      <c r="F193" s="1" t="s">
        <v>18</v>
      </c>
      <c r="G193" s="1">
        <v>8.0</v>
      </c>
      <c r="H193" s="1">
        <v>2024.0</v>
      </c>
      <c r="I193" s="1" t="s">
        <v>240</v>
      </c>
      <c r="J193" s="1" t="s">
        <v>1272</v>
      </c>
      <c r="K193" s="1">
        <v>5.0</v>
      </c>
      <c r="L193" s="1" t="s">
        <v>1273</v>
      </c>
      <c r="M193" s="1">
        <v>5.0</v>
      </c>
    </row>
    <row r="194">
      <c r="A194" s="1">
        <v>45.0</v>
      </c>
      <c r="B194" s="1">
        <v>2.0</v>
      </c>
      <c r="C194" s="1">
        <v>0.968789269492653</v>
      </c>
      <c r="D194" s="1" t="s">
        <v>69</v>
      </c>
      <c r="E194" s="1" t="s">
        <v>45</v>
      </c>
      <c r="F194" s="1" t="s">
        <v>65</v>
      </c>
      <c r="G194" s="1" t="s">
        <v>1274</v>
      </c>
      <c r="H194" s="1">
        <v>2019.0</v>
      </c>
      <c r="I194" s="1" t="s">
        <v>12</v>
      </c>
      <c r="J194" s="1" t="s">
        <v>1272</v>
      </c>
      <c r="K194" s="1">
        <v>5.0</v>
      </c>
      <c r="L194" s="1" t="s">
        <v>1273</v>
      </c>
      <c r="M194" s="1">
        <v>0.0</v>
      </c>
    </row>
    <row r="195">
      <c r="A195" s="1">
        <v>580.0</v>
      </c>
      <c r="B195" s="1">
        <v>4.0</v>
      </c>
      <c r="C195" s="1">
        <v>0.968221257583739</v>
      </c>
      <c r="D195" s="1" t="s">
        <v>532</v>
      </c>
      <c r="E195" s="1" t="s">
        <v>187</v>
      </c>
      <c r="F195" s="1" t="s">
        <v>1274</v>
      </c>
      <c r="G195" s="1" t="s">
        <v>1274</v>
      </c>
      <c r="H195" s="1" t="s">
        <v>1274</v>
      </c>
      <c r="I195" s="1" t="s">
        <v>240</v>
      </c>
      <c r="J195" s="1" t="s">
        <v>1272</v>
      </c>
      <c r="K195" s="1">
        <v>7.0</v>
      </c>
      <c r="L195" s="1" t="s">
        <v>1273</v>
      </c>
      <c r="M195" s="1">
        <v>2.0</v>
      </c>
    </row>
    <row r="196">
      <c r="A196" s="1">
        <v>1139.0</v>
      </c>
      <c r="B196" s="1">
        <v>2.0</v>
      </c>
      <c r="C196" s="1">
        <v>0.968214389560191</v>
      </c>
      <c r="D196" s="1" t="s">
        <v>1023</v>
      </c>
      <c r="E196" s="1" t="s">
        <v>17</v>
      </c>
      <c r="F196" s="1" t="s">
        <v>18</v>
      </c>
      <c r="G196" s="1">
        <v>10.0</v>
      </c>
      <c r="H196" s="1">
        <v>2023.0</v>
      </c>
      <c r="I196" s="1" t="s">
        <v>861</v>
      </c>
      <c r="J196" s="1" t="s">
        <v>1272</v>
      </c>
      <c r="K196" s="1">
        <v>7.0</v>
      </c>
      <c r="L196" s="1" t="s">
        <v>1273</v>
      </c>
      <c r="M196" s="1">
        <v>0.0</v>
      </c>
    </row>
    <row r="197">
      <c r="A197" s="1">
        <v>416.0</v>
      </c>
      <c r="B197" s="1">
        <v>4.0</v>
      </c>
      <c r="C197" s="1">
        <v>0.96820958268745</v>
      </c>
      <c r="D197" s="1" t="s">
        <v>392</v>
      </c>
      <c r="E197" s="1" t="s">
        <v>24</v>
      </c>
      <c r="F197" s="1" t="s">
        <v>18</v>
      </c>
      <c r="G197" s="1" t="s">
        <v>42</v>
      </c>
      <c r="H197" s="1">
        <v>2024.0</v>
      </c>
      <c r="I197" s="1" t="s">
        <v>240</v>
      </c>
      <c r="J197" s="1" t="s">
        <v>1272</v>
      </c>
      <c r="K197" s="1">
        <v>7.0</v>
      </c>
      <c r="L197" s="1" t="s">
        <v>1273</v>
      </c>
      <c r="M197" s="1">
        <v>2.0</v>
      </c>
    </row>
    <row r="198">
      <c r="A198" s="1">
        <v>425.0</v>
      </c>
      <c r="B198" s="1">
        <v>4.0</v>
      </c>
      <c r="C198" s="1">
        <v>0.968205632248762</v>
      </c>
      <c r="D198" s="1" t="s">
        <v>400</v>
      </c>
      <c r="E198" s="1" t="s">
        <v>24</v>
      </c>
      <c r="F198" s="1" t="s">
        <v>18</v>
      </c>
      <c r="G198" s="1" t="s">
        <v>42</v>
      </c>
      <c r="H198" s="1">
        <v>2024.0</v>
      </c>
      <c r="I198" s="1" t="s">
        <v>240</v>
      </c>
      <c r="J198" s="1" t="s">
        <v>1272</v>
      </c>
      <c r="K198" s="1">
        <v>7.0</v>
      </c>
      <c r="L198" s="1" t="s">
        <v>1273</v>
      </c>
      <c r="M198" s="1">
        <v>-1.0</v>
      </c>
    </row>
    <row r="199">
      <c r="A199" s="1">
        <v>1075.0</v>
      </c>
      <c r="B199" s="1">
        <v>2.0</v>
      </c>
      <c r="C199" s="1">
        <v>0.968200339718378</v>
      </c>
      <c r="D199" s="1" t="s">
        <v>979</v>
      </c>
      <c r="E199" s="1" t="s">
        <v>17</v>
      </c>
      <c r="F199" s="1" t="s">
        <v>18</v>
      </c>
      <c r="G199" s="1">
        <v>9.0</v>
      </c>
      <c r="H199" s="1">
        <v>2023.0</v>
      </c>
      <c r="I199" s="1" t="s">
        <v>861</v>
      </c>
      <c r="J199" s="1" t="s">
        <v>1272</v>
      </c>
      <c r="K199" s="1">
        <v>7.0</v>
      </c>
      <c r="L199" s="1" t="s">
        <v>1273</v>
      </c>
      <c r="M199" s="1">
        <v>-1.0</v>
      </c>
    </row>
    <row r="200">
      <c r="A200" s="1">
        <v>549.0</v>
      </c>
      <c r="B200" s="1">
        <v>2.0</v>
      </c>
      <c r="C200" s="1">
        <v>0.968190478854008</v>
      </c>
      <c r="D200" s="1" t="s">
        <v>504</v>
      </c>
      <c r="E200" s="1" t="s">
        <v>47</v>
      </c>
      <c r="F200" s="1" t="s">
        <v>18</v>
      </c>
      <c r="G200" s="1" t="s">
        <v>1274</v>
      </c>
      <c r="H200" s="1">
        <v>2022.0</v>
      </c>
      <c r="I200" s="1" t="s">
        <v>240</v>
      </c>
      <c r="J200" s="1" t="s">
        <v>1272</v>
      </c>
      <c r="K200" s="1">
        <v>7.0</v>
      </c>
      <c r="L200" s="1" t="s">
        <v>1273</v>
      </c>
      <c r="M200" s="1">
        <v>-1.0</v>
      </c>
    </row>
    <row r="201">
      <c r="A201" s="1">
        <v>290.0</v>
      </c>
      <c r="B201" s="1">
        <v>2.0</v>
      </c>
      <c r="C201" s="1">
        <v>0.968190478854008</v>
      </c>
      <c r="D201" s="1" t="s">
        <v>283</v>
      </c>
      <c r="E201" s="1" t="s">
        <v>47</v>
      </c>
      <c r="F201" s="1" t="s">
        <v>1274</v>
      </c>
      <c r="G201" s="1" t="s">
        <v>284</v>
      </c>
      <c r="H201" s="1">
        <v>2022.0</v>
      </c>
      <c r="I201" s="1" t="s">
        <v>240</v>
      </c>
      <c r="J201" s="1" t="s">
        <v>1272</v>
      </c>
      <c r="K201" s="1">
        <v>7.0</v>
      </c>
      <c r="L201" s="1" t="s">
        <v>1273</v>
      </c>
      <c r="M201" s="1">
        <v>0.0</v>
      </c>
    </row>
    <row r="202">
      <c r="A202" s="1">
        <v>1140.0</v>
      </c>
      <c r="B202" s="1">
        <v>2.0</v>
      </c>
      <c r="C202" s="1">
        <v>0.968160056806212</v>
      </c>
      <c r="D202" s="1" t="s">
        <v>1024</v>
      </c>
      <c r="E202" s="1" t="s">
        <v>17</v>
      </c>
      <c r="F202" s="1" t="s">
        <v>18</v>
      </c>
      <c r="G202" s="1">
        <v>10.0</v>
      </c>
      <c r="H202" s="1">
        <v>2023.0</v>
      </c>
      <c r="I202" s="1" t="s">
        <v>861</v>
      </c>
      <c r="J202" s="1" t="s">
        <v>1272</v>
      </c>
      <c r="K202" s="1">
        <v>7.0</v>
      </c>
      <c r="L202" s="1" t="s">
        <v>1273</v>
      </c>
      <c r="M202" s="1">
        <v>0.0</v>
      </c>
    </row>
    <row r="203">
      <c r="A203" s="1">
        <v>391.0</v>
      </c>
      <c r="B203" s="1">
        <v>2.0</v>
      </c>
      <c r="C203" s="1">
        <v>0.968107318185587</v>
      </c>
      <c r="D203" s="1" t="s">
        <v>368</v>
      </c>
      <c r="E203" s="1" t="s">
        <v>1274</v>
      </c>
      <c r="F203" s="1" t="s">
        <v>1274</v>
      </c>
      <c r="G203" s="1" t="s">
        <v>1274</v>
      </c>
      <c r="H203" s="1">
        <v>2020.0</v>
      </c>
      <c r="I203" s="1" t="s">
        <v>240</v>
      </c>
      <c r="J203" s="1" t="s">
        <v>1272</v>
      </c>
      <c r="K203" s="1">
        <v>7.0</v>
      </c>
      <c r="L203" s="1" t="s">
        <v>1273</v>
      </c>
      <c r="M203" s="1">
        <v>0.0</v>
      </c>
    </row>
    <row r="204">
      <c r="A204" s="1">
        <v>348.0</v>
      </c>
      <c r="B204" s="1">
        <v>2.0</v>
      </c>
      <c r="C204" s="1">
        <v>0.96781467668088</v>
      </c>
      <c r="D204" s="1" t="s">
        <v>334</v>
      </c>
      <c r="E204" s="1" t="s">
        <v>45</v>
      </c>
      <c r="F204" s="1" t="s">
        <v>65</v>
      </c>
      <c r="G204" s="1" t="s">
        <v>1274</v>
      </c>
      <c r="H204" s="1">
        <v>2019.0</v>
      </c>
      <c r="I204" s="1" t="s">
        <v>240</v>
      </c>
      <c r="J204" s="1" t="s">
        <v>1272</v>
      </c>
      <c r="K204" s="1">
        <v>5.0</v>
      </c>
      <c r="L204" s="1" t="s">
        <v>1273</v>
      </c>
      <c r="M204" s="1">
        <v>-1.0</v>
      </c>
    </row>
    <row r="205">
      <c r="A205" s="1">
        <v>1018.0</v>
      </c>
      <c r="B205" s="1">
        <v>5.0</v>
      </c>
      <c r="C205" s="1">
        <v>0.967777056562343</v>
      </c>
      <c r="D205" s="1" t="s">
        <v>923</v>
      </c>
      <c r="E205" s="1" t="s">
        <v>58</v>
      </c>
      <c r="F205" s="1" t="s">
        <v>18</v>
      </c>
      <c r="G205" s="1" t="s">
        <v>42</v>
      </c>
      <c r="H205" s="1">
        <v>2024.0</v>
      </c>
      <c r="I205" s="1" t="s">
        <v>861</v>
      </c>
      <c r="J205" s="1" t="s">
        <v>1272</v>
      </c>
      <c r="K205" s="1">
        <v>5.0</v>
      </c>
      <c r="L205" s="1" t="s">
        <v>1273</v>
      </c>
      <c r="M205" s="1">
        <v>0.0</v>
      </c>
    </row>
    <row r="206">
      <c r="A206" s="1">
        <v>596.0</v>
      </c>
      <c r="B206" s="1">
        <v>2.0</v>
      </c>
      <c r="C206" s="1">
        <v>0.967770944003526</v>
      </c>
      <c r="D206" s="1" t="s">
        <v>548</v>
      </c>
      <c r="E206" s="1" t="s">
        <v>187</v>
      </c>
      <c r="F206" s="1" t="s">
        <v>1274</v>
      </c>
      <c r="G206" s="1" t="s">
        <v>1274</v>
      </c>
      <c r="H206" s="1" t="s">
        <v>1274</v>
      </c>
      <c r="I206" s="1" t="s">
        <v>240</v>
      </c>
      <c r="J206" s="1" t="s">
        <v>1272</v>
      </c>
      <c r="K206" s="1">
        <v>5.0</v>
      </c>
      <c r="L206" s="1" t="s">
        <v>1273</v>
      </c>
      <c r="M206" s="1">
        <v>-1.0</v>
      </c>
    </row>
    <row r="207">
      <c r="A207" s="1">
        <v>291.0</v>
      </c>
      <c r="B207" s="1">
        <v>2.0</v>
      </c>
      <c r="C207" s="1">
        <v>0.967764496967554</v>
      </c>
      <c r="D207" s="1" t="s">
        <v>285</v>
      </c>
      <c r="E207" s="1" t="s">
        <v>47</v>
      </c>
      <c r="F207" s="1" t="s">
        <v>1274</v>
      </c>
      <c r="G207" s="1" t="s">
        <v>284</v>
      </c>
      <c r="H207" s="1">
        <v>2022.0</v>
      </c>
      <c r="I207" s="1" t="s">
        <v>240</v>
      </c>
      <c r="J207" s="1" t="s">
        <v>1272</v>
      </c>
      <c r="K207" s="1">
        <v>5.0</v>
      </c>
      <c r="L207" s="1" t="s">
        <v>1273</v>
      </c>
      <c r="M207" s="1">
        <v>0.0</v>
      </c>
    </row>
    <row r="208">
      <c r="A208" s="1">
        <v>315.0</v>
      </c>
      <c r="B208" s="1">
        <v>2.0</v>
      </c>
      <c r="C208" s="1">
        <v>0.96767541895978</v>
      </c>
      <c r="D208" s="1" t="s">
        <v>303</v>
      </c>
      <c r="E208" s="1" t="s">
        <v>17</v>
      </c>
      <c r="F208" s="1" t="s">
        <v>18</v>
      </c>
      <c r="G208" s="1">
        <v>10.0</v>
      </c>
      <c r="H208" s="1">
        <v>2024.0</v>
      </c>
      <c r="I208" s="1" t="s">
        <v>240</v>
      </c>
      <c r="J208" s="1" t="s">
        <v>1272</v>
      </c>
      <c r="K208" s="1">
        <v>5.0</v>
      </c>
      <c r="L208" s="1" t="s">
        <v>1273</v>
      </c>
      <c r="M208" s="1">
        <v>0.0</v>
      </c>
    </row>
    <row r="209">
      <c r="A209" s="1">
        <v>410.0</v>
      </c>
      <c r="B209" s="1">
        <v>2.0</v>
      </c>
      <c r="C209" s="1">
        <v>0.967598223446493</v>
      </c>
      <c r="D209" s="1" t="s">
        <v>386</v>
      </c>
      <c r="E209" s="1" t="s">
        <v>24</v>
      </c>
      <c r="F209" s="1" t="s">
        <v>18</v>
      </c>
      <c r="G209" s="1" t="s">
        <v>42</v>
      </c>
      <c r="H209" s="1">
        <v>2024.0</v>
      </c>
      <c r="I209" s="1" t="s">
        <v>240</v>
      </c>
      <c r="J209" s="1" t="s">
        <v>1272</v>
      </c>
      <c r="K209" s="1">
        <v>5.0</v>
      </c>
      <c r="L209" s="1" t="s">
        <v>1273</v>
      </c>
      <c r="M209" s="1">
        <v>4.0</v>
      </c>
    </row>
    <row r="210">
      <c r="A210" s="1">
        <v>526.0</v>
      </c>
      <c r="B210" s="1">
        <v>2.0</v>
      </c>
      <c r="C210" s="1">
        <v>0.967592405226109</v>
      </c>
      <c r="D210" s="1" t="s">
        <v>487</v>
      </c>
      <c r="E210" s="1" t="s">
        <v>17</v>
      </c>
      <c r="F210" s="1" t="s">
        <v>18</v>
      </c>
      <c r="G210" s="1">
        <v>12.0</v>
      </c>
      <c r="H210" s="1">
        <v>2024.0</v>
      </c>
      <c r="I210" s="1" t="s">
        <v>240</v>
      </c>
      <c r="J210" s="1" t="s">
        <v>1272</v>
      </c>
      <c r="K210" s="1">
        <v>5.0</v>
      </c>
      <c r="L210" s="1" t="s">
        <v>1273</v>
      </c>
      <c r="M210" s="1">
        <v>-1.0</v>
      </c>
    </row>
    <row r="211">
      <c r="A211" s="1">
        <v>409.0</v>
      </c>
      <c r="B211" s="1">
        <v>2.0</v>
      </c>
      <c r="C211" s="1">
        <v>0.967591183951453</v>
      </c>
      <c r="D211" s="1" t="s">
        <v>385</v>
      </c>
      <c r="E211" s="1" t="s">
        <v>24</v>
      </c>
      <c r="F211" s="1" t="s">
        <v>18</v>
      </c>
      <c r="G211" s="1" t="s">
        <v>42</v>
      </c>
      <c r="H211" s="1">
        <v>2024.0</v>
      </c>
      <c r="I211" s="1" t="s">
        <v>240</v>
      </c>
      <c r="J211" s="1" t="s">
        <v>1272</v>
      </c>
      <c r="K211" s="1">
        <v>5.0</v>
      </c>
      <c r="L211" s="1" t="s">
        <v>1273</v>
      </c>
      <c r="M211" s="1">
        <v>4.0</v>
      </c>
    </row>
    <row r="212">
      <c r="A212" s="1">
        <v>86.0</v>
      </c>
      <c r="B212" s="1">
        <v>4.0</v>
      </c>
      <c r="C212" s="1">
        <v>0.967477078745928</v>
      </c>
      <c r="D212" s="1" t="s">
        <v>95</v>
      </c>
      <c r="E212" s="1" t="s">
        <v>17</v>
      </c>
      <c r="F212" s="1" t="s">
        <v>18</v>
      </c>
      <c r="G212" s="1" t="s">
        <v>1274</v>
      </c>
      <c r="H212" s="1" t="s">
        <v>1274</v>
      </c>
      <c r="I212" s="1" t="s">
        <v>12</v>
      </c>
      <c r="J212" s="1" t="s">
        <v>1272</v>
      </c>
      <c r="K212" s="1">
        <v>5.0</v>
      </c>
      <c r="L212" s="1" t="s">
        <v>1273</v>
      </c>
      <c r="M212" s="1">
        <v>0.0</v>
      </c>
    </row>
    <row r="213">
      <c r="A213" s="1">
        <v>53.0</v>
      </c>
      <c r="B213" s="1">
        <v>2.0</v>
      </c>
      <c r="C213" s="1">
        <v>0.967446560960206</v>
      </c>
      <c r="D213" s="1" t="s">
        <v>77</v>
      </c>
      <c r="E213" s="1" t="s">
        <v>45</v>
      </c>
      <c r="F213" s="1" t="s">
        <v>65</v>
      </c>
      <c r="G213" s="1" t="s">
        <v>1274</v>
      </c>
      <c r="H213" s="1">
        <v>2019.0</v>
      </c>
      <c r="I213" s="1" t="s">
        <v>12</v>
      </c>
      <c r="J213" s="1" t="s">
        <v>1272</v>
      </c>
      <c r="K213" s="1">
        <v>5.0</v>
      </c>
      <c r="L213" s="1" t="s">
        <v>1273</v>
      </c>
      <c r="M213" s="1">
        <v>-1.0</v>
      </c>
    </row>
    <row r="214">
      <c r="A214" s="1">
        <v>215.0</v>
      </c>
      <c r="B214" s="1">
        <v>3.0</v>
      </c>
      <c r="C214" s="1">
        <v>0.967396951490043</v>
      </c>
      <c r="D214" s="1" t="s">
        <v>216</v>
      </c>
      <c r="E214" s="1" t="s">
        <v>58</v>
      </c>
      <c r="F214" s="1" t="s">
        <v>59</v>
      </c>
      <c r="G214" s="2">
        <v>46153.0</v>
      </c>
      <c r="H214" s="1">
        <v>2024.0</v>
      </c>
      <c r="I214" s="1" t="s">
        <v>198</v>
      </c>
      <c r="J214" s="1" t="s">
        <v>1272</v>
      </c>
      <c r="K214" s="1">
        <v>5.0</v>
      </c>
      <c r="L214" s="1" t="s">
        <v>1273</v>
      </c>
      <c r="M214" s="1">
        <v>0.0</v>
      </c>
    </row>
    <row r="215">
      <c r="A215" s="1">
        <v>3.0</v>
      </c>
      <c r="B215" s="1">
        <v>2.0</v>
      </c>
      <c r="C215" s="1">
        <v>0.9673529073384</v>
      </c>
      <c r="D215" s="1" t="s">
        <v>15</v>
      </c>
      <c r="E215" s="1" t="s">
        <v>10</v>
      </c>
      <c r="F215" s="1" t="s">
        <v>1274</v>
      </c>
      <c r="G215" s="1" t="s">
        <v>11</v>
      </c>
      <c r="H215" s="1">
        <v>2024.0</v>
      </c>
      <c r="I215" s="1" t="s">
        <v>12</v>
      </c>
      <c r="J215" s="1" t="s">
        <v>1272</v>
      </c>
      <c r="K215" s="1">
        <v>5.0</v>
      </c>
      <c r="L215" s="1" t="s">
        <v>1273</v>
      </c>
      <c r="M215" s="1">
        <v>1.0</v>
      </c>
    </row>
    <row r="216">
      <c r="A216" s="1">
        <v>1132.0</v>
      </c>
      <c r="B216" s="1">
        <v>1.0</v>
      </c>
      <c r="C216" s="1">
        <v>0.966967039248195</v>
      </c>
      <c r="D216" s="1" t="s">
        <v>1015</v>
      </c>
      <c r="E216" s="1" t="s">
        <v>58</v>
      </c>
      <c r="F216" s="1" t="s">
        <v>59</v>
      </c>
      <c r="G216" s="2">
        <v>46153.0</v>
      </c>
      <c r="H216" s="1">
        <v>2024.0</v>
      </c>
      <c r="I216" s="1" t="s">
        <v>861</v>
      </c>
      <c r="J216" s="1" t="s">
        <v>1272</v>
      </c>
      <c r="K216" s="1">
        <v>7.0</v>
      </c>
      <c r="L216" s="1" t="s">
        <v>1273</v>
      </c>
      <c r="M216" s="1">
        <v>0.0</v>
      </c>
    </row>
    <row r="217">
      <c r="A217" s="1">
        <v>184.0</v>
      </c>
      <c r="B217" s="1">
        <v>5.0</v>
      </c>
      <c r="C217" s="1">
        <v>0.966953652272032</v>
      </c>
      <c r="D217" s="1" t="s">
        <v>196</v>
      </c>
      <c r="E217" s="1" t="s">
        <v>47</v>
      </c>
      <c r="F217" s="1" t="s">
        <v>197</v>
      </c>
      <c r="G217" s="1" t="s">
        <v>42</v>
      </c>
      <c r="H217" s="1">
        <v>2016.0</v>
      </c>
      <c r="I217" s="1" t="s">
        <v>198</v>
      </c>
      <c r="J217" s="1" t="s">
        <v>1272</v>
      </c>
      <c r="K217" s="1">
        <v>7.0</v>
      </c>
      <c r="L217" s="1" t="s">
        <v>1273</v>
      </c>
      <c r="M217" s="1">
        <v>0.0</v>
      </c>
    </row>
    <row r="218">
      <c r="A218" s="1">
        <v>927.0</v>
      </c>
      <c r="B218" s="1">
        <v>3.0</v>
      </c>
      <c r="C218" s="1">
        <v>0.96688949640932</v>
      </c>
      <c r="D218" s="1" t="s">
        <v>797</v>
      </c>
      <c r="E218" s="1" t="s">
        <v>47</v>
      </c>
      <c r="F218" s="1" t="s">
        <v>197</v>
      </c>
      <c r="G218" s="1" t="s">
        <v>42</v>
      </c>
      <c r="H218" s="1">
        <v>2016.0</v>
      </c>
      <c r="I218" s="1" t="s">
        <v>630</v>
      </c>
      <c r="J218" s="1" t="s">
        <v>1272</v>
      </c>
      <c r="K218" s="1">
        <v>5.0</v>
      </c>
      <c r="L218" s="1" t="s">
        <v>1273</v>
      </c>
      <c r="M218" s="1">
        <v>1.0</v>
      </c>
    </row>
    <row r="219">
      <c r="A219" s="1">
        <v>136.0</v>
      </c>
      <c r="B219" s="1">
        <v>2.0</v>
      </c>
      <c r="C219" s="1">
        <v>0.966659623131175</v>
      </c>
      <c r="D219" s="1" t="s">
        <v>153</v>
      </c>
      <c r="E219" s="1" t="s">
        <v>111</v>
      </c>
      <c r="F219" s="1" t="s">
        <v>1274</v>
      </c>
      <c r="G219" s="1" t="s">
        <v>42</v>
      </c>
      <c r="H219" s="1">
        <v>1983.0</v>
      </c>
      <c r="I219" s="1" t="s">
        <v>12</v>
      </c>
      <c r="J219" s="1" t="s">
        <v>1272</v>
      </c>
      <c r="K219" s="1">
        <v>10.0</v>
      </c>
      <c r="L219" s="1" t="s">
        <v>1273</v>
      </c>
      <c r="M219" s="1">
        <v>-1.0</v>
      </c>
    </row>
    <row r="220">
      <c r="A220" s="1">
        <v>317.0</v>
      </c>
      <c r="B220" s="1">
        <v>2.0</v>
      </c>
      <c r="C220" s="1">
        <v>0.966412627828437</v>
      </c>
      <c r="D220" s="1" t="s">
        <v>305</v>
      </c>
      <c r="E220" s="1" t="s">
        <v>45</v>
      </c>
      <c r="F220" s="1" t="s">
        <v>65</v>
      </c>
      <c r="G220" s="1" t="s">
        <v>1274</v>
      </c>
      <c r="H220" s="1">
        <v>2019.0</v>
      </c>
      <c r="I220" s="1" t="s">
        <v>240</v>
      </c>
      <c r="J220" s="1" t="s">
        <v>1272</v>
      </c>
      <c r="K220" s="1">
        <v>5.0</v>
      </c>
      <c r="L220" s="1" t="s">
        <v>1273</v>
      </c>
      <c r="M220" s="1">
        <v>4.0</v>
      </c>
    </row>
    <row r="221">
      <c r="A221" s="1">
        <v>262.0</v>
      </c>
      <c r="B221" s="1">
        <v>2.0</v>
      </c>
      <c r="C221" s="1">
        <v>0.96621516876473</v>
      </c>
      <c r="D221" s="1" t="s">
        <v>255</v>
      </c>
      <c r="E221" s="1" t="s">
        <v>17</v>
      </c>
      <c r="F221" s="1" t="s">
        <v>118</v>
      </c>
      <c r="G221" s="1" t="s">
        <v>1274</v>
      </c>
      <c r="H221" s="1">
        <v>2023.0</v>
      </c>
      <c r="I221" s="1" t="s">
        <v>240</v>
      </c>
      <c r="J221" s="1" t="s">
        <v>1272</v>
      </c>
      <c r="K221" s="1">
        <v>5.0</v>
      </c>
      <c r="L221" s="1" t="s">
        <v>1273</v>
      </c>
      <c r="M221" s="1">
        <v>-1.0</v>
      </c>
    </row>
    <row r="222">
      <c r="A222" s="1">
        <v>411.0</v>
      </c>
      <c r="B222" s="1">
        <v>2.0</v>
      </c>
      <c r="C222" s="1">
        <v>0.966207853339327</v>
      </c>
      <c r="D222" s="1" t="s">
        <v>387</v>
      </c>
      <c r="E222" s="1" t="s">
        <v>24</v>
      </c>
      <c r="F222" s="1" t="s">
        <v>18</v>
      </c>
      <c r="G222" s="1" t="s">
        <v>42</v>
      </c>
      <c r="H222" s="1">
        <v>2024.0</v>
      </c>
      <c r="I222" s="1" t="s">
        <v>240</v>
      </c>
      <c r="J222" s="1" t="s">
        <v>1272</v>
      </c>
      <c r="K222" s="1">
        <v>5.0</v>
      </c>
      <c r="L222" s="1" t="s">
        <v>1273</v>
      </c>
      <c r="M222" s="1">
        <v>4.0</v>
      </c>
    </row>
    <row r="223">
      <c r="A223" s="1">
        <v>109.0</v>
      </c>
      <c r="B223" s="1">
        <v>3.0</v>
      </c>
      <c r="C223" s="1">
        <v>0.966160211370397</v>
      </c>
      <c r="D223" s="1" t="s">
        <v>131</v>
      </c>
      <c r="E223" s="1" t="s">
        <v>50</v>
      </c>
      <c r="F223" s="1" t="s">
        <v>1274</v>
      </c>
      <c r="G223" s="2">
        <v>46213.0</v>
      </c>
      <c r="H223" s="1">
        <v>2002.0</v>
      </c>
      <c r="I223" s="1" t="s">
        <v>12</v>
      </c>
      <c r="J223" s="1" t="s">
        <v>1272</v>
      </c>
      <c r="K223" s="1">
        <v>5.0</v>
      </c>
      <c r="L223" s="1" t="s">
        <v>1273</v>
      </c>
      <c r="M223" s="1">
        <v>-1.0</v>
      </c>
    </row>
    <row r="224">
      <c r="A224" s="1">
        <v>339.0</v>
      </c>
      <c r="B224" s="1">
        <v>2.0</v>
      </c>
      <c r="C224" s="1">
        <v>0.966146537778893</v>
      </c>
      <c r="D224" s="1" t="s">
        <v>325</v>
      </c>
      <c r="E224" s="1" t="s">
        <v>45</v>
      </c>
      <c r="F224" s="1" t="s">
        <v>65</v>
      </c>
      <c r="G224" s="1" t="s">
        <v>1274</v>
      </c>
      <c r="H224" s="1">
        <v>2019.0</v>
      </c>
      <c r="I224" s="1" t="s">
        <v>240</v>
      </c>
      <c r="J224" s="1" t="s">
        <v>1272</v>
      </c>
      <c r="K224" s="1">
        <v>5.0</v>
      </c>
      <c r="L224" s="1" t="s">
        <v>1273</v>
      </c>
      <c r="M224" s="1">
        <v>0.0</v>
      </c>
    </row>
    <row r="225">
      <c r="A225" s="1">
        <v>686.0</v>
      </c>
      <c r="B225" s="1">
        <v>4.0</v>
      </c>
      <c r="C225" s="1">
        <v>0.966017881208095</v>
      </c>
      <c r="D225" s="1" t="s">
        <v>625</v>
      </c>
      <c r="E225" s="1" t="s">
        <v>24</v>
      </c>
      <c r="F225" s="1" t="s">
        <v>18</v>
      </c>
      <c r="G225" s="1" t="s">
        <v>42</v>
      </c>
      <c r="H225" s="1">
        <v>2024.0</v>
      </c>
      <c r="I225" s="1" t="s">
        <v>240</v>
      </c>
      <c r="J225" s="1" t="s">
        <v>1272</v>
      </c>
      <c r="K225" s="1">
        <v>5.0</v>
      </c>
      <c r="L225" s="1" t="s">
        <v>1273</v>
      </c>
      <c r="M225" s="1">
        <v>-1.0</v>
      </c>
    </row>
    <row r="226">
      <c r="A226" s="1">
        <v>263.0</v>
      </c>
      <c r="B226" s="1">
        <v>2.0</v>
      </c>
      <c r="C226" s="1">
        <v>0.966006107884528</v>
      </c>
      <c r="D226" s="1" t="s">
        <v>256</v>
      </c>
      <c r="E226" s="1" t="s">
        <v>17</v>
      </c>
      <c r="F226" s="1" t="s">
        <v>118</v>
      </c>
      <c r="G226" s="1" t="s">
        <v>1274</v>
      </c>
      <c r="H226" s="1">
        <v>2023.0</v>
      </c>
      <c r="I226" s="1" t="s">
        <v>240</v>
      </c>
      <c r="J226" s="1" t="s">
        <v>1272</v>
      </c>
      <c r="K226" s="1">
        <v>5.0</v>
      </c>
      <c r="L226" s="1" t="s">
        <v>1273</v>
      </c>
      <c r="M226" s="1">
        <v>12.0</v>
      </c>
    </row>
    <row r="227">
      <c r="A227" s="1">
        <v>619.0</v>
      </c>
      <c r="B227" s="1">
        <v>2.0</v>
      </c>
      <c r="C227" s="1">
        <v>0.965936832147788</v>
      </c>
      <c r="D227" s="1" t="s">
        <v>571</v>
      </c>
      <c r="E227" s="1" t="s">
        <v>45</v>
      </c>
      <c r="F227" s="1" t="s">
        <v>18</v>
      </c>
      <c r="G227" s="1" t="s">
        <v>1274</v>
      </c>
      <c r="H227" s="1">
        <v>2022.0</v>
      </c>
      <c r="I227" s="1" t="s">
        <v>240</v>
      </c>
      <c r="J227" s="1" t="s">
        <v>1272</v>
      </c>
      <c r="K227" s="1">
        <v>5.0</v>
      </c>
      <c r="L227" s="1" t="s">
        <v>1273</v>
      </c>
      <c r="M227" s="1">
        <v>4.0</v>
      </c>
    </row>
    <row r="228">
      <c r="A228" s="1">
        <v>230.0</v>
      </c>
      <c r="B228" s="1">
        <v>2.0</v>
      </c>
      <c r="C228" s="1">
        <v>0.965671333201962</v>
      </c>
      <c r="D228" s="1" t="s">
        <v>227</v>
      </c>
      <c r="E228" s="1" t="s">
        <v>17</v>
      </c>
      <c r="F228" s="1" t="s">
        <v>165</v>
      </c>
      <c r="G228" s="1" t="s">
        <v>1274</v>
      </c>
      <c r="H228" s="1" t="s">
        <v>1274</v>
      </c>
      <c r="I228" s="1" t="s">
        <v>198</v>
      </c>
      <c r="J228" s="1" t="s">
        <v>1272</v>
      </c>
      <c r="K228" s="1">
        <v>7.0</v>
      </c>
      <c r="L228" s="1" t="s">
        <v>1273</v>
      </c>
      <c r="M228" s="1">
        <v>16.0</v>
      </c>
    </row>
    <row r="229">
      <c r="A229" s="1">
        <v>779.0</v>
      </c>
      <c r="B229" s="1">
        <v>3.0</v>
      </c>
      <c r="C229" s="1">
        <v>0.965661418493545</v>
      </c>
      <c r="D229" s="1" t="s">
        <v>715</v>
      </c>
      <c r="E229" s="1" t="s">
        <v>1274</v>
      </c>
      <c r="F229" s="1" t="s">
        <v>1274</v>
      </c>
      <c r="G229" s="1" t="s">
        <v>1274</v>
      </c>
      <c r="H229" s="1">
        <v>2006.0</v>
      </c>
      <c r="I229" s="1" t="s">
        <v>630</v>
      </c>
      <c r="J229" s="1" t="s">
        <v>1272</v>
      </c>
      <c r="K229" s="1">
        <v>7.0</v>
      </c>
      <c r="L229" s="1" t="s">
        <v>1273</v>
      </c>
      <c r="M229" s="1">
        <v>17.0</v>
      </c>
    </row>
    <row r="230">
      <c r="A230" s="1">
        <v>597.0</v>
      </c>
      <c r="B230" s="1">
        <v>4.0</v>
      </c>
      <c r="C230" s="1">
        <v>0.965660627635924</v>
      </c>
      <c r="D230" s="1" t="s">
        <v>549</v>
      </c>
      <c r="E230" s="1" t="s">
        <v>187</v>
      </c>
      <c r="F230" s="1" t="s">
        <v>1274</v>
      </c>
      <c r="G230" s="1" t="s">
        <v>1274</v>
      </c>
      <c r="H230" s="1" t="s">
        <v>1274</v>
      </c>
      <c r="I230" s="1" t="s">
        <v>240</v>
      </c>
      <c r="J230" s="1" t="s">
        <v>1272</v>
      </c>
      <c r="K230" s="1">
        <v>7.0</v>
      </c>
      <c r="L230" s="1" t="s">
        <v>1273</v>
      </c>
      <c r="M230" s="1">
        <v>-1.0</v>
      </c>
    </row>
    <row r="231">
      <c r="A231" s="1">
        <v>406.0</v>
      </c>
      <c r="B231" s="1">
        <v>4.0</v>
      </c>
      <c r="C231" s="1">
        <v>0.965653394096084</v>
      </c>
      <c r="D231" s="1" t="s">
        <v>383</v>
      </c>
      <c r="E231" s="1" t="s">
        <v>50</v>
      </c>
      <c r="F231" s="1" t="s">
        <v>18</v>
      </c>
      <c r="G231" s="1" t="s">
        <v>382</v>
      </c>
      <c r="H231" s="1">
        <v>2022.0</v>
      </c>
      <c r="I231" s="1" t="s">
        <v>240</v>
      </c>
      <c r="J231" s="1" t="s">
        <v>1272</v>
      </c>
      <c r="K231" s="1">
        <v>7.0</v>
      </c>
      <c r="L231" s="1" t="s">
        <v>1273</v>
      </c>
      <c r="M231" s="1">
        <v>2.0</v>
      </c>
    </row>
    <row r="232">
      <c r="A232" s="1">
        <v>105.0</v>
      </c>
      <c r="B232" s="1">
        <v>5.0</v>
      </c>
      <c r="C232" s="1">
        <v>0.965647524072968</v>
      </c>
      <c r="D232" s="1" t="s">
        <v>127</v>
      </c>
      <c r="E232" s="1" t="s">
        <v>24</v>
      </c>
      <c r="F232" s="1" t="s">
        <v>25</v>
      </c>
      <c r="G232" s="1" t="s">
        <v>126</v>
      </c>
      <c r="H232" s="1">
        <v>2018.0</v>
      </c>
      <c r="I232" s="1" t="s">
        <v>12</v>
      </c>
      <c r="J232" s="1" t="s">
        <v>1272</v>
      </c>
      <c r="K232" s="1">
        <v>7.0</v>
      </c>
      <c r="L232" s="1" t="s">
        <v>1273</v>
      </c>
      <c r="M232" s="1">
        <v>8.0</v>
      </c>
    </row>
    <row r="233">
      <c r="A233" s="1">
        <v>1141.0</v>
      </c>
      <c r="B233" s="1">
        <v>2.0</v>
      </c>
      <c r="C233" s="1">
        <v>0.965602790563499</v>
      </c>
      <c r="D233" s="1" t="s">
        <v>1025</v>
      </c>
      <c r="E233" s="1" t="s">
        <v>17</v>
      </c>
      <c r="F233" s="1" t="s">
        <v>18</v>
      </c>
      <c r="G233" s="1">
        <v>10.0</v>
      </c>
      <c r="H233" s="1">
        <v>2023.0</v>
      </c>
      <c r="I233" s="1" t="s">
        <v>861</v>
      </c>
      <c r="J233" s="1" t="s">
        <v>1272</v>
      </c>
      <c r="K233" s="1">
        <v>7.0</v>
      </c>
      <c r="L233" s="1" t="s">
        <v>1273</v>
      </c>
      <c r="M233" s="1">
        <v>0.0</v>
      </c>
    </row>
    <row r="234">
      <c r="A234" s="1">
        <v>32.0</v>
      </c>
      <c r="B234" s="1">
        <v>2.0</v>
      </c>
      <c r="C234" s="1">
        <v>0.965595727019003</v>
      </c>
      <c r="D234" s="1" t="s">
        <v>56</v>
      </c>
      <c r="E234" s="1" t="s">
        <v>50</v>
      </c>
      <c r="F234" s="1" t="s">
        <v>1274</v>
      </c>
      <c r="G234" s="2">
        <v>46148.0</v>
      </c>
      <c r="H234" s="1" t="s">
        <v>1274</v>
      </c>
      <c r="I234" s="1" t="s">
        <v>12</v>
      </c>
      <c r="J234" s="1" t="s">
        <v>1272</v>
      </c>
      <c r="K234" s="1">
        <v>7.0</v>
      </c>
      <c r="L234" s="1" t="s">
        <v>1273</v>
      </c>
      <c r="M234" s="1">
        <v>3.0</v>
      </c>
    </row>
    <row r="235">
      <c r="A235" s="1">
        <v>41.0</v>
      </c>
      <c r="B235" s="1">
        <v>6.0</v>
      </c>
      <c r="C235" s="1">
        <v>0.965570644762063</v>
      </c>
      <c r="D235" s="1" t="s">
        <v>64</v>
      </c>
      <c r="E235" s="1" t="s">
        <v>45</v>
      </c>
      <c r="F235" s="1" t="s">
        <v>65</v>
      </c>
      <c r="G235" s="1" t="s">
        <v>1274</v>
      </c>
      <c r="H235" s="1">
        <v>2019.0</v>
      </c>
      <c r="I235" s="1" t="s">
        <v>12</v>
      </c>
      <c r="J235" s="1" t="s">
        <v>1272</v>
      </c>
      <c r="K235" s="1">
        <v>7.0</v>
      </c>
      <c r="L235" s="1" t="s">
        <v>1273</v>
      </c>
      <c r="M235" s="1">
        <v>6.0</v>
      </c>
    </row>
    <row r="236">
      <c r="A236" s="1">
        <v>99.0</v>
      </c>
      <c r="B236" s="1">
        <v>2.0</v>
      </c>
      <c r="C236" s="1">
        <v>0.96556605783825</v>
      </c>
      <c r="D236" s="1" t="s">
        <v>119</v>
      </c>
      <c r="E236" s="1" t="s">
        <v>17</v>
      </c>
      <c r="F236" s="1" t="s">
        <v>118</v>
      </c>
      <c r="G236" s="1" t="s">
        <v>1274</v>
      </c>
      <c r="H236" s="1">
        <v>2023.0</v>
      </c>
      <c r="I236" s="1" t="s">
        <v>12</v>
      </c>
      <c r="J236" s="1" t="s">
        <v>1272</v>
      </c>
      <c r="K236" s="1">
        <v>7.0</v>
      </c>
      <c r="L236" s="1" t="s">
        <v>1273</v>
      </c>
      <c r="M236" s="1">
        <v>-1.0</v>
      </c>
    </row>
    <row r="237">
      <c r="A237" s="1">
        <v>270.0</v>
      </c>
      <c r="B237" s="1">
        <v>2.0</v>
      </c>
      <c r="C237" s="1">
        <v>0.965560508228567</v>
      </c>
      <c r="D237" s="1" t="s">
        <v>263</v>
      </c>
      <c r="E237" s="1" t="s">
        <v>10</v>
      </c>
      <c r="F237" s="1" t="s">
        <v>18</v>
      </c>
      <c r="G237" s="1" t="s">
        <v>42</v>
      </c>
      <c r="H237" s="1">
        <v>2022.0</v>
      </c>
      <c r="I237" s="1" t="s">
        <v>240</v>
      </c>
      <c r="J237" s="1" t="s">
        <v>1272</v>
      </c>
      <c r="K237" s="1">
        <v>7.0</v>
      </c>
      <c r="L237" s="1" t="s">
        <v>1273</v>
      </c>
      <c r="M237" s="1">
        <v>-1.0</v>
      </c>
    </row>
    <row r="238">
      <c r="A238" s="1">
        <v>1088.0</v>
      </c>
      <c r="B238" s="1">
        <v>2.0</v>
      </c>
      <c r="C238" s="1">
        <v>0.965091733865188</v>
      </c>
      <c r="D238" s="1" t="s">
        <v>220</v>
      </c>
      <c r="E238" s="1" t="s">
        <v>10</v>
      </c>
      <c r="F238" s="1" t="s">
        <v>97</v>
      </c>
      <c r="G238" s="1" t="s">
        <v>1274</v>
      </c>
      <c r="H238" s="1">
        <v>2020.0</v>
      </c>
      <c r="I238" s="1" t="s">
        <v>861</v>
      </c>
      <c r="J238" s="1" t="s">
        <v>1272</v>
      </c>
      <c r="K238" s="1">
        <v>5.0</v>
      </c>
      <c r="L238" s="1" t="s">
        <v>1273</v>
      </c>
      <c r="M238" s="1">
        <v>12.0</v>
      </c>
    </row>
    <row r="239">
      <c r="A239" s="1">
        <v>489.0</v>
      </c>
      <c r="B239" s="1">
        <v>2.0</v>
      </c>
      <c r="C239" s="1">
        <v>0.965069063163157</v>
      </c>
      <c r="D239" s="1" t="s">
        <v>450</v>
      </c>
      <c r="E239" s="1" t="s">
        <v>10</v>
      </c>
      <c r="F239" s="1" t="s">
        <v>97</v>
      </c>
      <c r="G239" s="1" t="s">
        <v>11</v>
      </c>
      <c r="H239" s="1">
        <v>2011.0</v>
      </c>
      <c r="I239" s="1" t="s">
        <v>240</v>
      </c>
      <c r="J239" s="1" t="s">
        <v>1272</v>
      </c>
      <c r="K239" s="1">
        <v>5.0</v>
      </c>
      <c r="L239" s="1" t="s">
        <v>1273</v>
      </c>
      <c r="M239" s="1">
        <v>-1.0</v>
      </c>
    </row>
    <row r="240">
      <c r="A240" s="1">
        <v>255.0</v>
      </c>
      <c r="B240" s="1">
        <v>2.0</v>
      </c>
      <c r="C240" s="1">
        <v>0.964988192202696</v>
      </c>
      <c r="D240" s="1" t="s">
        <v>248</v>
      </c>
      <c r="E240" s="1" t="s">
        <v>58</v>
      </c>
      <c r="F240" s="1" t="s">
        <v>1274</v>
      </c>
      <c r="G240" s="1" t="s">
        <v>26</v>
      </c>
      <c r="H240" s="1">
        <v>2023.0</v>
      </c>
      <c r="I240" s="1" t="s">
        <v>240</v>
      </c>
      <c r="J240" s="1" t="s">
        <v>1272</v>
      </c>
      <c r="K240" s="1">
        <v>5.0</v>
      </c>
      <c r="L240" s="1" t="s">
        <v>1273</v>
      </c>
      <c r="M240" s="1">
        <v>0.0</v>
      </c>
    </row>
    <row r="241">
      <c r="A241" s="1">
        <v>487.0</v>
      </c>
      <c r="B241" s="1">
        <v>2.0</v>
      </c>
      <c r="C241" s="1">
        <v>0.964848556734625</v>
      </c>
      <c r="D241" s="1" t="s">
        <v>448</v>
      </c>
      <c r="E241" s="1" t="s">
        <v>10</v>
      </c>
      <c r="F241" s="1" t="s">
        <v>97</v>
      </c>
      <c r="G241" s="1" t="s">
        <v>11</v>
      </c>
      <c r="H241" s="1">
        <v>2011.0</v>
      </c>
      <c r="I241" s="1" t="s">
        <v>240</v>
      </c>
      <c r="J241" s="1" t="s">
        <v>1272</v>
      </c>
      <c r="K241" s="1">
        <v>5.0</v>
      </c>
      <c r="L241" s="1" t="s">
        <v>1273</v>
      </c>
      <c r="M241" s="1">
        <v>-1.0</v>
      </c>
    </row>
    <row r="242">
      <c r="A242" s="1">
        <v>484.0</v>
      </c>
      <c r="B242" s="1">
        <v>2.0</v>
      </c>
      <c r="C242" s="1">
        <v>0.964814064417153</v>
      </c>
      <c r="D242" s="1" t="s">
        <v>445</v>
      </c>
      <c r="E242" s="1" t="s">
        <v>10</v>
      </c>
      <c r="F242" s="1" t="s">
        <v>97</v>
      </c>
      <c r="G242" s="1" t="s">
        <v>11</v>
      </c>
      <c r="H242" s="1">
        <v>2011.0</v>
      </c>
      <c r="I242" s="1" t="s">
        <v>240</v>
      </c>
      <c r="J242" s="1" t="s">
        <v>1272</v>
      </c>
      <c r="K242" s="1">
        <v>5.0</v>
      </c>
      <c r="L242" s="1" t="s">
        <v>1273</v>
      </c>
      <c r="M242" s="1">
        <v>-1.0</v>
      </c>
    </row>
    <row r="243">
      <c r="A243" s="1">
        <v>762.0</v>
      </c>
      <c r="B243" s="1">
        <v>3.0</v>
      </c>
      <c r="C243" s="1">
        <v>0.964808882803951</v>
      </c>
      <c r="D243" s="1" t="s">
        <v>698</v>
      </c>
      <c r="E243" s="1" t="s">
        <v>58</v>
      </c>
      <c r="F243" s="1" t="s">
        <v>1274</v>
      </c>
      <c r="G243" s="1" t="s">
        <v>42</v>
      </c>
      <c r="H243" s="1">
        <v>2024.0</v>
      </c>
      <c r="I243" s="1" t="s">
        <v>630</v>
      </c>
      <c r="J243" s="1" t="s">
        <v>1272</v>
      </c>
      <c r="K243" s="1">
        <v>5.0</v>
      </c>
      <c r="L243" s="1" t="s">
        <v>1273</v>
      </c>
      <c r="M243" s="1">
        <v>-1.0</v>
      </c>
    </row>
    <row r="244">
      <c r="A244" s="1">
        <v>200.0</v>
      </c>
      <c r="B244" s="1">
        <v>3.0</v>
      </c>
      <c r="C244" s="1">
        <v>0.964589534889985</v>
      </c>
      <c r="D244" s="1" t="s">
        <v>210</v>
      </c>
      <c r="E244" s="1" t="s">
        <v>58</v>
      </c>
      <c r="F244" s="1" t="s">
        <v>18</v>
      </c>
      <c r="G244" s="1" t="s">
        <v>42</v>
      </c>
      <c r="H244" s="1">
        <v>2024.0</v>
      </c>
      <c r="I244" s="1" t="s">
        <v>198</v>
      </c>
      <c r="J244" s="1" t="s">
        <v>1272</v>
      </c>
      <c r="K244" s="1">
        <v>5.0</v>
      </c>
      <c r="L244" s="1" t="s">
        <v>1273</v>
      </c>
      <c r="M244" s="1">
        <v>0.0</v>
      </c>
    </row>
    <row r="245">
      <c r="A245" s="1">
        <v>459.0</v>
      </c>
      <c r="B245" s="1">
        <v>4.0</v>
      </c>
      <c r="C245" s="1">
        <v>0.964233378821397</v>
      </c>
      <c r="D245" s="1" t="s">
        <v>429</v>
      </c>
      <c r="E245" s="1" t="s">
        <v>187</v>
      </c>
      <c r="F245" s="1" t="s">
        <v>1274</v>
      </c>
      <c r="G245" s="1" t="s">
        <v>11</v>
      </c>
      <c r="H245" s="1">
        <v>2019.0</v>
      </c>
      <c r="I245" s="1" t="s">
        <v>240</v>
      </c>
      <c r="J245" s="1" t="s">
        <v>1272</v>
      </c>
      <c r="K245" s="1">
        <v>7.0</v>
      </c>
      <c r="L245" s="1" t="s">
        <v>1273</v>
      </c>
      <c r="M245" s="1">
        <v>-1.0</v>
      </c>
    </row>
    <row r="246">
      <c r="A246" s="1">
        <v>932.0</v>
      </c>
      <c r="B246" s="1">
        <v>2.0</v>
      </c>
      <c r="C246" s="1">
        <v>0.96422847508324</v>
      </c>
      <c r="D246" s="1" t="s">
        <v>802</v>
      </c>
      <c r="E246" s="1" t="s">
        <v>47</v>
      </c>
      <c r="F246" s="1" t="s">
        <v>197</v>
      </c>
      <c r="G246" s="1" t="s">
        <v>42</v>
      </c>
      <c r="H246" s="1">
        <v>2016.0</v>
      </c>
      <c r="I246" s="1" t="s">
        <v>630</v>
      </c>
      <c r="J246" s="1" t="s">
        <v>1272</v>
      </c>
      <c r="K246" s="1">
        <v>7.0</v>
      </c>
      <c r="L246" s="1" t="s">
        <v>1273</v>
      </c>
      <c r="M246" s="1">
        <v>-1.0</v>
      </c>
    </row>
    <row r="247">
      <c r="A247" s="1">
        <v>124.0</v>
      </c>
      <c r="B247" s="1">
        <v>2.0</v>
      </c>
      <c r="C247" s="1">
        <v>0.964140646850273</v>
      </c>
      <c r="D247" s="1" t="s">
        <v>144</v>
      </c>
      <c r="E247" s="1" t="s">
        <v>111</v>
      </c>
      <c r="F247" s="1" t="s">
        <v>18</v>
      </c>
      <c r="G247" s="1" t="s">
        <v>42</v>
      </c>
      <c r="H247" s="1" t="s">
        <v>1274</v>
      </c>
      <c r="I247" s="1" t="s">
        <v>12</v>
      </c>
      <c r="J247" s="1" t="s">
        <v>1272</v>
      </c>
      <c r="K247" s="1">
        <v>7.0</v>
      </c>
      <c r="L247" s="1" t="s">
        <v>1273</v>
      </c>
      <c r="M247" s="1">
        <v>6.0</v>
      </c>
    </row>
    <row r="248">
      <c r="A248" s="1">
        <v>126.0</v>
      </c>
      <c r="B248" s="1">
        <v>7.0</v>
      </c>
      <c r="C248" s="1">
        <v>0.96399802177323</v>
      </c>
      <c r="D248" s="1" t="s">
        <v>146</v>
      </c>
      <c r="E248" s="1" t="s">
        <v>111</v>
      </c>
      <c r="F248" s="1" t="s">
        <v>18</v>
      </c>
      <c r="G248" s="1" t="s">
        <v>42</v>
      </c>
      <c r="H248" s="1" t="s">
        <v>1274</v>
      </c>
      <c r="I248" s="1" t="s">
        <v>12</v>
      </c>
      <c r="J248" s="1" t="s">
        <v>1272</v>
      </c>
      <c r="K248" s="1">
        <v>10.0</v>
      </c>
      <c r="L248" s="1" t="s">
        <v>1273</v>
      </c>
      <c r="M248" s="1">
        <v>6.0</v>
      </c>
    </row>
    <row r="249">
      <c r="A249" s="1">
        <v>25.0</v>
      </c>
      <c r="B249" s="1">
        <v>2.0</v>
      </c>
      <c r="C249" s="1">
        <v>0.963995987376217</v>
      </c>
      <c r="D249" s="1" t="s">
        <v>48</v>
      </c>
      <c r="E249" s="1" t="s">
        <v>47</v>
      </c>
      <c r="F249" s="1" t="s">
        <v>18</v>
      </c>
      <c r="G249" s="1" t="s">
        <v>1274</v>
      </c>
      <c r="H249" s="1">
        <v>2016.0</v>
      </c>
      <c r="I249" s="1" t="s">
        <v>12</v>
      </c>
      <c r="J249" s="1" t="s">
        <v>1272</v>
      </c>
      <c r="K249" s="1">
        <v>10.0</v>
      </c>
      <c r="L249" s="1" t="s">
        <v>1273</v>
      </c>
      <c r="M249" s="1">
        <v>0.0</v>
      </c>
    </row>
    <row r="250">
      <c r="A250" s="1">
        <v>626.0</v>
      </c>
      <c r="B250" s="1">
        <v>2.0</v>
      </c>
      <c r="C250" s="1">
        <v>0.963518015379971</v>
      </c>
      <c r="D250" s="1" t="s">
        <v>578</v>
      </c>
      <c r="E250" s="1" t="s">
        <v>45</v>
      </c>
      <c r="F250" s="1" t="s">
        <v>18</v>
      </c>
      <c r="G250" s="1" t="s">
        <v>1274</v>
      </c>
      <c r="H250" s="1">
        <v>2022.0</v>
      </c>
      <c r="I250" s="1" t="s">
        <v>240</v>
      </c>
      <c r="J250" s="1" t="s">
        <v>1272</v>
      </c>
      <c r="K250" s="1">
        <v>5.0</v>
      </c>
      <c r="L250" s="1" t="s">
        <v>1273</v>
      </c>
      <c r="M250" s="1">
        <v>6.0</v>
      </c>
    </row>
    <row r="251">
      <c r="A251" s="1">
        <v>393.0</v>
      </c>
      <c r="B251" s="1">
        <v>2.0</v>
      </c>
      <c r="C251" s="1">
        <v>0.963493297230196</v>
      </c>
      <c r="D251" s="1" t="s">
        <v>370</v>
      </c>
      <c r="E251" s="1" t="s">
        <v>17</v>
      </c>
      <c r="F251" s="1" t="s">
        <v>18</v>
      </c>
      <c r="G251" s="1">
        <v>9.0</v>
      </c>
      <c r="H251" s="1">
        <v>2024.0</v>
      </c>
      <c r="I251" s="1" t="s">
        <v>240</v>
      </c>
      <c r="J251" s="1" t="s">
        <v>1272</v>
      </c>
      <c r="K251" s="1">
        <v>5.0</v>
      </c>
      <c r="L251" s="1" t="s">
        <v>1273</v>
      </c>
      <c r="M251" s="1">
        <v>-1.0</v>
      </c>
    </row>
    <row r="252">
      <c r="A252" s="1">
        <v>302.0</v>
      </c>
      <c r="B252" s="1">
        <v>4.0</v>
      </c>
      <c r="C252" s="1">
        <v>0.963142812832421</v>
      </c>
      <c r="D252" s="1" t="s">
        <v>290</v>
      </c>
      <c r="E252" s="1" t="s">
        <v>24</v>
      </c>
      <c r="F252" s="1" t="s">
        <v>18</v>
      </c>
      <c r="G252" s="1" t="s">
        <v>42</v>
      </c>
      <c r="H252" s="1">
        <v>2024.0</v>
      </c>
      <c r="I252" s="1" t="s">
        <v>240</v>
      </c>
      <c r="J252" s="1" t="s">
        <v>1272</v>
      </c>
      <c r="K252" s="1">
        <v>5.0</v>
      </c>
      <c r="L252" s="1" t="s">
        <v>1273</v>
      </c>
      <c r="M252" s="1">
        <v>-1.0</v>
      </c>
    </row>
    <row r="253">
      <c r="A253" s="1">
        <v>247.0</v>
      </c>
      <c r="B253" s="1">
        <v>2.0</v>
      </c>
      <c r="C253" s="1">
        <v>0.963007428161197</v>
      </c>
      <c r="D253" s="1" t="s">
        <v>239</v>
      </c>
      <c r="E253" s="1" t="s">
        <v>24</v>
      </c>
      <c r="F253" s="1" t="s">
        <v>25</v>
      </c>
      <c r="G253" s="1" t="s">
        <v>26</v>
      </c>
      <c r="H253" s="1">
        <v>2014.0</v>
      </c>
      <c r="I253" s="1" t="s">
        <v>240</v>
      </c>
      <c r="J253" s="1" t="s">
        <v>1272</v>
      </c>
      <c r="K253" s="1">
        <v>5.0</v>
      </c>
      <c r="L253" s="1" t="s">
        <v>1273</v>
      </c>
      <c r="M253" s="1">
        <v>-1.0</v>
      </c>
    </row>
    <row r="254">
      <c r="A254" s="1">
        <v>37.0</v>
      </c>
      <c r="B254" s="1">
        <v>3.0</v>
      </c>
      <c r="C254" s="1">
        <v>0.962940924191659</v>
      </c>
      <c r="D254" s="1" t="s">
        <v>63</v>
      </c>
      <c r="E254" s="1" t="s">
        <v>20</v>
      </c>
      <c r="F254" s="1" t="s">
        <v>18</v>
      </c>
      <c r="G254" s="1" t="s">
        <v>42</v>
      </c>
      <c r="H254" s="1">
        <v>2018.0</v>
      </c>
      <c r="I254" s="1" t="s">
        <v>12</v>
      </c>
      <c r="J254" s="1" t="s">
        <v>1272</v>
      </c>
      <c r="K254" s="1">
        <v>5.0</v>
      </c>
      <c r="L254" s="1" t="s">
        <v>1273</v>
      </c>
      <c r="M254" s="1">
        <v>0.0</v>
      </c>
    </row>
    <row r="255">
      <c r="A255" s="1">
        <v>764.0</v>
      </c>
      <c r="B255" s="1">
        <v>3.0</v>
      </c>
      <c r="C255" s="1">
        <v>0.962696737402065</v>
      </c>
      <c r="D255" s="1" t="s">
        <v>700</v>
      </c>
      <c r="E255" s="1" t="s">
        <v>1274</v>
      </c>
      <c r="F255" s="1" t="s">
        <v>1274</v>
      </c>
      <c r="G255" s="1" t="s">
        <v>1274</v>
      </c>
      <c r="H255" s="1">
        <v>2006.0</v>
      </c>
      <c r="I255" s="1" t="s">
        <v>630</v>
      </c>
      <c r="J255" s="1" t="s">
        <v>1272</v>
      </c>
      <c r="K255" s="1">
        <v>7.0</v>
      </c>
      <c r="L255" s="1" t="s">
        <v>1273</v>
      </c>
      <c r="M255" s="1">
        <v>1.0</v>
      </c>
    </row>
    <row r="256">
      <c r="A256" s="1">
        <v>766.0</v>
      </c>
      <c r="B256" s="1">
        <v>3.0</v>
      </c>
      <c r="C256" s="1">
        <v>0.96269125770386</v>
      </c>
      <c r="D256" s="1" t="s">
        <v>702</v>
      </c>
      <c r="E256" s="1" t="s">
        <v>1274</v>
      </c>
      <c r="F256" s="1" t="s">
        <v>1274</v>
      </c>
      <c r="G256" s="1" t="s">
        <v>1274</v>
      </c>
      <c r="H256" s="1">
        <v>2006.0</v>
      </c>
      <c r="I256" s="1" t="s">
        <v>630</v>
      </c>
      <c r="J256" s="1" t="s">
        <v>1272</v>
      </c>
      <c r="K256" s="1">
        <v>7.0</v>
      </c>
      <c r="L256" s="1" t="s">
        <v>1273</v>
      </c>
      <c r="M256" s="1">
        <v>1.0</v>
      </c>
    </row>
    <row r="257">
      <c r="A257" s="1">
        <v>450.0</v>
      </c>
      <c r="B257" s="1">
        <v>4.0</v>
      </c>
      <c r="C257" s="1">
        <v>0.962683563596289</v>
      </c>
      <c r="D257" s="1" t="s">
        <v>420</v>
      </c>
      <c r="E257" s="1" t="s">
        <v>187</v>
      </c>
      <c r="F257" s="1" t="s">
        <v>1274</v>
      </c>
      <c r="G257" s="1" t="s">
        <v>11</v>
      </c>
      <c r="H257" s="1">
        <v>2019.0</v>
      </c>
      <c r="I257" s="1" t="s">
        <v>240</v>
      </c>
      <c r="J257" s="1" t="s">
        <v>1272</v>
      </c>
      <c r="K257" s="1">
        <v>7.0</v>
      </c>
      <c r="L257" s="1" t="s">
        <v>1273</v>
      </c>
      <c r="M257" s="1">
        <v>-1.0</v>
      </c>
    </row>
    <row r="258">
      <c r="A258" s="1">
        <v>18.0</v>
      </c>
      <c r="B258" s="1">
        <v>5.0</v>
      </c>
      <c r="C258" s="1">
        <v>0.962679927178645</v>
      </c>
      <c r="D258" s="1" t="s">
        <v>37</v>
      </c>
      <c r="E258" s="1" t="s">
        <v>1274</v>
      </c>
      <c r="F258" s="1" t="s">
        <v>1274</v>
      </c>
      <c r="G258" s="1" t="s">
        <v>1274</v>
      </c>
      <c r="H258" s="1">
        <v>2006.0</v>
      </c>
      <c r="I258" s="1" t="s">
        <v>12</v>
      </c>
      <c r="J258" s="1" t="s">
        <v>1272</v>
      </c>
      <c r="K258" s="1">
        <v>7.0</v>
      </c>
      <c r="L258" s="1" t="s">
        <v>1273</v>
      </c>
      <c r="M258" s="1">
        <v>3.0</v>
      </c>
    </row>
    <row r="259">
      <c r="A259" s="1">
        <v>114.0</v>
      </c>
      <c r="B259" s="1">
        <v>2.0</v>
      </c>
      <c r="C259" s="1">
        <v>0.962664759143355</v>
      </c>
      <c r="D259" s="1" t="s">
        <v>136</v>
      </c>
      <c r="E259" s="1" t="s">
        <v>50</v>
      </c>
      <c r="F259" s="1" t="s">
        <v>1274</v>
      </c>
      <c r="G259" s="2">
        <v>46213.0</v>
      </c>
      <c r="H259" s="1">
        <v>2002.0</v>
      </c>
      <c r="I259" s="1" t="s">
        <v>12</v>
      </c>
      <c r="J259" s="1" t="s">
        <v>1272</v>
      </c>
      <c r="K259" s="1">
        <v>7.0</v>
      </c>
      <c r="L259" s="1" t="s">
        <v>1273</v>
      </c>
      <c r="M259" s="1">
        <v>0.0</v>
      </c>
    </row>
    <row r="260">
      <c r="A260" s="1">
        <v>509.0</v>
      </c>
      <c r="B260" s="1">
        <v>7.0</v>
      </c>
      <c r="C260" s="1">
        <v>0.962649685988538</v>
      </c>
      <c r="D260" s="1" t="s">
        <v>470</v>
      </c>
      <c r="E260" s="1" t="s">
        <v>111</v>
      </c>
      <c r="F260" s="1" t="s">
        <v>1274</v>
      </c>
      <c r="G260" s="1" t="s">
        <v>42</v>
      </c>
      <c r="H260" s="1">
        <v>2022.0</v>
      </c>
      <c r="I260" s="1" t="s">
        <v>240</v>
      </c>
      <c r="J260" s="1" t="s">
        <v>1272</v>
      </c>
      <c r="K260" s="1">
        <v>7.0</v>
      </c>
      <c r="L260" s="1" t="s">
        <v>1273</v>
      </c>
      <c r="M260" s="1">
        <v>3.0</v>
      </c>
    </row>
    <row r="261">
      <c r="A261" s="1">
        <v>508.0</v>
      </c>
      <c r="B261" s="1">
        <v>7.0</v>
      </c>
      <c r="C261" s="1">
        <v>0.962645700442946</v>
      </c>
      <c r="D261" s="1" t="s">
        <v>469</v>
      </c>
      <c r="E261" s="1" t="s">
        <v>111</v>
      </c>
      <c r="F261" s="1" t="s">
        <v>1274</v>
      </c>
      <c r="G261" s="1" t="s">
        <v>42</v>
      </c>
      <c r="H261" s="1">
        <v>2022.0</v>
      </c>
      <c r="I261" s="1" t="s">
        <v>240</v>
      </c>
      <c r="J261" s="1" t="s">
        <v>1272</v>
      </c>
      <c r="K261" s="1">
        <v>7.0</v>
      </c>
      <c r="L261" s="1" t="s">
        <v>1273</v>
      </c>
      <c r="M261" s="1">
        <v>3.0</v>
      </c>
    </row>
    <row r="262">
      <c r="A262" s="1">
        <v>96.0</v>
      </c>
      <c r="B262" s="1">
        <v>2.0</v>
      </c>
      <c r="C262" s="1">
        <v>0.962641153731657</v>
      </c>
      <c r="D262" s="1" t="s">
        <v>117</v>
      </c>
      <c r="E262" s="1" t="s">
        <v>41</v>
      </c>
      <c r="F262" s="1" t="s">
        <v>1274</v>
      </c>
      <c r="G262" s="1" t="s">
        <v>11</v>
      </c>
      <c r="H262" s="1" t="s">
        <v>1274</v>
      </c>
      <c r="I262" s="1" t="s">
        <v>12</v>
      </c>
      <c r="J262" s="1" t="s">
        <v>1272</v>
      </c>
      <c r="K262" s="1">
        <v>5.0</v>
      </c>
      <c r="L262" s="1" t="s">
        <v>1273</v>
      </c>
      <c r="M262" s="1">
        <v>0.0</v>
      </c>
    </row>
    <row r="263">
      <c r="A263" s="1">
        <v>12.0</v>
      </c>
      <c r="B263" s="1">
        <v>5.0</v>
      </c>
      <c r="C263" s="1">
        <v>0.962614395679013</v>
      </c>
      <c r="D263" s="1" t="s">
        <v>31</v>
      </c>
      <c r="E263" s="1" t="s">
        <v>1274</v>
      </c>
      <c r="F263" s="1" t="s">
        <v>1274</v>
      </c>
      <c r="G263" s="1" t="s">
        <v>1274</v>
      </c>
      <c r="H263" s="1">
        <v>2006.0</v>
      </c>
      <c r="I263" s="1" t="s">
        <v>12</v>
      </c>
      <c r="J263" s="1" t="s">
        <v>1272</v>
      </c>
      <c r="K263" s="1">
        <v>7.0</v>
      </c>
      <c r="L263" s="1" t="s">
        <v>1273</v>
      </c>
      <c r="M263" s="1">
        <v>3.0</v>
      </c>
    </row>
    <row r="264">
      <c r="A264" s="1">
        <v>57.0</v>
      </c>
      <c r="B264" s="1">
        <v>2.0</v>
      </c>
      <c r="C264" s="1">
        <v>0.962495508734927</v>
      </c>
      <c r="D264" s="1" t="s">
        <v>80</v>
      </c>
      <c r="E264" s="1" t="s">
        <v>47</v>
      </c>
      <c r="F264" s="1" t="s">
        <v>1274</v>
      </c>
      <c r="G264" s="1" t="s">
        <v>11</v>
      </c>
      <c r="H264" s="1">
        <v>2016.0</v>
      </c>
      <c r="I264" s="1" t="s">
        <v>12</v>
      </c>
      <c r="J264" s="1" t="s">
        <v>1272</v>
      </c>
      <c r="K264" s="1">
        <v>10.0</v>
      </c>
      <c r="L264" s="1" t="s">
        <v>1273</v>
      </c>
      <c r="M264" s="1">
        <v>0.0</v>
      </c>
    </row>
    <row r="265">
      <c r="A265" s="1">
        <v>135.0</v>
      </c>
      <c r="B265" s="1">
        <v>2.0</v>
      </c>
      <c r="C265" s="1">
        <v>0.962495327666122</v>
      </c>
      <c r="D265" s="1" t="s">
        <v>152</v>
      </c>
      <c r="E265" s="1" t="s">
        <v>111</v>
      </c>
      <c r="F265" s="1" t="s">
        <v>1274</v>
      </c>
      <c r="G265" s="1" t="s">
        <v>42</v>
      </c>
      <c r="H265" s="1">
        <v>1983.0</v>
      </c>
      <c r="I265" s="1" t="s">
        <v>12</v>
      </c>
      <c r="J265" s="1" t="s">
        <v>1272</v>
      </c>
      <c r="K265" s="1">
        <v>10.0</v>
      </c>
      <c r="L265" s="1" t="s">
        <v>1273</v>
      </c>
      <c r="M265" s="1">
        <v>-1.0</v>
      </c>
    </row>
    <row r="266">
      <c r="A266" s="1">
        <v>50.0</v>
      </c>
      <c r="B266" s="1">
        <v>10.0</v>
      </c>
      <c r="C266" s="1">
        <v>0.962495079343292</v>
      </c>
      <c r="D266" s="1" t="s">
        <v>74</v>
      </c>
      <c r="E266" s="1" t="s">
        <v>45</v>
      </c>
      <c r="F266" s="1" t="s">
        <v>65</v>
      </c>
      <c r="G266" s="1" t="s">
        <v>1274</v>
      </c>
      <c r="H266" s="1">
        <v>2019.0</v>
      </c>
      <c r="I266" s="1" t="s">
        <v>12</v>
      </c>
      <c r="J266" s="1" t="s">
        <v>1272</v>
      </c>
      <c r="K266" s="1">
        <v>10.0</v>
      </c>
      <c r="L266" s="1" t="s">
        <v>1273</v>
      </c>
      <c r="M266" s="1">
        <v>0.0</v>
      </c>
    </row>
    <row r="267">
      <c r="A267" s="1">
        <v>93.0</v>
      </c>
      <c r="B267" s="1">
        <v>3.0</v>
      </c>
      <c r="C267" s="1">
        <v>0.962339363396332</v>
      </c>
      <c r="D267" s="1" t="s">
        <v>114</v>
      </c>
      <c r="E267" s="1" t="s">
        <v>111</v>
      </c>
      <c r="F267" s="1" t="s">
        <v>1274</v>
      </c>
      <c r="G267" s="1" t="s">
        <v>11</v>
      </c>
      <c r="H267" s="1">
        <v>2021.0</v>
      </c>
      <c r="I267" s="1" t="s">
        <v>12</v>
      </c>
      <c r="J267" s="1" t="s">
        <v>1272</v>
      </c>
      <c r="K267" s="1">
        <v>5.0</v>
      </c>
      <c r="L267" s="1" t="s">
        <v>1273</v>
      </c>
      <c r="M267" s="1">
        <v>0.0</v>
      </c>
    </row>
    <row r="268">
      <c r="A268" s="1">
        <v>335.0</v>
      </c>
      <c r="B268" s="1">
        <v>2.0</v>
      </c>
      <c r="C268" s="1">
        <v>0.961847303363901</v>
      </c>
      <c r="D268" s="1" t="s">
        <v>321</v>
      </c>
      <c r="E268" s="1" t="s">
        <v>45</v>
      </c>
      <c r="F268" s="1" t="s">
        <v>65</v>
      </c>
      <c r="G268" s="1" t="s">
        <v>1274</v>
      </c>
      <c r="H268" s="1">
        <v>2019.0</v>
      </c>
      <c r="I268" s="1" t="s">
        <v>240</v>
      </c>
      <c r="J268" s="1" t="s">
        <v>1272</v>
      </c>
      <c r="K268" s="1">
        <v>5.0</v>
      </c>
      <c r="L268" s="1" t="s">
        <v>1273</v>
      </c>
      <c r="M268" s="1">
        <v>4.0</v>
      </c>
    </row>
    <row r="269">
      <c r="A269" s="1">
        <v>557.0</v>
      </c>
      <c r="B269" s="1">
        <v>2.0</v>
      </c>
      <c r="C269" s="1">
        <v>0.961473046606789</v>
      </c>
      <c r="D269" s="1" t="s">
        <v>509</v>
      </c>
      <c r="E269" s="1" t="s">
        <v>107</v>
      </c>
      <c r="F269" s="1" t="s">
        <v>18</v>
      </c>
      <c r="G269" s="1" t="s">
        <v>1274</v>
      </c>
      <c r="H269" s="1">
        <v>2022.0</v>
      </c>
      <c r="I269" s="1" t="s">
        <v>240</v>
      </c>
      <c r="J269" s="1" t="s">
        <v>1272</v>
      </c>
      <c r="K269" s="1">
        <v>5.0</v>
      </c>
      <c r="L269" s="1" t="s">
        <v>1273</v>
      </c>
      <c r="M269" s="1">
        <v>4.0</v>
      </c>
    </row>
    <row r="270">
      <c r="A270" s="1">
        <v>682.0</v>
      </c>
      <c r="B270" s="1">
        <v>2.0</v>
      </c>
      <c r="C270" s="1">
        <v>0.961468527272088</v>
      </c>
      <c r="D270" s="1" t="s">
        <v>621</v>
      </c>
      <c r="E270" s="1" t="s">
        <v>111</v>
      </c>
      <c r="F270" s="1" t="s">
        <v>1274</v>
      </c>
      <c r="G270" s="1" t="s">
        <v>11</v>
      </c>
      <c r="H270" s="1">
        <v>2014.0</v>
      </c>
      <c r="I270" s="1" t="s">
        <v>240</v>
      </c>
      <c r="J270" s="1" t="s">
        <v>1272</v>
      </c>
      <c r="K270" s="1">
        <v>5.0</v>
      </c>
      <c r="L270" s="1" t="s">
        <v>1273</v>
      </c>
      <c r="M270" s="1">
        <v>4.0</v>
      </c>
    </row>
    <row r="271">
      <c r="A271" s="1">
        <v>752.0</v>
      </c>
      <c r="B271" s="1">
        <v>3.0</v>
      </c>
      <c r="C271" s="1">
        <v>0.96146588643885</v>
      </c>
      <c r="D271" s="1" t="s">
        <v>688</v>
      </c>
      <c r="E271" s="1" t="s">
        <v>58</v>
      </c>
      <c r="F271" s="1" t="s">
        <v>1274</v>
      </c>
      <c r="G271" s="1" t="s">
        <v>42</v>
      </c>
      <c r="H271" s="1">
        <v>2024.0</v>
      </c>
      <c r="I271" s="1" t="s">
        <v>630</v>
      </c>
      <c r="J271" s="1" t="s">
        <v>1272</v>
      </c>
      <c r="K271" s="1">
        <v>5.0</v>
      </c>
      <c r="L271" s="1" t="s">
        <v>1273</v>
      </c>
      <c r="M271" s="1">
        <v>-1.0</v>
      </c>
    </row>
    <row r="272">
      <c r="A272" s="1">
        <v>261.0</v>
      </c>
      <c r="B272" s="1">
        <v>2.0</v>
      </c>
      <c r="C272" s="1">
        <v>0.961458030219172</v>
      </c>
      <c r="D272" s="1" t="s">
        <v>254</v>
      </c>
      <c r="E272" s="1" t="s">
        <v>17</v>
      </c>
      <c r="F272" s="1" t="s">
        <v>118</v>
      </c>
      <c r="G272" s="1" t="s">
        <v>1274</v>
      </c>
      <c r="H272" s="1">
        <v>2023.0</v>
      </c>
      <c r="I272" s="1" t="s">
        <v>240</v>
      </c>
      <c r="J272" s="1" t="s">
        <v>1272</v>
      </c>
      <c r="K272" s="1">
        <v>5.0</v>
      </c>
      <c r="L272" s="1" t="s">
        <v>1273</v>
      </c>
      <c r="M272" s="1">
        <v>-1.0</v>
      </c>
    </row>
    <row r="273">
      <c r="A273" s="1">
        <v>350.0</v>
      </c>
      <c r="B273" s="1">
        <v>2.0</v>
      </c>
      <c r="C273" s="1">
        <v>0.961313639855362</v>
      </c>
      <c r="D273" s="1" t="s">
        <v>335</v>
      </c>
      <c r="E273" s="1" t="s">
        <v>41</v>
      </c>
      <c r="F273" s="1" t="s">
        <v>18</v>
      </c>
      <c r="G273" s="1" t="s">
        <v>11</v>
      </c>
      <c r="H273" s="1">
        <v>2024.0</v>
      </c>
      <c r="I273" s="1" t="s">
        <v>240</v>
      </c>
      <c r="J273" s="1" t="s">
        <v>1272</v>
      </c>
      <c r="K273" s="1">
        <v>5.0</v>
      </c>
      <c r="L273" s="1" t="s">
        <v>1273</v>
      </c>
      <c r="M273" s="1">
        <v>-1.0</v>
      </c>
    </row>
    <row r="274">
      <c r="A274" s="1">
        <v>637.0</v>
      </c>
      <c r="B274" s="1">
        <v>2.0</v>
      </c>
      <c r="C274" s="1">
        <v>0.961313639855362</v>
      </c>
      <c r="D274" s="1" t="s">
        <v>588</v>
      </c>
      <c r="E274" s="1" t="s">
        <v>41</v>
      </c>
      <c r="F274" s="1" t="s">
        <v>142</v>
      </c>
      <c r="G274" s="1" t="s">
        <v>1274</v>
      </c>
      <c r="H274" s="1">
        <v>2024.0</v>
      </c>
      <c r="I274" s="1" t="s">
        <v>240</v>
      </c>
      <c r="J274" s="1" t="s">
        <v>1272</v>
      </c>
      <c r="K274" s="1">
        <v>5.0</v>
      </c>
      <c r="L274" s="1" t="s">
        <v>1273</v>
      </c>
      <c r="M274" s="1">
        <v>-1.0</v>
      </c>
    </row>
    <row r="275">
      <c r="A275" s="1">
        <v>28.0</v>
      </c>
      <c r="B275" s="1">
        <v>2.0</v>
      </c>
      <c r="C275" s="1">
        <v>0.961195874355597</v>
      </c>
      <c r="D275" s="1" t="s">
        <v>52</v>
      </c>
      <c r="E275" s="1" t="s">
        <v>50</v>
      </c>
      <c r="F275" s="1" t="s">
        <v>1274</v>
      </c>
      <c r="G275" s="2">
        <v>46148.0</v>
      </c>
      <c r="H275" s="1" t="s">
        <v>1274</v>
      </c>
      <c r="I275" s="1" t="s">
        <v>12</v>
      </c>
      <c r="J275" s="1" t="s">
        <v>1272</v>
      </c>
      <c r="K275" s="1">
        <v>5.0</v>
      </c>
      <c r="L275" s="1" t="s">
        <v>1273</v>
      </c>
      <c r="M275" s="1">
        <v>0.0</v>
      </c>
    </row>
    <row r="276">
      <c r="A276" s="1">
        <v>783.0</v>
      </c>
      <c r="B276" s="1">
        <v>3.0</v>
      </c>
      <c r="C276" s="1">
        <v>0.961005662979115</v>
      </c>
      <c r="D276" s="1" t="s">
        <v>719</v>
      </c>
      <c r="E276" s="1" t="s">
        <v>1274</v>
      </c>
      <c r="F276" s="1" t="s">
        <v>1274</v>
      </c>
      <c r="G276" s="1" t="s">
        <v>1274</v>
      </c>
      <c r="H276" s="1">
        <v>2006.0</v>
      </c>
      <c r="I276" s="1" t="s">
        <v>630</v>
      </c>
      <c r="J276" s="1" t="s">
        <v>1272</v>
      </c>
      <c r="K276" s="1">
        <v>7.0</v>
      </c>
      <c r="L276" s="1" t="s">
        <v>1273</v>
      </c>
      <c r="M276" s="1">
        <v>1.0</v>
      </c>
    </row>
    <row r="277">
      <c r="A277" s="1">
        <v>13.0</v>
      </c>
      <c r="B277" s="1">
        <v>5.0</v>
      </c>
      <c r="C277" s="1">
        <v>0.960985320028211</v>
      </c>
      <c r="D277" s="1" t="s">
        <v>32</v>
      </c>
      <c r="E277" s="1" t="s">
        <v>1274</v>
      </c>
      <c r="F277" s="1" t="s">
        <v>1274</v>
      </c>
      <c r="G277" s="1" t="s">
        <v>1274</v>
      </c>
      <c r="H277" s="1">
        <v>2006.0</v>
      </c>
      <c r="I277" s="1" t="s">
        <v>12</v>
      </c>
      <c r="J277" s="1" t="s">
        <v>1272</v>
      </c>
      <c r="K277" s="1">
        <v>7.0</v>
      </c>
      <c r="L277" s="1" t="s">
        <v>1273</v>
      </c>
      <c r="M277" s="1">
        <v>3.0</v>
      </c>
    </row>
    <row r="278">
      <c r="A278" s="1">
        <v>931.0</v>
      </c>
      <c r="B278" s="1">
        <v>2.0</v>
      </c>
      <c r="C278" s="1">
        <v>0.960977176718404</v>
      </c>
      <c r="D278" s="1" t="s">
        <v>801</v>
      </c>
      <c r="E278" s="1" t="s">
        <v>47</v>
      </c>
      <c r="F278" s="1" t="s">
        <v>197</v>
      </c>
      <c r="G278" s="1" t="s">
        <v>42</v>
      </c>
      <c r="H278" s="1">
        <v>2016.0</v>
      </c>
      <c r="I278" s="1" t="s">
        <v>630</v>
      </c>
      <c r="J278" s="1" t="s">
        <v>1272</v>
      </c>
      <c r="K278" s="1">
        <v>7.0</v>
      </c>
      <c r="L278" s="1" t="s">
        <v>1273</v>
      </c>
      <c r="M278" s="1">
        <v>-1.0</v>
      </c>
    </row>
    <row r="279">
      <c r="A279" s="1">
        <v>572.0</v>
      </c>
      <c r="B279" s="1">
        <v>2.0</v>
      </c>
      <c r="C279" s="1">
        <v>0.96095898385777</v>
      </c>
      <c r="D279" s="1" t="s">
        <v>524</v>
      </c>
      <c r="E279" s="1" t="s">
        <v>24</v>
      </c>
      <c r="F279" s="1" t="s">
        <v>18</v>
      </c>
      <c r="G279" s="1">
        <v>9.0</v>
      </c>
      <c r="H279" s="1">
        <v>2014.0</v>
      </c>
      <c r="I279" s="1" t="s">
        <v>240</v>
      </c>
      <c r="J279" s="1" t="s">
        <v>1272</v>
      </c>
      <c r="K279" s="1">
        <v>7.0</v>
      </c>
      <c r="L279" s="1" t="s">
        <v>1273</v>
      </c>
      <c r="M279" s="1">
        <v>8.0</v>
      </c>
    </row>
    <row r="280">
      <c r="A280" s="1">
        <v>510.0</v>
      </c>
      <c r="B280" s="1">
        <v>7.0</v>
      </c>
      <c r="C280" s="1">
        <v>0.9609476154754</v>
      </c>
      <c r="D280" s="1" t="s">
        <v>471</v>
      </c>
      <c r="E280" s="1" t="s">
        <v>111</v>
      </c>
      <c r="F280" s="1" t="s">
        <v>1274</v>
      </c>
      <c r="G280" s="1" t="s">
        <v>42</v>
      </c>
      <c r="H280" s="1">
        <v>2022.0</v>
      </c>
      <c r="I280" s="1" t="s">
        <v>240</v>
      </c>
      <c r="J280" s="1" t="s">
        <v>1272</v>
      </c>
      <c r="K280" s="1">
        <v>7.0</v>
      </c>
      <c r="L280" s="1" t="s">
        <v>1273</v>
      </c>
      <c r="M280" s="1">
        <v>3.0</v>
      </c>
    </row>
    <row r="281">
      <c r="A281" s="1">
        <v>1100.0</v>
      </c>
      <c r="B281" s="1">
        <v>1.0</v>
      </c>
      <c r="C281" s="1">
        <v>0.959480911523329</v>
      </c>
      <c r="D281" s="1" t="s">
        <v>997</v>
      </c>
      <c r="E281" s="1" t="s">
        <v>41</v>
      </c>
      <c r="F281" s="1" t="s">
        <v>18</v>
      </c>
      <c r="G281" s="1" t="s">
        <v>11</v>
      </c>
      <c r="H281" s="1" t="s">
        <v>1274</v>
      </c>
      <c r="I281" s="1" t="s">
        <v>861</v>
      </c>
      <c r="J281" s="1" t="s">
        <v>1272</v>
      </c>
      <c r="K281" s="1">
        <v>5.0</v>
      </c>
      <c r="L281" s="1" t="s">
        <v>1273</v>
      </c>
      <c r="M281" s="1">
        <v>-1.0</v>
      </c>
    </row>
    <row r="282">
      <c r="A282" s="1">
        <v>19.0</v>
      </c>
      <c r="B282" s="1">
        <v>5.0</v>
      </c>
      <c r="C282" s="1">
        <v>0.959133663556386</v>
      </c>
      <c r="D282" s="1" t="s">
        <v>38</v>
      </c>
      <c r="E282" s="1" t="s">
        <v>1274</v>
      </c>
      <c r="F282" s="1" t="s">
        <v>1274</v>
      </c>
      <c r="G282" s="1" t="s">
        <v>1274</v>
      </c>
      <c r="H282" s="1">
        <v>2006.0</v>
      </c>
      <c r="I282" s="1" t="s">
        <v>12</v>
      </c>
      <c r="J282" s="1" t="s">
        <v>1272</v>
      </c>
      <c r="K282" s="1">
        <v>7.0</v>
      </c>
      <c r="L282" s="1" t="s">
        <v>1273</v>
      </c>
      <c r="M282" s="1">
        <v>3.0</v>
      </c>
    </row>
    <row r="283">
      <c r="A283" s="1">
        <v>585.0</v>
      </c>
      <c r="B283" s="1">
        <v>4.0</v>
      </c>
      <c r="C283" s="1">
        <v>0.959121263916138</v>
      </c>
      <c r="D283" s="1" t="s">
        <v>537</v>
      </c>
      <c r="E283" s="1" t="s">
        <v>187</v>
      </c>
      <c r="F283" s="1" t="s">
        <v>1274</v>
      </c>
      <c r="G283" s="1" t="s">
        <v>1274</v>
      </c>
      <c r="H283" s="1" t="s">
        <v>1274</v>
      </c>
      <c r="I283" s="1" t="s">
        <v>240</v>
      </c>
      <c r="J283" s="1" t="s">
        <v>1272</v>
      </c>
      <c r="K283" s="1">
        <v>7.0</v>
      </c>
      <c r="L283" s="1" t="s">
        <v>1273</v>
      </c>
      <c r="M283" s="1">
        <v>-1.0</v>
      </c>
    </row>
    <row r="284">
      <c r="A284" s="1">
        <v>30.0</v>
      </c>
      <c r="B284" s="1">
        <v>5.0</v>
      </c>
      <c r="C284" s="1">
        <v>0.959084263341585</v>
      </c>
      <c r="D284" s="1" t="s">
        <v>54</v>
      </c>
      <c r="E284" s="1" t="s">
        <v>50</v>
      </c>
      <c r="F284" s="1" t="s">
        <v>1274</v>
      </c>
      <c r="G284" s="2">
        <v>46148.0</v>
      </c>
      <c r="H284" s="1" t="s">
        <v>1274</v>
      </c>
      <c r="I284" s="1" t="s">
        <v>12</v>
      </c>
      <c r="J284" s="1" t="s">
        <v>1272</v>
      </c>
      <c r="K284" s="1">
        <v>10.0</v>
      </c>
      <c r="L284" s="1" t="s">
        <v>1273</v>
      </c>
      <c r="M284" s="1">
        <v>-1.0</v>
      </c>
    </row>
    <row r="285">
      <c r="A285" s="1">
        <v>11.0</v>
      </c>
      <c r="B285" s="1">
        <v>5.0</v>
      </c>
      <c r="C285" s="1">
        <v>0.959081176841831</v>
      </c>
      <c r="D285" s="1" t="s">
        <v>30</v>
      </c>
      <c r="E285" s="1" t="s">
        <v>1274</v>
      </c>
      <c r="F285" s="1" t="s">
        <v>1274</v>
      </c>
      <c r="G285" s="1" t="s">
        <v>1274</v>
      </c>
      <c r="H285" s="1">
        <v>2006.0</v>
      </c>
      <c r="I285" s="1" t="s">
        <v>12</v>
      </c>
      <c r="J285" s="1" t="s">
        <v>1272</v>
      </c>
      <c r="K285" s="1">
        <v>10.0</v>
      </c>
      <c r="L285" s="1" t="s">
        <v>1273</v>
      </c>
      <c r="M285" s="1">
        <v>3.0</v>
      </c>
    </row>
    <row r="286">
      <c r="A286" s="1">
        <v>27.0</v>
      </c>
      <c r="B286" s="1">
        <v>5.0</v>
      </c>
      <c r="C286" s="1">
        <v>0.959038352877073</v>
      </c>
      <c r="D286" s="1" t="s">
        <v>51</v>
      </c>
      <c r="E286" s="1" t="s">
        <v>50</v>
      </c>
      <c r="F286" s="1" t="s">
        <v>1274</v>
      </c>
      <c r="G286" s="2">
        <v>46148.0</v>
      </c>
      <c r="H286" s="1" t="s">
        <v>1274</v>
      </c>
      <c r="I286" s="1" t="s">
        <v>12</v>
      </c>
      <c r="J286" s="1" t="s">
        <v>1272</v>
      </c>
      <c r="K286" s="1">
        <v>7.0</v>
      </c>
      <c r="L286" s="1" t="s">
        <v>1273</v>
      </c>
      <c r="M286" s="1">
        <v>-1.0</v>
      </c>
    </row>
    <row r="287">
      <c r="A287" s="1">
        <v>38.0</v>
      </c>
      <c r="B287" s="1">
        <v>5.0</v>
      </c>
      <c r="C287" s="1">
        <v>0.958976019881658</v>
      </c>
      <c r="D287" s="1" t="s">
        <v>23</v>
      </c>
      <c r="E287" s="1" t="s">
        <v>24</v>
      </c>
      <c r="F287" s="1" t="s">
        <v>18</v>
      </c>
      <c r="G287" s="1" t="s">
        <v>26</v>
      </c>
      <c r="H287" s="1">
        <v>2018.0</v>
      </c>
      <c r="I287" s="1" t="s">
        <v>12</v>
      </c>
      <c r="J287" s="1" t="s">
        <v>1272</v>
      </c>
      <c r="K287" s="1">
        <v>7.0</v>
      </c>
      <c r="L287" s="1" t="s">
        <v>1273</v>
      </c>
      <c r="M287" s="1">
        <v>0.0</v>
      </c>
    </row>
    <row r="288">
      <c r="A288" s="1">
        <v>140.0</v>
      </c>
      <c r="B288" s="1">
        <v>2.0</v>
      </c>
      <c r="C288" s="1">
        <v>0.958941482760323</v>
      </c>
      <c r="D288" s="1" t="s">
        <v>157</v>
      </c>
      <c r="E288" s="1" t="s">
        <v>111</v>
      </c>
      <c r="F288" s="1" t="s">
        <v>1274</v>
      </c>
      <c r="G288" s="1" t="s">
        <v>42</v>
      </c>
      <c r="H288" s="1">
        <v>1983.0</v>
      </c>
      <c r="I288" s="1" t="s">
        <v>12</v>
      </c>
      <c r="J288" s="1" t="s">
        <v>1272</v>
      </c>
      <c r="K288" s="1">
        <v>5.0</v>
      </c>
      <c r="L288" s="1" t="s">
        <v>1273</v>
      </c>
      <c r="M288" s="1">
        <v>0.0</v>
      </c>
    </row>
    <row r="289">
      <c r="A289" s="1">
        <v>318.0</v>
      </c>
      <c r="B289" s="1">
        <v>2.0</v>
      </c>
      <c r="C289" s="1">
        <v>0.958797480773098</v>
      </c>
      <c r="D289" s="1" t="s">
        <v>306</v>
      </c>
      <c r="E289" s="1" t="s">
        <v>45</v>
      </c>
      <c r="F289" s="1" t="s">
        <v>65</v>
      </c>
      <c r="G289" s="1" t="s">
        <v>1274</v>
      </c>
      <c r="H289" s="1">
        <v>2019.0</v>
      </c>
      <c r="I289" s="1" t="s">
        <v>240</v>
      </c>
      <c r="J289" s="1" t="s">
        <v>1272</v>
      </c>
      <c r="K289" s="1">
        <v>5.0</v>
      </c>
      <c r="L289" s="1" t="s">
        <v>1273</v>
      </c>
      <c r="M289" s="1">
        <v>4.0</v>
      </c>
    </row>
    <row r="290">
      <c r="A290" s="1">
        <v>747.0</v>
      </c>
      <c r="B290" s="1">
        <v>3.0</v>
      </c>
      <c r="C290" s="1">
        <v>0.957584917834964</v>
      </c>
      <c r="D290" s="1" t="s">
        <v>683</v>
      </c>
      <c r="E290" s="1" t="s">
        <v>58</v>
      </c>
      <c r="F290" s="1" t="s">
        <v>1274</v>
      </c>
      <c r="G290" s="1" t="s">
        <v>42</v>
      </c>
      <c r="H290" s="1">
        <v>2024.0</v>
      </c>
      <c r="I290" s="1" t="s">
        <v>630</v>
      </c>
      <c r="J290" s="1" t="s">
        <v>1272</v>
      </c>
      <c r="K290" s="1">
        <v>5.0</v>
      </c>
      <c r="L290" s="1" t="s">
        <v>1273</v>
      </c>
      <c r="M290" s="1">
        <v>-1.0</v>
      </c>
    </row>
    <row r="291">
      <c r="A291" s="1">
        <v>442.0</v>
      </c>
      <c r="B291" s="1">
        <v>2.0</v>
      </c>
      <c r="C291" s="1">
        <v>0.957487527461162</v>
      </c>
      <c r="D291" s="1" t="s">
        <v>412</v>
      </c>
      <c r="E291" s="1" t="s">
        <v>24</v>
      </c>
      <c r="F291" s="1" t="s">
        <v>25</v>
      </c>
      <c r="G291" s="1" t="s">
        <v>126</v>
      </c>
      <c r="H291" s="1">
        <v>2014.0</v>
      </c>
      <c r="I291" s="1" t="s">
        <v>240</v>
      </c>
      <c r="J291" s="1" t="s">
        <v>1272</v>
      </c>
      <c r="K291" s="1">
        <v>5.0</v>
      </c>
      <c r="L291" s="1" t="s">
        <v>1273</v>
      </c>
      <c r="M291" s="1">
        <v>8.0</v>
      </c>
    </row>
    <row r="292">
      <c r="A292" s="1">
        <v>237.0</v>
      </c>
      <c r="B292" s="1">
        <v>1.0</v>
      </c>
      <c r="C292" s="1">
        <v>0.957483220747751</v>
      </c>
      <c r="D292" s="1" t="s">
        <v>231</v>
      </c>
      <c r="E292" s="1" t="s">
        <v>111</v>
      </c>
      <c r="F292" s="1" t="s">
        <v>1274</v>
      </c>
      <c r="G292" s="1" t="s">
        <v>11</v>
      </c>
      <c r="H292" s="1">
        <v>2021.0</v>
      </c>
      <c r="I292" s="1" t="s">
        <v>198</v>
      </c>
      <c r="J292" s="1" t="s">
        <v>1272</v>
      </c>
      <c r="K292" s="1">
        <v>5.0</v>
      </c>
      <c r="L292" s="1" t="s">
        <v>1273</v>
      </c>
      <c r="M292" s="1">
        <v>6.0</v>
      </c>
    </row>
    <row r="293">
      <c r="A293" s="1">
        <v>973.0</v>
      </c>
      <c r="B293" s="1">
        <v>1.0</v>
      </c>
      <c r="C293" s="1">
        <v>0.95742217065687</v>
      </c>
      <c r="D293" s="1" t="s">
        <v>867</v>
      </c>
      <c r="E293" s="1" t="s">
        <v>41</v>
      </c>
      <c r="F293" s="1" t="s">
        <v>165</v>
      </c>
      <c r="G293" s="1" t="s">
        <v>1274</v>
      </c>
      <c r="H293" s="1" t="s">
        <v>1274</v>
      </c>
      <c r="I293" s="1" t="s">
        <v>861</v>
      </c>
      <c r="J293" s="1" t="s">
        <v>1272</v>
      </c>
      <c r="K293" s="1">
        <v>5.0</v>
      </c>
      <c r="L293" s="1" t="s">
        <v>1273</v>
      </c>
      <c r="M293" s="1">
        <v>-1.0</v>
      </c>
    </row>
    <row r="294">
      <c r="A294" s="1">
        <v>1113.0</v>
      </c>
      <c r="B294" s="1">
        <v>2.0</v>
      </c>
      <c r="C294" s="1">
        <v>0.957403161319776</v>
      </c>
      <c r="D294" s="1" t="s">
        <v>1000</v>
      </c>
      <c r="E294" s="1" t="s">
        <v>173</v>
      </c>
      <c r="F294" s="1" t="s">
        <v>1274</v>
      </c>
      <c r="G294" s="1" t="s">
        <v>26</v>
      </c>
      <c r="H294" s="1" t="s">
        <v>1274</v>
      </c>
      <c r="I294" s="1" t="s">
        <v>861</v>
      </c>
      <c r="J294" s="1" t="s">
        <v>1272</v>
      </c>
      <c r="K294" s="1">
        <v>5.0</v>
      </c>
      <c r="L294" s="1" t="s">
        <v>1273</v>
      </c>
      <c r="M294" s="1">
        <v>-1.0</v>
      </c>
    </row>
    <row r="295">
      <c r="A295" s="1">
        <v>753.0</v>
      </c>
      <c r="B295" s="1">
        <v>3.0</v>
      </c>
      <c r="C295" s="1">
        <v>0.957380132108733</v>
      </c>
      <c r="D295" s="1" t="s">
        <v>689</v>
      </c>
      <c r="E295" s="1" t="s">
        <v>58</v>
      </c>
      <c r="F295" s="1" t="s">
        <v>1274</v>
      </c>
      <c r="G295" s="1" t="s">
        <v>42</v>
      </c>
      <c r="H295" s="1">
        <v>2024.0</v>
      </c>
      <c r="I295" s="1" t="s">
        <v>630</v>
      </c>
      <c r="J295" s="1" t="s">
        <v>1272</v>
      </c>
      <c r="K295" s="1">
        <v>5.0</v>
      </c>
      <c r="L295" s="1" t="s">
        <v>1273</v>
      </c>
      <c r="M295" s="1">
        <v>-1.0</v>
      </c>
    </row>
    <row r="296">
      <c r="A296" s="1">
        <v>181.0</v>
      </c>
      <c r="B296" s="1">
        <v>2.0</v>
      </c>
      <c r="C296" s="1">
        <v>0.957293094720171</v>
      </c>
      <c r="D296" s="1" t="s">
        <v>195</v>
      </c>
      <c r="E296" s="1" t="s">
        <v>58</v>
      </c>
      <c r="F296" s="1" t="s">
        <v>18</v>
      </c>
      <c r="G296" s="1" t="s">
        <v>11</v>
      </c>
      <c r="H296" s="1">
        <v>2024.0</v>
      </c>
      <c r="I296" s="1" t="s">
        <v>12</v>
      </c>
      <c r="J296" s="1" t="s">
        <v>1272</v>
      </c>
      <c r="K296" s="1">
        <v>5.0</v>
      </c>
      <c r="L296" s="1" t="s">
        <v>1273</v>
      </c>
      <c r="M296" s="1">
        <v>0.0</v>
      </c>
    </row>
    <row r="297">
      <c r="A297" s="1">
        <v>443.0</v>
      </c>
      <c r="B297" s="1">
        <v>2.0</v>
      </c>
      <c r="C297" s="1">
        <v>0.957284466891594</v>
      </c>
      <c r="D297" s="1" t="s">
        <v>413</v>
      </c>
      <c r="E297" s="1" t="s">
        <v>24</v>
      </c>
      <c r="F297" s="1" t="s">
        <v>25</v>
      </c>
      <c r="G297" s="1" t="s">
        <v>126</v>
      </c>
      <c r="H297" s="1">
        <v>2014.0</v>
      </c>
      <c r="I297" s="1" t="s">
        <v>240</v>
      </c>
      <c r="J297" s="1" t="s">
        <v>1272</v>
      </c>
      <c r="K297" s="1">
        <v>5.0</v>
      </c>
      <c r="L297" s="1" t="s">
        <v>1273</v>
      </c>
      <c r="M297" s="1">
        <v>5.0</v>
      </c>
    </row>
    <row r="298">
      <c r="A298" s="1">
        <v>785.0</v>
      </c>
      <c r="B298" s="1">
        <v>3.0</v>
      </c>
      <c r="C298" s="1">
        <v>0.957261304228772</v>
      </c>
      <c r="D298" s="1" t="s">
        <v>721</v>
      </c>
      <c r="E298" s="1" t="s">
        <v>1274</v>
      </c>
      <c r="F298" s="1" t="s">
        <v>1274</v>
      </c>
      <c r="G298" s="1" t="s">
        <v>1274</v>
      </c>
      <c r="H298" s="1">
        <v>2006.0</v>
      </c>
      <c r="I298" s="1" t="s">
        <v>630</v>
      </c>
      <c r="J298" s="1" t="s">
        <v>1272</v>
      </c>
      <c r="K298" s="1">
        <v>5.0</v>
      </c>
      <c r="L298" s="1" t="s">
        <v>1273</v>
      </c>
      <c r="M298" s="1">
        <v>-1.0</v>
      </c>
    </row>
    <row r="299">
      <c r="A299" s="1">
        <v>246.0</v>
      </c>
      <c r="B299" s="1">
        <v>6.0</v>
      </c>
      <c r="C299" s="1">
        <v>0.957137776744818</v>
      </c>
      <c r="D299" s="1" t="s">
        <v>238</v>
      </c>
      <c r="E299" s="1" t="s">
        <v>107</v>
      </c>
      <c r="F299" s="1" t="s">
        <v>18</v>
      </c>
      <c r="G299" s="1" t="s">
        <v>1274</v>
      </c>
      <c r="H299" s="1">
        <v>2022.0</v>
      </c>
      <c r="I299" s="1" t="s">
        <v>198</v>
      </c>
      <c r="J299" s="1" t="s">
        <v>1272</v>
      </c>
      <c r="K299" s="1">
        <v>10.0</v>
      </c>
      <c r="L299" s="1" t="s">
        <v>1273</v>
      </c>
      <c r="M299" s="1">
        <v>0.0</v>
      </c>
    </row>
    <row r="300">
      <c r="A300" s="1">
        <v>26.0</v>
      </c>
      <c r="B300" s="1">
        <v>5.0</v>
      </c>
      <c r="C300" s="1">
        <v>0.957136405472064</v>
      </c>
      <c r="D300" s="1" t="s">
        <v>49</v>
      </c>
      <c r="E300" s="1" t="s">
        <v>50</v>
      </c>
      <c r="F300" s="1" t="s">
        <v>1274</v>
      </c>
      <c r="G300" s="2">
        <v>46148.0</v>
      </c>
      <c r="H300" s="1" t="s">
        <v>1274</v>
      </c>
      <c r="I300" s="1" t="s">
        <v>12</v>
      </c>
      <c r="J300" s="1" t="s">
        <v>1272</v>
      </c>
      <c r="K300" s="1">
        <v>10.0</v>
      </c>
      <c r="L300" s="1" t="s">
        <v>1273</v>
      </c>
      <c r="M300" s="1">
        <v>0.0</v>
      </c>
    </row>
    <row r="301">
      <c r="A301" s="1">
        <v>31.0</v>
      </c>
      <c r="B301" s="1">
        <v>5.0</v>
      </c>
      <c r="C301" s="1">
        <v>0.957136071729368</v>
      </c>
      <c r="D301" s="1" t="s">
        <v>55</v>
      </c>
      <c r="E301" s="1" t="s">
        <v>50</v>
      </c>
      <c r="F301" s="1" t="s">
        <v>1274</v>
      </c>
      <c r="G301" s="2">
        <v>46148.0</v>
      </c>
      <c r="H301" s="1" t="s">
        <v>1274</v>
      </c>
      <c r="I301" s="1" t="s">
        <v>12</v>
      </c>
      <c r="J301" s="1" t="s">
        <v>1272</v>
      </c>
      <c r="K301" s="1">
        <v>10.0</v>
      </c>
      <c r="L301" s="1" t="s">
        <v>1273</v>
      </c>
      <c r="M301" s="1">
        <v>-1.0</v>
      </c>
    </row>
    <row r="302">
      <c r="A302" s="1">
        <v>592.0</v>
      </c>
      <c r="B302" s="1">
        <v>4.0</v>
      </c>
      <c r="C302" s="1">
        <v>0.957095530632313</v>
      </c>
      <c r="D302" s="1" t="s">
        <v>544</v>
      </c>
      <c r="E302" s="1" t="s">
        <v>187</v>
      </c>
      <c r="F302" s="1" t="s">
        <v>1274</v>
      </c>
      <c r="G302" s="1" t="s">
        <v>1274</v>
      </c>
      <c r="H302" s="1" t="s">
        <v>1274</v>
      </c>
      <c r="I302" s="1" t="s">
        <v>240</v>
      </c>
      <c r="J302" s="1" t="s">
        <v>1272</v>
      </c>
      <c r="K302" s="1">
        <v>7.0</v>
      </c>
      <c r="L302" s="1" t="s">
        <v>1273</v>
      </c>
      <c r="M302" s="1">
        <v>-1.0</v>
      </c>
    </row>
    <row r="303">
      <c r="A303" s="1">
        <v>1001.0</v>
      </c>
      <c r="B303" s="1">
        <v>2.0</v>
      </c>
      <c r="C303" s="1">
        <v>0.957036612060043</v>
      </c>
      <c r="D303" s="1" t="s">
        <v>908</v>
      </c>
      <c r="E303" s="1" t="s">
        <v>124</v>
      </c>
      <c r="F303" s="1" t="s">
        <v>178</v>
      </c>
      <c r="G303" s="1" t="s">
        <v>1274</v>
      </c>
      <c r="H303" s="1">
        <v>2012.0</v>
      </c>
      <c r="I303" s="1" t="s">
        <v>861</v>
      </c>
      <c r="J303" s="1" t="s">
        <v>1272</v>
      </c>
      <c r="K303" s="1">
        <v>7.0</v>
      </c>
      <c r="L303" s="1" t="s">
        <v>1273</v>
      </c>
      <c r="M303" s="1">
        <v>-1.0</v>
      </c>
    </row>
    <row r="304">
      <c r="A304" s="1">
        <v>985.0</v>
      </c>
      <c r="B304" s="1">
        <v>2.0</v>
      </c>
      <c r="C304" s="1">
        <v>0.957027721268643</v>
      </c>
      <c r="D304" s="1" t="s">
        <v>894</v>
      </c>
      <c r="E304" s="1" t="s">
        <v>107</v>
      </c>
      <c r="F304" s="1" t="s">
        <v>18</v>
      </c>
      <c r="G304" s="1" t="s">
        <v>1274</v>
      </c>
      <c r="H304" s="1">
        <v>2022.0</v>
      </c>
      <c r="I304" s="1" t="s">
        <v>861</v>
      </c>
      <c r="J304" s="1" t="s">
        <v>1272</v>
      </c>
      <c r="K304" s="1">
        <v>7.0</v>
      </c>
      <c r="L304" s="1" t="s">
        <v>1273</v>
      </c>
      <c r="M304" s="1">
        <v>-1.0</v>
      </c>
    </row>
    <row r="305">
      <c r="A305" s="1">
        <v>125.0</v>
      </c>
      <c r="B305" s="1">
        <v>2.0</v>
      </c>
      <c r="C305" s="1">
        <v>0.95702524543911</v>
      </c>
      <c r="D305" s="1" t="s">
        <v>145</v>
      </c>
      <c r="E305" s="1" t="s">
        <v>111</v>
      </c>
      <c r="F305" s="1" t="s">
        <v>18</v>
      </c>
      <c r="G305" s="1" t="s">
        <v>42</v>
      </c>
      <c r="H305" s="1" t="s">
        <v>1274</v>
      </c>
      <c r="I305" s="1" t="s">
        <v>12</v>
      </c>
      <c r="J305" s="1" t="s">
        <v>1272</v>
      </c>
      <c r="K305" s="1">
        <v>7.0</v>
      </c>
      <c r="L305" s="1" t="s">
        <v>1273</v>
      </c>
      <c r="M305" s="1">
        <v>0.0</v>
      </c>
    </row>
    <row r="306">
      <c r="A306" s="1">
        <v>573.0</v>
      </c>
      <c r="B306" s="1">
        <v>3.0</v>
      </c>
      <c r="C306" s="1">
        <v>0.955334634921774</v>
      </c>
      <c r="D306" s="1" t="s">
        <v>525</v>
      </c>
      <c r="E306" s="1" t="s">
        <v>24</v>
      </c>
      <c r="F306" s="1" t="s">
        <v>18</v>
      </c>
      <c r="G306" s="1">
        <v>9.0</v>
      </c>
      <c r="H306" s="1">
        <v>2014.0</v>
      </c>
      <c r="I306" s="1" t="s">
        <v>240</v>
      </c>
      <c r="J306" s="1" t="s">
        <v>1272</v>
      </c>
      <c r="K306" s="1">
        <v>5.0</v>
      </c>
      <c r="L306" s="1" t="s">
        <v>1273</v>
      </c>
      <c r="M306" s="1">
        <v>8.0</v>
      </c>
    </row>
    <row r="307">
      <c r="A307" s="1">
        <v>67.0</v>
      </c>
      <c r="B307" s="1">
        <v>2.0</v>
      </c>
      <c r="C307" s="1">
        <v>0.954991497797251</v>
      </c>
      <c r="D307" s="1" t="s">
        <v>90</v>
      </c>
      <c r="E307" s="1" t="s">
        <v>45</v>
      </c>
      <c r="F307" s="1" t="s">
        <v>18</v>
      </c>
      <c r="G307" s="1" t="s">
        <v>1274</v>
      </c>
      <c r="H307" s="1">
        <v>2019.0</v>
      </c>
      <c r="I307" s="1" t="s">
        <v>12</v>
      </c>
      <c r="J307" s="1" t="s">
        <v>1272</v>
      </c>
      <c r="K307" s="1">
        <v>10.0</v>
      </c>
      <c r="L307" s="1" t="s">
        <v>1273</v>
      </c>
      <c r="M307" s="1">
        <v>0.0</v>
      </c>
    </row>
    <row r="308">
      <c r="A308" s="1">
        <v>35.0</v>
      </c>
      <c r="B308" s="1">
        <v>2.0</v>
      </c>
      <c r="C308" s="1">
        <v>0.954942859675356</v>
      </c>
      <c r="D308" s="1" t="s">
        <v>61</v>
      </c>
      <c r="E308" s="1" t="s">
        <v>58</v>
      </c>
      <c r="F308" s="1" t="s">
        <v>59</v>
      </c>
      <c r="G308" s="2">
        <v>46153.0</v>
      </c>
      <c r="H308" s="1">
        <v>2024.0</v>
      </c>
      <c r="I308" s="1" t="s">
        <v>12</v>
      </c>
      <c r="J308" s="1" t="s">
        <v>1272</v>
      </c>
      <c r="K308" s="1">
        <v>5.0</v>
      </c>
      <c r="L308" s="1" t="s">
        <v>1273</v>
      </c>
      <c r="M308" s="1">
        <v>0.0</v>
      </c>
    </row>
    <row r="309">
      <c r="A309" s="1">
        <v>628.0</v>
      </c>
      <c r="B309" s="1">
        <v>4.0</v>
      </c>
      <c r="C309" s="1">
        <v>0.954839800102993</v>
      </c>
      <c r="D309" s="1" t="s">
        <v>580</v>
      </c>
      <c r="E309" s="1" t="s">
        <v>45</v>
      </c>
      <c r="F309" s="1" t="s">
        <v>18</v>
      </c>
      <c r="G309" s="1" t="s">
        <v>1274</v>
      </c>
      <c r="H309" s="1">
        <v>2022.0</v>
      </c>
      <c r="I309" s="1" t="s">
        <v>240</v>
      </c>
      <c r="J309" s="1" t="s">
        <v>1272</v>
      </c>
      <c r="K309" s="1">
        <v>7.0</v>
      </c>
      <c r="L309" s="1" t="s">
        <v>1273</v>
      </c>
      <c r="M309" s="1">
        <v>4.0</v>
      </c>
    </row>
    <row r="310">
      <c r="A310" s="1">
        <v>1112.0</v>
      </c>
      <c r="B310" s="1">
        <v>2.0</v>
      </c>
      <c r="C310" s="1">
        <v>0.954756502699766</v>
      </c>
      <c r="D310" s="1" t="s">
        <v>999</v>
      </c>
      <c r="E310" s="1" t="s">
        <v>173</v>
      </c>
      <c r="F310" s="1" t="s">
        <v>1274</v>
      </c>
      <c r="G310" s="1" t="s">
        <v>26</v>
      </c>
      <c r="H310" s="1" t="s">
        <v>1274</v>
      </c>
      <c r="I310" s="1" t="s">
        <v>861</v>
      </c>
      <c r="J310" s="1" t="s">
        <v>1272</v>
      </c>
      <c r="K310" s="1">
        <v>7.0</v>
      </c>
      <c r="L310" s="1" t="s">
        <v>1273</v>
      </c>
      <c r="M310" s="1">
        <v>0.0</v>
      </c>
    </row>
    <row r="311">
      <c r="A311" s="1">
        <v>110.0</v>
      </c>
      <c r="B311" s="1">
        <v>2.0</v>
      </c>
      <c r="C311" s="1">
        <v>0.954330059979433</v>
      </c>
      <c r="D311" s="1" t="s">
        <v>132</v>
      </c>
      <c r="E311" s="1" t="s">
        <v>50</v>
      </c>
      <c r="F311" s="1" t="s">
        <v>1274</v>
      </c>
      <c r="G311" s="2">
        <v>46213.0</v>
      </c>
      <c r="H311" s="1">
        <v>2002.0</v>
      </c>
      <c r="I311" s="1" t="s">
        <v>12</v>
      </c>
      <c r="J311" s="1" t="s">
        <v>1272</v>
      </c>
      <c r="K311" s="1">
        <v>5.0</v>
      </c>
      <c r="L311" s="1" t="s">
        <v>1273</v>
      </c>
      <c r="M311" s="1">
        <v>-1.0</v>
      </c>
    </row>
    <row r="312">
      <c r="A312" s="1">
        <v>236.0</v>
      </c>
      <c r="B312" s="1">
        <v>1.0</v>
      </c>
      <c r="C312" s="1">
        <v>0.95362592299859</v>
      </c>
      <c r="D312" s="1" t="s">
        <v>230</v>
      </c>
      <c r="E312" s="1" t="s">
        <v>111</v>
      </c>
      <c r="F312" s="1" t="s">
        <v>1274</v>
      </c>
      <c r="G312" s="1" t="s">
        <v>11</v>
      </c>
      <c r="H312" s="1">
        <v>2021.0</v>
      </c>
      <c r="I312" s="1" t="s">
        <v>198</v>
      </c>
      <c r="J312" s="1" t="s">
        <v>1272</v>
      </c>
      <c r="K312" s="1">
        <v>5.0</v>
      </c>
      <c r="L312" s="1" t="s">
        <v>1273</v>
      </c>
      <c r="M312" s="1">
        <v>6.0</v>
      </c>
    </row>
    <row r="313">
      <c r="A313" s="1">
        <v>574.0</v>
      </c>
      <c r="B313" s="1">
        <v>3.0</v>
      </c>
      <c r="C313" s="1">
        <v>0.952685308713512</v>
      </c>
      <c r="D313" s="1" t="s">
        <v>526</v>
      </c>
      <c r="E313" s="1" t="s">
        <v>24</v>
      </c>
      <c r="F313" s="1" t="s">
        <v>18</v>
      </c>
      <c r="G313" s="1">
        <v>9.0</v>
      </c>
      <c r="H313" s="1">
        <v>2014.0</v>
      </c>
      <c r="I313" s="1" t="s">
        <v>240</v>
      </c>
      <c r="J313" s="1" t="s">
        <v>1272</v>
      </c>
      <c r="K313" s="1">
        <v>5.0</v>
      </c>
      <c r="L313" s="1" t="s">
        <v>1273</v>
      </c>
      <c r="M313" s="1">
        <v>8.0</v>
      </c>
    </row>
    <row r="314">
      <c r="A314" s="1">
        <v>578.0</v>
      </c>
      <c r="B314" s="1">
        <v>2.0</v>
      </c>
      <c r="C314" s="1">
        <v>0.952674683295248</v>
      </c>
      <c r="D314" s="1" t="s">
        <v>530</v>
      </c>
      <c r="E314" s="1" t="s">
        <v>187</v>
      </c>
      <c r="F314" s="1" t="s">
        <v>1274</v>
      </c>
      <c r="G314" s="1" t="s">
        <v>1274</v>
      </c>
      <c r="H314" s="1" t="s">
        <v>1274</v>
      </c>
      <c r="I314" s="1" t="s">
        <v>240</v>
      </c>
      <c r="J314" s="1" t="s">
        <v>1272</v>
      </c>
      <c r="K314" s="1">
        <v>5.0</v>
      </c>
      <c r="L314" s="1" t="s">
        <v>1273</v>
      </c>
      <c r="M314" s="1">
        <v>-1.0</v>
      </c>
    </row>
    <row r="315">
      <c r="A315" s="1">
        <v>42.0</v>
      </c>
      <c r="B315" s="1">
        <v>7.0</v>
      </c>
      <c r="C315" s="1">
        <v>0.952621119124794</v>
      </c>
      <c r="D315" s="1" t="s">
        <v>66</v>
      </c>
      <c r="E315" s="1" t="s">
        <v>45</v>
      </c>
      <c r="F315" s="1" t="s">
        <v>65</v>
      </c>
      <c r="G315" s="1" t="s">
        <v>1274</v>
      </c>
      <c r="H315" s="1">
        <v>2019.0</v>
      </c>
      <c r="I315" s="1" t="s">
        <v>12</v>
      </c>
      <c r="J315" s="1" t="s">
        <v>1272</v>
      </c>
      <c r="K315" s="1">
        <v>10.0</v>
      </c>
      <c r="L315" s="1" t="s">
        <v>1273</v>
      </c>
      <c r="M315" s="1">
        <v>6.0</v>
      </c>
    </row>
    <row r="316">
      <c r="A316" s="1">
        <v>769.0</v>
      </c>
      <c r="B316" s="1">
        <v>4.0</v>
      </c>
      <c r="C316" s="1">
        <v>0.952615422477456</v>
      </c>
      <c r="D316" s="1" t="s">
        <v>705</v>
      </c>
      <c r="E316" s="1" t="s">
        <v>1274</v>
      </c>
      <c r="F316" s="1" t="s">
        <v>1274</v>
      </c>
      <c r="G316" s="1" t="s">
        <v>1274</v>
      </c>
      <c r="H316" s="1">
        <v>2006.0</v>
      </c>
      <c r="I316" s="1" t="s">
        <v>630</v>
      </c>
      <c r="J316" s="1" t="s">
        <v>1272</v>
      </c>
      <c r="K316" s="1">
        <v>5.0</v>
      </c>
      <c r="L316" s="1" t="s">
        <v>1273</v>
      </c>
      <c r="M316" s="1">
        <v>-1.0</v>
      </c>
    </row>
    <row r="317">
      <c r="A317" s="1">
        <v>846.0</v>
      </c>
      <c r="B317" s="1">
        <v>3.0</v>
      </c>
      <c r="C317" s="1">
        <v>0.952445298070304</v>
      </c>
      <c r="D317" s="1" t="s">
        <v>782</v>
      </c>
      <c r="E317" s="1" t="s">
        <v>107</v>
      </c>
      <c r="F317" s="1" t="s">
        <v>18</v>
      </c>
      <c r="G317" s="1" t="s">
        <v>1274</v>
      </c>
      <c r="H317" s="1">
        <v>2024.0</v>
      </c>
      <c r="I317" s="1" t="s">
        <v>630</v>
      </c>
      <c r="J317" s="1" t="s">
        <v>1272</v>
      </c>
      <c r="K317" s="1">
        <v>7.0</v>
      </c>
      <c r="L317" s="1" t="s">
        <v>1273</v>
      </c>
      <c r="M317" s="1">
        <v>13.0</v>
      </c>
    </row>
    <row r="318">
      <c r="A318" s="1">
        <v>758.0</v>
      </c>
      <c r="B318" s="1">
        <v>3.0</v>
      </c>
      <c r="C318" s="1">
        <v>0.952318704358872</v>
      </c>
      <c r="D318" s="1" t="s">
        <v>694</v>
      </c>
      <c r="E318" s="1" t="s">
        <v>58</v>
      </c>
      <c r="F318" s="1" t="s">
        <v>1274</v>
      </c>
      <c r="G318" s="1" t="s">
        <v>42</v>
      </c>
      <c r="H318" s="1">
        <v>2024.0</v>
      </c>
      <c r="I318" s="1" t="s">
        <v>630</v>
      </c>
      <c r="J318" s="1" t="s">
        <v>1272</v>
      </c>
      <c r="K318" s="1">
        <v>5.0</v>
      </c>
      <c r="L318" s="1" t="s">
        <v>1273</v>
      </c>
      <c r="M318" s="1">
        <v>-1.0</v>
      </c>
    </row>
    <row r="319">
      <c r="A319" s="1">
        <v>240.0</v>
      </c>
      <c r="B319" s="1">
        <v>2.0</v>
      </c>
      <c r="C319" s="1">
        <v>0.952156363326938</v>
      </c>
      <c r="D319" s="1" t="s">
        <v>234</v>
      </c>
      <c r="E319" s="1" t="s">
        <v>111</v>
      </c>
      <c r="F319" s="1" t="s">
        <v>1274</v>
      </c>
      <c r="G319" s="1" t="s">
        <v>11</v>
      </c>
      <c r="H319" s="1">
        <v>2021.0</v>
      </c>
      <c r="I319" s="1" t="s">
        <v>198</v>
      </c>
      <c r="J319" s="1" t="s">
        <v>1272</v>
      </c>
      <c r="K319" s="1">
        <v>7.0</v>
      </c>
      <c r="L319" s="1" t="s">
        <v>1273</v>
      </c>
      <c r="M319" s="1">
        <v>-1.0</v>
      </c>
    </row>
    <row r="320">
      <c r="A320" s="1">
        <v>441.0</v>
      </c>
      <c r="B320" s="1">
        <v>2.0</v>
      </c>
      <c r="C320" s="1">
        <v>0.949981022625599</v>
      </c>
      <c r="D320" s="1" t="s">
        <v>411</v>
      </c>
      <c r="E320" s="1" t="s">
        <v>24</v>
      </c>
      <c r="F320" s="1" t="s">
        <v>25</v>
      </c>
      <c r="G320" s="1" t="s">
        <v>126</v>
      </c>
      <c r="H320" s="1">
        <v>2014.0</v>
      </c>
      <c r="I320" s="1" t="s">
        <v>240</v>
      </c>
      <c r="J320" s="1" t="s">
        <v>1272</v>
      </c>
      <c r="K320" s="1">
        <v>10.0</v>
      </c>
      <c r="L320" s="1" t="s">
        <v>1273</v>
      </c>
      <c r="M320" s="1">
        <v>-1.0</v>
      </c>
    </row>
    <row r="321">
      <c r="A321" s="1">
        <v>332.0</v>
      </c>
      <c r="B321" s="1">
        <v>2.0</v>
      </c>
      <c r="C321" s="1">
        <v>0.949962188538876</v>
      </c>
      <c r="D321" s="1" t="s">
        <v>318</v>
      </c>
      <c r="E321" s="1" t="s">
        <v>45</v>
      </c>
      <c r="F321" s="1" t="s">
        <v>65</v>
      </c>
      <c r="G321" s="1" t="s">
        <v>1274</v>
      </c>
      <c r="H321" s="1">
        <v>2019.0</v>
      </c>
      <c r="I321" s="1" t="s">
        <v>240</v>
      </c>
      <c r="J321" s="1" t="s">
        <v>1272</v>
      </c>
      <c r="K321" s="1">
        <v>5.0</v>
      </c>
      <c r="L321" s="1" t="s">
        <v>1273</v>
      </c>
      <c r="M321" s="1">
        <v>6.0</v>
      </c>
    </row>
    <row r="322">
      <c r="A322" s="1">
        <v>576.0</v>
      </c>
      <c r="B322" s="1">
        <v>4.0</v>
      </c>
      <c r="C322" s="1">
        <v>0.949513143878231</v>
      </c>
      <c r="D322" s="1" t="s">
        <v>528</v>
      </c>
      <c r="E322" s="1" t="s">
        <v>187</v>
      </c>
      <c r="F322" s="1" t="s">
        <v>1274</v>
      </c>
      <c r="G322" s="1" t="s">
        <v>1274</v>
      </c>
      <c r="H322" s="1" t="s">
        <v>1274</v>
      </c>
      <c r="I322" s="1" t="s">
        <v>240</v>
      </c>
      <c r="J322" s="1" t="s">
        <v>1272</v>
      </c>
      <c r="K322" s="1">
        <v>7.0</v>
      </c>
      <c r="L322" s="1" t="s">
        <v>1273</v>
      </c>
      <c r="M322" s="1">
        <v>-1.0</v>
      </c>
    </row>
    <row r="323">
      <c r="A323" s="1">
        <v>196.0</v>
      </c>
      <c r="B323" s="1">
        <v>5.0</v>
      </c>
      <c r="C323" s="1">
        <v>0.949505224081426</v>
      </c>
      <c r="D323" s="1" t="s">
        <v>208</v>
      </c>
      <c r="E323" s="1" t="s">
        <v>50</v>
      </c>
      <c r="F323" s="1" t="s">
        <v>18</v>
      </c>
      <c r="G323" s="2">
        <v>46213.0</v>
      </c>
      <c r="H323" s="1">
        <v>2023.0</v>
      </c>
      <c r="I323" s="1" t="s">
        <v>198</v>
      </c>
      <c r="J323" s="1" t="s">
        <v>1272</v>
      </c>
      <c r="K323" s="1">
        <v>7.0</v>
      </c>
      <c r="L323" s="1" t="s">
        <v>1273</v>
      </c>
      <c r="M323" s="1">
        <v>14.0</v>
      </c>
    </row>
    <row r="324">
      <c r="A324" s="1">
        <v>746.0</v>
      </c>
      <c r="B324" s="1">
        <v>3.0</v>
      </c>
      <c r="C324" s="1">
        <v>0.949455284151818</v>
      </c>
      <c r="D324" s="1" t="s">
        <v>682</v>
      </c>
      <c r="E324" s="1" t="s">
        <v>58</v>
      </c>
      <c r="F324" s="1" t="s">
        <v>1274</v>
      </c>
      <c r="G324" s="1" t="s">
        <v>42</v>
      </c>
      <c r="H324" s="1">
        <v>2024.0</v>
      </c>
      <c r="I324" s="1" t="s">
        <v>630</v>
      </c>
      <c r="J324" s="1" t="s">
        <v>1272</v>
      </c>
      <c r="K324" s="1">
        <v>5.0</v>
      </c>
      <c r="L324" s="1" t="s">
        <v>1273</v>
      </c>
      <c r="M324" s="1">
        <v>-1.0</v>
      </c>
    </row>
    <row r="325">
      <c r="A325" s="1">
        <v>483.0</v>
      </c>
      <c r="B325" s="1">
        <v>2.0</v>
      </c>
      <c r="C325" s="1">
        <v>0.948858533137506</v>
      </c>
      <c r="D325" s="1" t="s">
        <v>444</v>
      </c>
      <c r="E325" s="1" t="s">
        <v>10</v>
      </c>
      <c r="F325" s="1" t="s">
        <v>97</v>
      </c>
      <c r="G325" s="1" t="s">
        <v>11</v>
      </c>
      <c r="H325" s="1">
        <v>2011.0</v>
      </c>
      <c r="I325" s="1" t="s">
        <v>240</v>
      </c>
      <c r="J325" s="1" t="s">
        <v>1272</v>
      </c>
      <c r="K325" s="1">
        <v>5.0</v>
      </c>
      <c r="L325" s="1" t="s">
        <v>1273</v>
      </c>
      <c r="M325" s="1">
        <v>-1.0</v>
      </c>
    </row>
    <row r="326">
      <c r="A326" s="1">
        <v>881.0</v>
      </c>
      <c r="B326" s="1">
        <v>3.0</v>
      </c>
      <c r="C326" s="1">
        <v>0.94844221840049</v>
      </c>
      <c r="D326" s="1" t="s">
        <v>814</v>
      </c>
      <c r="E326" s="1" t="s">
        <v>58</v>
      </c>
      <c r="F326" s="1" t="s">
        <v>1274</v>
      </c>
      <c r="G326" s="1" t="s">
        <v>11</v>
      </c>
      <c r="H326" s="1">
        <v>2024.0</v>
      </c>
      <c r="I326" s="1" t="s">
        <v>630</v>
      </c>
      <c r="J326" s="1" t="s">
        <v>1272</v>
      </c>
      <c r="K326" s="1">
        <v>5.0</v>
      </c>
      <c r="L326" s="1" t="s">
        <v>1273</v>
      </c>
      <c r="M326" s="1">
        <v>-1.0</v>
      </c>
    </row>
    <row r="327">
      <c r="A327" s="1">
        <v>15.0</v>
      </c>
      <c r="B327" s="1">
        <v>5.0</v>
      </c>
      <c r="C327" s="1">
        <v>0.946318068247606</v>
      </c>
      <c r="D327" s="1" t="s">
        <v>34</v>
      </c>
      <c r="E327" s="1" t="s">
        <v>1274</v>
      </c>
      <c r="F327" s="1" t="s">
        <v>1274</v>
      </c>
      <c r="G327" s="1" t="s">
        <v>1274</v>
      </c>
      <c r="H327" s="1">
        <v>2006.0</v>
      </c>
      <c r="I327" s="1" t="s">
        <v>12</v>
      </c>
      <c r="J327" s="1" t="s">
        <v>1272</v>
      </c>
      <c r="K327" s="1">
        <v>7.0</v>
      </c>
      <c r="L327" s="1" t="s">
        <v>1273</v>
      </c>
      <c r="M327" s="1">
        <v>3.0</v>
      </c>
    </row>
    <row r="328">
      <c r="A328" s="1">
        <v>882.0</v>
      </c>
      <c r="B328" s="1">
        <v>3.0</v>
      </c>
      <c r="C328" s="1">
        <v>0.945334366602652</v>
      </c>
      <c r="D328" s="1" t="s">
        <v>815</v>
      </c>
      <c r="E328" s="1" t="s">
        <v>58</v>
      </c>
      <c r="F328" s="1" t="s">
        <v>1274</v>
      </c>
      <c r="G328" s="1" t="s">
        <v>11</v>
      </c>
      <c r="H328" s="1">
        <v>2024.0</v>
      </c>
      <c r="I328" s="1" t="s">
        <v>630</v>
      </c>
      <c r="J328" s="1" t="s">
        <v>1272</v>
      </c>
      <c r="K328" s="1">
        <v>5.0</v>
      </c>
      <c r="L328" s="1" t="s">
        <v>1273</v>
      </c>
      <c r="M328" s="1">
        <v>11.0</v>
      </c>
    </row>
    <row r="329">
      <c r="A329" s="1">
        <v>14.0</v>
      </c>
      <c r="B329" s="1">
        <v>5.0</v>
      </c>
      <c r="C329" s="1">
        <v>0.942762177921281</v>
      </c>
      <c r="D329" s="1" t="s">
        <v>33</v>
      </c>
      <c r="E329" s="1" t="s">
        <v>1274</v>
      </c>
      <c r="F329" s="1" t="s">
        <v>1274</v>
      </c>
      <c r="G329" s="1" t="s">
        <v>1274</v>
      </c>
      <c r="H329" s="1">
        <v>2006.0</v>
      </c>
      <c r="I329" s="1" t="s">
        <v>12</v>
      </c>
      <c r="J329" s="1" t="s">
        <v>1272</v>
      </c>
      <c r="K329" s="1">
        <v>7.0</v>
      </c>
      <c r="L329" s="1" t="s">
        <v>1273</v>
      </c>
      <c r="M329" s="1">
        <v>3.0</v>
      </c>
    </row>
    <row r="330">
      <c r="A330" s="1">
        <v>197.0</v>
      </c>
      <c r="B330" s="1">
        <v>3.0</v>
      </c>
      <c r="C330" s="1">
        <v>0.942323495248392</v>
      </c>
      <c r="D330" s="1" t="s">
        <v>209</v>
      </c>
      <c r="E330" s="1" t="s">
        <v>50</v>
      </c>
      <c r="F330" s="1" t="s">
        <v>18</v>
      </c>
      <c r="G330" s="2">
        <v>46213.0</v>
      </c>
      <c r="H330" s="1">
        <v>2023.0</v>
      </c>
      <c r="I330" s="1" t="s">
        <v>198</v>
      </c>
      <c r="J330" s="1" t="s">
        <v>1272</v>
      </c>
      <c r="K330" s="1">
        <v>5.0</v>
      </c>
      <c r="L330" s="1" t="s">
        <v>1273</v>
      </c>
      <c r="M330" s="1">
        <v>6.0</v>
      </c>
    </row>
    <row r="331">
      <c r="A331" s="1">
        <v>446.0</v>
      </c>
      <c r="B331" s="1">
        <v>2.0</v>
      </c>
      <c r="C331" s="1">
        <v>0.940435659336604</v>
      </c>
      <c r="D331" s="1" t="s">
        <v>416</v>
      </c>
      <c r="E331" s="1" t="s">
        <v>50</v>
      </c>
      <c r="F331" s="1" t="s">
        <v>18</v>
      </c>
      <c r="G331" s="1" t="s">
        <v>284</v>
      </c>
      <c r="H331" s="1">
        <v>2022.0</v>
      </c>
      <c r="I331" s="1" t="s">
        <v>240</v>
      </c>
      <c r="J331" s="1" t="s">
        <v>1272</v>
      </c>
      <c r="K331" s="1">
        <v>7.0</v>
      </c>
      <c r="L331" s="1" t="s">
        <v>1273</v>
      </c>
      <c r="M331" s="1">
        <v>0.0</v>
      </c>
    </row>
    <row r="332">
      <c r="A332" s="1">
        <v>728.0</v>
      </c>
      <c r="B332" s="1">
        <v>3.0</v>
      </c>
      <c r="C332" s="1">
        <v>0.939606017190198</v>
      </c>
      <c r="D332" s="1" t="s">
        <v>666</v>
      </c>
      <c r="E332" s="1" t="s">
        <v>10</v>
      </c>
      <c r="F332" s="1" t="s">
        <v>18</v>
      </c>
      <c r="G332" s="1" t="s">
        <v>42</v>
      </c>
      <c r="H332" s="1">
        <v>2014.0</v>
      </c>
      <c r="I332" s="1" t="s">
        <v>630</v>
      </c>
      <c r="J332" s="1" t="s">
        <v>1272</v>
      </c>
      <c r="K332" s="1">
        <v>7.0</v>
      </c>
      <c r="L332" s="1" t="s">
        <v>1273</v>
      </c>
      <c r="M332" s="1">
        <v>1.0</v>
      </c>
    </row>
    <row r="333">
      <c r="A333" s="1">
        <v>647.0</v>
      </c>
      <c r="B333" s="1">
        <v>9.0</v>
      </c>
      <c r="C333" s="1">
        <v>0.938924293111096</v>
      </c>
      <c r="D333" s="1" t="s">
        <v>592</v>
      </c>
      <c r="E333" s="1" t="s">
        <v>41</v>
      </c>
      <c r="F333" s="1" t="s">
        <v>142</v>
      </c>
      <c r="G333" s="1" t="s">
        <v>1274</v>
      </c>
      <c r="H333" s="1">
        <v>2024.0</v>
      </c>
      <c r="I333" s="1" t="s">
        <v>240</v>
      </c>
      <c r="J333" s="1" t="s">
        <v>1272</v>
      </c>
      <c r="K333" s="1">
        <v>10.0</v>
      </c>
      <c r="L333" s="1" t="s">
        <v>1273</v>
      </c>
      <c r="M333" s="1">
        <v>-1.0</v>
      </c>
    </row>
    <row r="334">
      <c r="A334" s="1">
        <v>113.0</v>
      </c>
      <c r="B334" s="1">
        <v>1.0</v>
      </c>
      <c r="C334" s="1">
        <v>0.937510972944744</v>
      </c>
      <c r="D334" s="1" t="s">
        <v>135</v>
      </c>
      <c r="E334" s="1" t="s">
        <v>50</v>
      </c>
      <c r="F334" s="1" t="s">
        <v>1274</v>
      </c>
      <c r="G334" s="2">
        <v>46213.0</v>
      </c>
      <c r="H334" s="1">
        <v>2002.0</v>
      </c>
      <c r="I334" s="1" t="s">
        <v>12</v>
      </c>
      <c r="J334" s="1" t="s">
        <v>1272</v>
      </c>
      <c r="K334" s="1">
        <v>5.0</v>
      </c>
      <c r="L334" s="1" t="s">
        <v>1273</v>
      </c>
      <c r="M334" s="1">
        <v>0.0</v>
      </c>
    </row>
    <row r="335">
      <c r="A335" s="1">
        <v>8.0</v>
      </c>
      <c r="B335" s="1">
        <v>5.0</v>
      </c>
      <c r="C335" s="1">
        <v>0.935707501598388</v>
      </c>
      <c r="D335" s="1" t="s">
        <v>27</v>
      </c>
      <c r="E335" s="1" t="s">
        <v>24</v>
      </c>
      <c r="F335" s="1" t="s">
        <v>25</v>
      </c>
      <c r="G335" s="1" t="s">
        <v>26</v>
      </c>
      <c r="H335" s="1">
        <v>2018.0</v>
      </c>
      <c r="I335" s="1" t="s">
        <v>12</v>
      </c>
      <c r="J335" s="1" t="s">
        <v>1272</v>
      </c>
      <c r="K335" s="1">
        <v>10.0</v>
      </c>
      <c r="L335" s="1" t="s">
        <v>1273</v>
      </c>
      <c r="M335" s="1">
        <v>-1.0</v>
      </c>
    </row>
    <row r="336">
      <c r="A336" s="1">
        <v>414.0</v>
      </c>
      <c r="B336" s="1">
        <v>4.0</v>
      </c>
      <c r="C336" s="1">
        <v>0.934886728986402</v>
      </c>
      <c r="D336" s="1" t="s">
        <v>390</v>
      </c>
      <c r="E336" s="1" t="s">
        <v>24</v>
      </c>
      <c r="F336" s="1" t="s">
        <v>18</v>
      </c>
      <c r="G336" s="1" t="s">
        <v>42</v>
      </c>
      <c r="H336" s="1">
        <v>2024.0</v>
      </c>
      <c r="I336" s="1" t="s">
        <v>240</v>
      </c>
      <c r="J336" s="1" t="s">
        <v>1272</v>
      </c>
      <c r="K336" s="1">
        <v>7.0</v>
      </c>
      <c r="L336" s="1" t="s">
        <v>1273</v>
      </c>
      <c r="M336" s="1">
        <v>2.0</v>
      </c>
    </row>
    <row r="337">
      <c r="A337" s="1">
        <v>23.0</v>
      </c>
      <c r="B337" s="1">
        <v>2.0</v>
      </c>
      <c r="C337" s="1">
        <v>0.934446747555529</v>
      </c>
      <c r="D337" s="1" t="s">
        <v>44</v>
      </c>
      <c r="E337" s="1" t="s">
        <v>45</v>
      </c>
      <c r="F337" s="1" t="s">
        <v>18</v>
      </c>
      <c r="G337" s="1" t="s">
        <v>1274</v>
      </c>
      <c r="H337" s="1">
        <v>2019.0</v>
      </c>
      <c r="I337" s="1" t="s">
        <v>12</v>
      </c>
      <c r="J337" s="1" t="s">
        <v>1272</v>
      </c>
      <c r="K337" s="1">
        <v>5.0</v>
      </c>
      <c r="L337" s="1" t="s">
        <v>1273</v>
      </c>
      <c r="M337" s="1">
        <v>-1.0</v>
      </c>
    </row>
    <row r="338">
      <c r="A338" s="1">
        <v>668.0</v>
      </c>
      <c r="B338" s="1">
        <v>2.0</v>
      </c>
      <c r="C338" s="1">
        <v>0.933856124373161</v>
      </c>
      <c r="D338" s="1" t="s">
        <v>608</v>
      </c>
      <c r="E338" s="1" t="s">
        <v>24</v>
      </c>
      <c r="F338" s="1" t="s">
        <v>25</v>
      </c>
      <c r="G338" s="1" t="s">
        <v>609</v>
      </c>
      <c r="H338" s="1">
        <v>2016.0</v>
      </c>
      <c r="I338" s="1" t="s">
        <v>240</v>
      </c>
      <c r="J338" s="1" t="s">
        <v>1272</v>
      </c>
      <c r="K338" s="1">
        <v>7.0</v>
      </c>
      <c r="L338" s="1" t="s">
        <v>1273</v>
      </c>
      <c r="M338" s="1">
        <v>8.0</v>
      </c>
    </row>
    <row r="339">
      <c r="A339" s="1">
        <v>123.0</v>
      </c>
      <c r="B339" s="1">
        <v>2.0</v>
      </c>
      <c r="C339" s="1">
        <v>0.933850789871236</v>
      </c>
      <c r="D339" s="1" t="s">
        <v>143</v>
      </c>
      <c r="E339" s="1" t="s">
        <v>111</v>
      </c>
      <c r="F339" s="1" t="s">
        <v>18</v>
      </c>
      <c r="G339" s="1" t="s">
        <v>42</v>
      </c>
      <c r="H339" s="1">
        <v>2011.0</v>
      </c>
      <c r="I339" s="1" t="s">
        <v>12</v>
      </c>
      <c r="J339" s="1" t="s">
        <v>1272</v>
      </c>
      <c r="K339" s="1">
        <v>7.0</v>
      </c>
      <c r="L339" s="1" t="s">
        <v>1273</v>
      </c>
      <c r="M339" s="1">
        <v>17.0</v>
      </c>
    </row>
    <row r="340">
      <c r="A340" s="1">
        <v>895.0</v>
      </c>
      <c r="B340" s="1">
        <v>3.0</v>
      </c>
      <c r="C340" s="1">
        <v>0.933454718706204</v>
      </c>
      <c r="D340" s="1" t="s">
        <v>828</v>
      </c>
      <c r="E340" s="1" t="s">
        <v>58</v>
      </c>
      <c r="F340" s="1" t="s">
        <v>1274</v>
      </c>
      <c r="G340" s="1" t="s">
        <v>11</v>
      </c>
      <c r="H340" s="1">
        <v>2024.0</v>
      </c>
      <c r="I340" s="1" t="s">
        <v>630</v>
      </c>
      <c r="J340" s="1" t="s">
        <v>1272</v>
      </c>
      <c r="K340" s="1">
        <v>5.0</v>
      </c>
      <c r="L340" s="1" t="s">
        <v>1273</v>
      </c>
      <c r="M340" s="1">
        <v>1.0</v>
      </c>
    </row>
    <row r="341">
      <c r="A341" s="1">
        <v>316.0</v>
      </c>
      <c r="B341" s="1">
        <v>2.0</v>
      </c>
      <c r="C341" s="1">
        <v>0.932541187191284</v>
      </c>
      <c r="D341" s="1" t="s">
        <v>304</v>
      </c>
      <c r="E341" s="1" t="s">
        <v>17</v>
      </c>
      <c r="F341" s="1" t="s">
        <v>18</v>
      </c>
      <c r="G341" s="1">
        <v>10.0</v>
      </c>
      <c r="H341" s="1">
        <v>2024.0</v>
      </c>
      <c r="I341" s="1" t="s">
        <v>240</v>
      </c>
      <c r="J341" s="1" t="s">
        <v>1272</v>
      </c>
      <c r="K341" s="1">
        <v>5.0</v>
      </c>
      <c r="L341" s="1" t="s">
        <v>1273</v>
      </c>
      <c r="M341" s="1">
        <v>12.0</v>
      </c>
    </row>
    <row r="342">
      <c r="A342" s="1">
        <v>284.0</v>
      </c>
      <c r="B342" s="1">
        <v>2.0</v>
      </c>
      <c r="C342" s="1">
        <v>0.931030952879865</v>
      </c>
      <c r="D342" s="1" t="s">
        <v>277</v>
      </c>
      <c r="E342" s="1" t="s">
        <v>107</v>
      </c>
      <c r="F342" s="1" t="s">
        <v>1274</v>
      </c>
      <c r="G342" s="1" t="s">
        <v>11</v>
      </c>
      <c r="H342" s="1">
        <v>2019.0</v>
      </c>
      <c r="I342" s="1" t="s">
        <v>240</v>
      </c>
      <c r="J342" s="1" t="s">
        <v>1272</v>
      </c>
      <c r="K342" s="1">
        <v>5.0</v>
      </c>
      <c r="L342" s="1" t="s">
        <v>1273</v>
      </c>
      <c r="M342" s="1">
        <v>0.0</v>
      </c>
    </row>
    <row r="343">
      <c r="A343" s="1">
        <v>16.0</v>
      </c>
      <c r="B343" s="1">
        <v>5.0</v>
      </c>
      <c r="C343" s="1">
        <v>0.930757257771156</v>
      </c>
      <c r="D343" s="1" t="s">
        <v>35</v>
      </c>
      <c r="E343" s="1" t="s">
        <v>1274</v>
      </c>
      <c r="F343" s="1" t="s">
        <v>1274</v>
      </c>
      <c r="G343" s="1" t="s">
        <v>1274</v>
      </c>
      <c r="H343" s="1">
        <v>2006.0</v>
      </c>
      <c r="I343" s="1" t="s">
        <v>12</v>
      </c>
      <c r="J343" s="1" t="s">
        <v>1272</v>
      </c>
      <c r="K343" s="1">
        <v>10.0</v>
      </c>
      <c r="L343" s="1" t="s">
        <v>1273</v>
      </c>
      <c r="M343" s="1">
        <v>-1.0</v>
      </c>
    </row>
    <row r="344">
      <c r="A344" s="1">
        <v>304.0</v>
      </c>
      <c r="B344" s="1">
        <v>4.0</v>
      </c>
      <c r="C344" s="1">
        <v>0.929124182806024</v>
      </c>
      <c r="D344" s="1" t="s">
        <v>292</v>
      </c>
      <c r="E344" s="1" t="s">
        <v>24</v>
      </c>
      <c r="F344" s="1" t="s">
        <v>18</v>
      </c>
      <c r="G344" s="1" t="s">
        <v>42</v>
      </c>
      <c r="H344" s="1">
        <v>2024.0</v>
      </c>
      <c r="I344" s="1" t="s">
        <v>240</v>
      </c>
      <c r="J344" s="1" t="s">
        <v>1272</v>
      </c>
      <c r="K344" s="1">
        <v>7.0</v>
      </c>
      <c r="L344" s="1" t="s">
        <v>1273</v>
      </c>
      <c r="M344" s="1">
        <v>2.0</v>
      </c>
    </row>
    <row r="345">
      <c r="A345" s="1">
        <v>791.0</v>
      </c>
      <c r="B345" s="1">
        <v>3.0</v>
      </c>
      <c r="C345" s="1">
        <v>0.928961122196328</v>
      </c>
      <c r="D345" s="1" t="s">
        <v>727</v>
      </c>
      <c r="E345" s="1" t="s">
        <v>1274</v>
      </c>
      <c r="F345" s="1" t="s">
        <v>1274</v>
      </c>
      <c r="G345" s="1" t="s">
        <v>1274</v>
      </c>
      <c r="H345" s="1">
        <v>2006.0</v>
      </c>
      <c r="I345" s="1" t="s">
        <v>630</v>
      </c>
      <c r="J345" s="1" t="s">
        <v>1272</v>
      </c>
      <c r="K345" s="1">
        <v>5.0</v>
      </c>
      <c r="L345" s="1" t="s">
        <v>1273</v>
      </c>
      <c r="M345" s="1">
        <v>-1.0</v>
      </c>
    </row>
    <row r="346">
      <c r="A346" s="1">
        <v>656.0</v>
      </c>
      <c r="B346" s="1">
        <v>2.0</v>
      </c>
      <c r="C346" s="1">
        <v>0.92778990779787</v>
      </c>
      <c r="D346" s="1" t="s">
        <v>596</v>
      </c>
      <c r="E346" s="1" t="s">
        <v>173</v>
      </c>
      <c r="F346" s="1" t="s">
        <v>18</v>
      </c>
      <c r="G346" s="1" t="s">
        <v>42</v>
      </c>
      <c r="H346" s="1">
        <v>2021.0</v>
      </c>
      <c r="I346" s="1" t="s">
        <v>240</v>
      </c>
      <c r="J346" s="1" t="s">
        <v>1272</v>
      </c>
      <c r="K346" s="1">
        <v>5.0</v>
      </c>
      <c r="L346" s="1" t="s">
        <v>1273</v>
      </c>
      <c r="M346" s="1">
        <v>0.0</v>
      </c>
    </row>
    <row r="347">
      <c r="A347" s="1">
        <v>780.0</v>
      </c>
      <c r="B347" s="1">
        <v>3.0</v>
      </c>
      <c r="C347" s="1">
        <v>0.927310389287378</v>
      </c>
      <c r="D347" s="1" t="s">
        <v>716</v>
      </c>
      <c r="E347" s="1" t="s">
        <v>1274</v>
      </c>
      <c r="F347" s="1" t="s">
        <v>1274</v>
      </c>
      <c r="G347" s="1" t="s">
        <v>1274</v>
      </c>
      <c r="H347" s="1">
        <v>2006.0</v>
      </c>
      <c r="I347" s="1" t="s">
        <v>630</v>
      </c>
      <c r="J347" s="1" t="s">
        <v>1272</v>
      </c>
      <c r="K347" s="1">
        <v>5.0</v>
      </c>
      <c r="L347" s="1" t="s">
        <v>1273</v>
      </c>
      <c r="M347" s="1">
        <v>-1.0</v>
      </c>
    </row>
    <row r="348">
      <c r="A348" s="1">
        <v>792.0</v>
      </c>
      <c r="B348" s="1">
        <v>3.0</v>
      </c>
      <c r="C348" s="1">
        <v>0.927067601506623</v>
      </c>
      <c r="D348" s="1" t="s">
        <v>728</v>
      </c>
      <c r="E348" s="1" t="s">
        <v>1274</v>
      </c>
      <c r="F348" s="1" t="s">
        <v>1274</v>
      </c>
      <c r="G348" s="1" t="s">
        <v>1274</v>
      </c>
      <c r="H348" s="1">
        <v>2006.0</v>
      </c>
      <c r="I348" s="1" t="s">
        <v>630</v>
      </c>
      <c r="J348" s="1" t="s">
        <v>1272</v>
      </c>
      <c r="K348" s="1">
        <v>5.0</v>
      </c>
      <c r="L348" s="1" t="s">
        <v>1273</v>
      </c>
      <c r="M348" s="1">
        <v>-1.0</v>
      </c>
    </row>
    <row r="349">
      <c r="A349" s="1">
        <v>872.0</v>
      </c>
      <c r="B349" s="1">
        <v>3.0</v>
      </c>
      <c r="C349" s="1">
        <v>0.926976403915256</v>
      </c>
      <c r="D349" s="1" t="s">
        <v>807</v>
      </c>
      <c r="E349" s="1" t="s">
        <v>58</v>
      </c>
      <c r="F349" s="1" t="s">
        <v>1274</v>
      </c>
      <c r="G349" s="1" t="s">
        <v>11</v>
      </c>
      <c r="H349" s="1">
        <v>2024.0</v>
      </c>
      <c r="I349" s="1" t="s">
        <v>630</v>
      </c>
      <c r="J349" s="1" t="s">
        <v>1272</v>
      </c>
      <c r="K349" s="1">
        <v>7.0</v>
      </c>
      <c r="L349" s="1" t="s">
        <v>1273</v>
      </c>
      <c r="M349" s="1">
        <v>1.0</v>
      </c>
    </row>
    <row r="350">
      <c r="A350" s="1">
        <v>869.0</v>
      </c>
      <c r="B350" s="1">
        <v>3.0</v>
      </c>
      <c r="C350" s="1">
        <v>0.926656020465009</v>
      </c>
      <c r="D350" s="1" t="s">
        <v>805</v>
      </c>
      <c r="E350" s="1" t="s">
        <v>47</v>
      </c>
      <c r="F350" s="1" t="s">
        <v>1274</v>
      </c>
      <c r="G350" s="1" t="s">
        <v>42</v>
      </c>
      <c r="H350" s="1">
        <v>2016.0</v>
      </c>
      <c r="I350" s="1" t="s">
        <v>630</v>
      </c>
      <c r="J350" s="1" t="s">
        <v>1272</v>
      </c>
      <c r="K350" s="1">
        <v>5.0</v>
      </c>
      <c r="L350" s="1" t="s">
        <v>1273</v>
      </c>
      <c r="M350" s="1">
        <v>7.0</v>
      </c>
    </row>
    <row r="351">
      <c r="A351" s="1">
        <v>1014.0</v>
      </c>
      <c r="B351" s="1">
        <v>3.0</v>
      </c>
      <c r="C351" s="1">
        <v>0.924339698912977</v>
      </c>
      <c r="D351" s="1" t="s">
        <v>921</v>
      </c>
      <c r="E351" s="1" t="s">
        <v>111</v>
      </c>
      <c r="F351" s="1" t="s">
        <v>18</v>
      </c>
      <c r="G351" s="1" t="s">
        <v>42</v>
      </c>
      <c r="H351" s="1">
        <v>1998.0</v>
      </c>
      <c r="I351" s="1" t="s">
        <v>861</v>
      </c>
      <c r="J351" s="1" t="s">
        <v>1272</v>
      </c>
      <c r="K351" s="1">
        <v>5.0</v>
      </c>
      <c r="L351" s="1" t="s">
        <v>1273</v>
      </c>
      <c r="M351" s="1">
        <v>-1.0</v>
      </c>
    </row>
    <row r="352">
      <c r="A352" s="1">
        <v>968.0</v>
      </c>
      <c r="B352" s="1">
        <v>3.0</v>
      </c>
      <c r="C352" s="1">
        <v>0.924339698912977</v>
      </c>
      <c r="D352" s="1" t="s">
        <v>884</v>
      </c>
      <c r="E352" s="1" t="s">
        <v>111</v>
      </c>
      <c r="F352" s="1" t="s">
        <v>1274</v>
      </c>
      <c r="G352" s="1" t="s">
        <v>1274</v>
      </c>
      <c r="H352" s="1">
        <v>2011.0</v>
      </c>
      <c r="I352" s="1" t="s">
        <v>861</v>
      </c>
      <c r="J352" s="1" t="s">
        <v>1272</v>
      </c>
      <c r="K352" s="1">
        <v>5.0</v>
      </c>
      <c r="L352" s="1" t="s">
        <v>1273</v>
      </c>
      <c r="M352" s="1">
        <v>0.0</v>
      </c>
    </row>
    <row r="353">
      <c r="A353" s="1">
        <v>962.0</v>
      </c>
      <c r="B353" s="1">
        <v>7.0</v>
      </c>
      <c r="C353" s="1">
        <v>0.922970815079195</v>
      </c>
      <c r="D353" s="1" t="s">
        <v>878</v>
      </c>
      <c r="E353" s="1" t="s">
        <v>111</v>
      </c>
      <c r="F353" s="1" t="s">
        <v>1274</v>
      </c>
      <c r="G353" s="1" t="s">
        <v>1274</v>
      </c>
      <c r="H353" s="1">
        <v>2011.0</v>
      </c>
      <c r="I353" s="1" t="s">
        <v>861</v>
      </c>
      <c r="J353" s="1" t="s">
        <v>1272</v>
      </c>
      <c r="K353" s="1">
        <v>10.0</v>
      </c>
      <c r="L353" s="1" t="s">
        <v>1273</v>
      </c>
      <c r="M353" s="1">
        <v>-1.0</v>
      </c>
    </row>
    <row r="354">
      <c r="A354" s="1">
        <v>757.0</v>
      </c>
      <c r="B354" s="1">
        <v>3.0</v>
      </c>
      <c r="C354" s="1">
        <v>0.922659465276831</v>
      </c>
      <c r="D354" s="1" t="s">
        <v>693</v>
      </c>
      <c r="E354" s="1" t="s">
        <v>58</v>
      </c>
      <c r="F354" s="1" t="s">
        <v>1274</v>
      </c>
      <c r="G354" s="1" t="s">
        <v>42</v>
      </c>
      <c r="H354" s="1">
        <v>2024.0</v>
      </c>
      <c r="I354" s="1" t="s">
        <v>630</v>
      </c>
      <c r="J354" s="1" t="s">
        <v>1272</v>
      </c>
      <c r="K354" s="1">
        <v>7.0</v>
      </c>
      <c r="L354" s="1" t="s">
        <v>1273</v>
      </c>
      <c r="M354" s="1">
        <v>1.0</v>
      </c>
    </row>
    <row r="355">
      <c r="A355" s="1">
        <v>564.0</v>
      </c>
      <c r="B355" s="1">
        <v>2.0</v>
      </c>
      <c r="C355" s="1">
        <v>0.922187534817804</v>
      </c>
      <c r="D355" s="1" t="s">
        <v>516</v>
      </c>
      <c r="E355" s="1" t="s">
        <v>107</v>
      </c>
      <c r="F355" s="1" t="s">
        <v>18</v>
      </c>
      <c r="G355" s="1" t="s">
        <v>1274</v>
      </c>
      <c r="H355" s="1">
        <v>2022.0</v>
      </c>
      <c r="I355" s="1" t="s">
        <v>240</v>
      </c>
      <c r="J355" s="1" t="s">
        <v>1272</v>
      </c>
      <c r="K355" s="1">
        <v>5.0</v>
      </c>
      <c r="L355" s="1" t="s">
        <v>1273</v>
      </c>
      <c r="M355" s="1">
        <v>-1.0</v>
      </c>
    </row>
    <row r="356">
      <c r="A356" s="1">
        <v>303.0</v>
      </c>
      <c r="B356" s="1">
        <v>4.0</v>
      </c>
      <c r="C356" s="1">
        <v>0.922135278056257</v>
      </c>
      <c r="D356" s="1" t="s">
        <v>291</v>
      </c>
      <c r="E356" s="1" t="s">
        <v>24</v>
      </c>
      <c r="F356" s="1" t="s">
        <v>18</v>
      </c>
      <c r="G356" s="1" t="s">
        <v>42</v>
      </c>
      <c r="H356" s="1">
        <v>2024.0</v>
      </c>
      <c r="I356" s="1" t="s">
        <v>240</v>
      </c>
      <c r="J356" s="1" t="s">
        <v>1272</v>
      </c>
      <c r="K356" s="1">
        <v>7.0</v>
      </c>
      <c r="L356" s="1" t="s">
        <v>1273</v>
      </c>
      <c r="M356" s="1">
        <v>-1.0</v>
      </c>
    </row>
    <row r="357">
      <c r="A357" s="1">
        <v>825.0</v>
      </c>
      <c r="B357" s="1">
        <v>3.0</v>
      </c>
      <c r="C357" s="1">
        <v>0.921946921123361</v>
      </c>
      <c r="D357" s="1" t="s">
        <v>761</v>
      </c>
      <c r="E357" s="1" t="s">
        <v>107</v>
      </c>
      <c r="F357" s="1" t="s">
        <v>18</v>
      </c>
      <c r="G357" s="1" t="s">
        <v>1274</v>
      </c>
      <c r="H357" s="1">
        <v>2024.0</v>
      </c>
      <c r="I357" s="1" t="s">
        <v>630</v>
      </c>
      <c r="J357" s="1" t="s">
        <v>1272</v>
      </c>
      <c r="K357" s="1">
        <v>7.0</v>
      </c>
      <c r="L357" s="1" t="s">
        <v>1273</v>
      </c>
      <c r="M357" s="1">
        <v>1.0</v>
      </c>
    </row>
    <row r="358">
      <c r="A358" s="1">
        <v>538.0</v>
      </c>
      <c r="B358" s="1">
        <v>4.0</v>
      </c>
      <c r="C358" s="1">
        <v>0.920203587493185</v>
      </c>
      <c r="D358" s="1" t="s">
        <v>499</v>
      </c>
      <c r="E358" s="1" t="s">
        <v>17</v>
      </c>
      <c r="F358" s="1" t="s">
        <v>18</v>
      </c>
      <c r="G358" s="1">
        <v>12.0</v>
      </c>
      <c r="H358" s="1">
        <v>2024.0</v>
      </c>
      <c r="I358" s="1" t="s">
        <v>240</v>
      </c>
      <c r="J358" s="1" t="s">
        <v>1272</v>
      </c>
      <c r="K358" s="1">
        <v>7.0</v>
      </c>
      <c r="L358" s="1" t="s">
        <v>1273</v>
      </c>
      <c r="M358" s="1">
        <v>2.0</v>
      </c>
    </row>
    <row r="359">
      <c r="A359" s="1">
        <v>677.0</v>
      </c>
      <c r="B359" s="1">
        <v>2.0</v>
      </c>
      <c r="C359" s="1">
        <v>0.920131555000482</v>
      </c>
      <c r="D359" s="1" t="s">
        <v>616</v>
      </c>
      <c r="E359" s="1" t="s">
        <v>111</v>
      </c>
      <c r="F359" s="1" t="s">
        <v>1274</v>
      </c>
      <c r="G359" s="1" t="s">
        <v>11</v>
      </c>
      <c r="H359" s="1">
        <v>2014.0</v>
      </c>
      <c r="I359" s="1" t="s">
        <v>240</v>
      </c>
      <c r="J359" s="1" t="s">
        <v>1272</v>
      </c>
      <c r="K359" s="1">
        <v>5.0</v>
      </c>
      <c r="L359" s="1" t="s">
        <v>1273</v>
      </c>
      <c r="M359" s="1">
        <v>5.0</v>
      </c>
    </row>
    <row r="360">
      <c r="A360" s="1">
        <v>269.0</v>
      </c>
      <c r="B360" s="1">
        <v>2.0</v>
      </c>
      <c r="C360" s="1">
        <v>0.91920039062588</v>
      </c>
      <c r="D360" s="1" t="s">
        <v>262</v>
      </c>
      <c r="E360" s="1" t="s">
        <v>1274</v>
      </c>
      <c r="F360" s="1" t="s">
        <v>178</v>
      </c>
      <c r="G360" s="1" t="s">
        <v>1274</v>
      </c>
      <c r="H360" s="1">
        <v>2024.0</v>
      </c>
      <c r="I360" s="1" t="s">
        <v>240</v>
      </c>
      <c r="J360" s="1" t="s">
        <v>1272</v>
      </c>
      <c r="K360" s="1">
        <v>10.0</v>
      </c>
      <c r="L360" s="1" t="s">
        <v>1273</v>
      </c>
      <c r="M360" s="1">
        <v>0.0</v>
      </c>
    </row>
    <row r="361">
      <c r="A361" s="1">
        <v>283.0</v>
      </c>
      <c r="B361" s="1">
        <v>2.0</v>
      </c>
      <c r="C361" s="1">
        <v>0.919177418076225</v>
      </c>
      <c r="D361" s="1" t="s">
        <v>276</v>
      </c>
      <c r="E361" s="1" t="s">
        <v>107</v>
      </c>
      <c r="F361" s="1" t="s">
        <v>1274</v>
      </c>
      <c r="G361" s="1" t="s">
        <v>11</v>
      </c>
      <c r="H361" s="1">
        <v>2019.0</v>
      </c>
      <c r="I361" s="1" t="s">
        <v>240</v>
      </c>
      <c r="J361" s="1" t="s">
        <v>1272</v>
      </c>
      <c r="K361" s="1">
        <v>5.0</v>
      </c>
      <c r="L361" s="1" t="s">
        <v>1273</v>
      </c>
      <c r="M361" s="1">
        <v>0.0</v>
      </c>
    </row>
    <row r="362">
      <c r="A362" s="1">
        <v>22.0</v>
      </c>
      <c r="B362" s="1">
        <v>2.0</v>
      </c>
      <c r="C362" s="1">
        <v>0.919092195095129</v>
      </c>
      <c r="D362" s="1" t="s">
        <v>43</v>
      </c>
      <c r="E362" s="1" t="s">
        <v>41</v>
      </c>
      <c r="F362" s="1" t="s">
        <v>18</v>
      </c>
      <c r="G362" s="1" t="s">
        <v>42</v>
      </c>
      <c r="H362" s="1">
        <v>2024.0</v>
      </c>
      <c r="I362" s="1" t="s">
        <v>12</v>
      </c>
      <c r="J362" s="1" t="s">
        <v>1272</v>
      </c>
      <c r="K362" s="1">
        <v>5.0</v>
      </c>
      <c r="L362" s="1" t="s">
        <v>1273</v>
      </c>
      <c r="M362" s="1">
        <v>0.0</v>
      </c>
    </row>
    <row r="363">
      <c r="A363" s="1">
        <v>706.0</v>
      </c>
      <c r="B363" s="1">
        <v>3.0</v>
      </c>
      <c r="C363" s="1">
        <v>0.919007975746708</v>
      </c>
      <c r="D363" s="1" t="s">
        <v>644</v>
      </c>
      <c r="E363" s="1" t="s">
        <v>102</v>
      </c>
      <c r="F363" s="1" t="s">
        <v>18</v>
      </c>
      <c r="G363" s="1" t="s">
        <v>42</v>
      </c>
      <c r="H363" s="1">
        <v>2009.0</v>
      </c>
      <c r="I363" s="1" t="s">
        <v>630</v>
      </c>
      <c r="J363" s="1" t="s">
        <v>1272</v>
      </c>
      <c r="K363" s="1">
        <v>7.0</v>
      </c>
      <c r="L363" s="1" t="s">
        <v>1273</v>
      </c>
      <c r="M363" s="1">
        <v>1.0</v>
      </c>
    </row>
    <row r="364">
      <c r="A364" s="1">
        <v>1090.0</v>
      </c>
      <c r="B364" s="1">
        <v>2.0</v>
      </c>
      <c r="C364" s="1">
        <v>0.918783595165576</v>
      </c>
      <c r="D364" s="1" t="s">
        <v>971</v>
      </c>
      <c r="E364" s="1" t="s">
        <v>17</v>
      </c>
      <c r="F364" s="1" t="s">
        <v>18</v>
      </c>
      <c r="G364" s="1">
        <v>13.0</v>
      </c>
      <c r="H364" s="1">
        <v>2023.0</v>
      </c>
      <c r="I364" s="1" t="s">
        <v>861</v>
      </c>
      <c r="J364" s="1" t="s">
        <v>1272</v>
      </c>
      <c r="K364" s="1">
        <v>7.0</v>
      </c>
      <c r="L364" s="1" t="s">
        <v>1273</v>
      </c>
      <c r="M364" s="1">
        <v>-1.0</v>
      </c>
    </row>
    <row r="365">
      <c r="A365" s="1">
        <v>632.0</v>
      </c>
      <c r="B365" s="1">
        <v>2.0</v>
      </c>
      <c r="C365" s="1">
        <v>0.918697897422418</v>
      </c>
      <c r="D365" s="1" t="s">
        <v>584</v>
      </c>
      <c r="E365" s="1" t="s">
        <v>45</v>
      </c>
      <c r="F365" s="1" t="s">
        <v>18</v>
      </c>
      <c r="G365" s="1" t="s">
        <v>1274</v>
      </c>
      <c r="H365" s="1">
        <v>2022.0</v>
      </c>
      <c r="I365" s="1" t="s">
        <v>240</v>
      </c>
      <c r="J365" s="1" t="s">
        <v>1272</v>
      </c>
      <c r="K365" s="1">
        <v>5.0</v>
      </c>
      <c r="L365" s="1" t="s">
        <v>1273</v>
      </c>
      <c r="M365" s="1">
        <v>0.0</v>
      </c>
    </row>
    <row r="366">
      <c r="A366" s="1">
        <v>842.0</v>
      </c>
      <c r="B366" s="1">
        <v>3.0</v>
      </c>
      <c r="C366" s="1">
        <v>0.918355101214553</v>
      </c>
      <c r="D366" s="1" t="s">
        <v>778</v>
      </c>
      <c r="E366" s="1" t="s">
        <v>107</v>
      </c>
      <c r="F366" s="1" t="s">
        <v>18</v>
      </c>
      <c r="G366" s="1" t="s">
        <v>1274</v>
      </c>
      <c r="H366" s="1">
        <v>2024.0</v>
      </c>
      <c r="I366" s="1" t="s">
        <v>630</v>
      </c>
      <c r="J366" s="1" t="s">
        <v>1272</v>
      </c>
      <c r="K366" s="1">
        <v>7.0</v>
      </c>
      <c r="L366" s="1" t="s">
        <v>1273</v>
      </c>
      <c r="M366" s="1">
        <v>1.0</v>
      </c>
    </row>
    <row r="367">
      <c r="A367" s="1">
        <v>721.0</v>
      </c>
      <c r="B367" s="1">
        <v>3.0</v>
      </c>
      <c r="C367" s="1">
        <v>0.918063884593478</v>
      </c>
      <c r="D367" s="1" t="s">
        <v>659</v>
      </c>
      <c r="E367" s="1" t="s">
        <v>10</v>
      </c>
      <c r="F367" s="1" t="s">
        <v>18</v>
      </c>
      <c r="G367" s="1" t="s">
        <v>42</v>
      </c>
      <c r="H367" s="1">
        <v>2014.0</v>
      </c>
      <c r="I367" s="1" t="s">
        <v>630</v>
      </c>
      <c r="J367" s="1" t="s">
        <v>1272</v>
      </c>
      <c r="K367" s="1">
        <v>5.0</v>
      </c>
      <c r="L367" s="1" t="s">
        <v>1273</v>
      </c>
      <c r="M367" s="1">
        <v>11.0</v>
      </c>
    </row>
    <row r="368">
      <c r="A368" s="1">
        <v>920.0</v>
      </c>
      <c r="B368" s="1">
        <v>3.0</v>
      </c>
      <c r="C368" s="1">
        <v>0.918033920000138</v>
      </c>
      <c r="D368" s="1" t="s">
        <v>854</v>
      </c>
      <c r="E368" s="1" t="s">
        <v>173</v>
      </c>
      <c r="F368" s="1" t="s">
        <v>1274</v>
      </c>
      <c r="G368" s="1" t="s">
        <v>609</v>
      </c>
      <c r="H368" s="1">
        <v>2015.0</v>
      </c>
      <c r="I368" s="1" t="s">
        <v>630</v>
      </c>
      <c r="J368" s="1" t="s">
        <v>1272</v>
      </c>
      <c r="K368" s="1">
        <v>7.0</v>
      </c>
      <c r="L368" s="1" t="s">
        <v>1273</v>
      </c>
      <c r="M368" s="1">
        <v>1.0</v>
      </c>
    </row>
    <row r="369">
      <c r="A369" s="1">
        <v>289.0</v>
      </c>
      <c r="B369" s="1">
        <v>2.0</v>
      </c>
      <c r="C369" s="1">
        <v>0.918003887525728</v>
      </c>
      <c r="D369" s="1" t="s">
        <v>282</v>
      </c>
      <c r="E369" s="1" t="s">
        <v>107</v>
      </c>
      <c r="F369" s="1" t="s">
        <v>1274</v>
      </c>
      <c r="G369" s="1" t="s">
        <v>11</v>
      </c>
      <c r="H369" s="1">
        <v>2019.0</v>
      </c>
      <c r="I369" s="1" t="s">
        <v>240</v>
      </c>
      <c r="J369" s="1" t="s">
        <v>1272</v>
      </c>
      <c r="K369" s="1">
        <v>5.0</v>
      </c>
      <c r="L369" s="1" t="s">
        <v>1273</v>
      </c>
      <c r="M369" s="1">
        <v>0.0</v>
      </c>
    </row>
    <row r="370">
      <c r="A370" s="1">
        <v>385.0</v>
      </c>
      <c r="B370" s="1">
        <v>2.0</v>
      </c>
      <c r="C370" s="1">
        <v>0.917301283834636</v>
      </c>
      <c r="D370" s="1" t="s">
        <v>273</v>
      </c>
      <c r="E370" s="1" t="s">
        <v>124</v>
      </c>
      <c r="F370" s="1" t="s">
        <v>18</v>
      </c>
      <c r="G370" s="1" t="s">
        <v>1274</v>
      </c>
      <c r="H370" s="1">
        <v>2024.0</v>
      </c>
      <c r="I370" s="1" t="s">
        <v>240</v>
      </c>
      <c r="J370" s="1" t="s">
        <v>1272</v>
      </c>
      <c r="K370" s="1">
        <v>5.0</v>
      </c>
      <c r="L370" s="1" t="s">
        <v>1273</v>
      </c>
      <c r="M370" s="1">
        <v>4.0</v>
      </c>
    </row>
    <row r="371">
      <c r="A371" s="1">
        <v>1008.0</v>
      </c>
      <c r="B371" s="1">
        <v>7.0</v>
      </c>
      <c r="C371" s="1">
        <v>0.916158030952161</v>
      </c>
      <c r="D371" s="1" t="s">
        <v>915</v>
      </c>
      <c r="E371" s="1" t="s">
        <v>111</v>
      </c>
      <c r="F371" s="1" t="s">
        <v>18</v>
      </c>
      <c r="G371" s="1" t="s">
        <v>42</v>
      </c>
      <c r="H371" s="1">
        <v>1998.0</v>
      </c>
      <c r="I371" s="1" t="s">
        <v>861</v>
      </c>
      <c r="J371" s="1" t="s">
        <v>1272</v>
      </c>
      <c r="K371" s="1">
        <v>10.0</v>
      </c>
      <c r="L371" s="1" t="s">
        <v>1273</v>
      </c>
      <c r="M371" s="1">
        <v>-1.0</v>
      </c>
    </row>
    <row r="372">
      <c r="A372" s="1">
        <v>305.0</v>
      </c>
      <c r="B372" s="1">
        <v>4.0</v>
      </c>
      <c r="C372" s="1">
        <v>0.916117850984583</v>
      </c>
      <c r="D372" s="1" t="s">
        <v>293</v>
      </c>
      <c r="E372" s="1" t="s">
        <v>24</v>
      </c>
      <c r="F372" s="1" t="s">
        <v>18</v>
      </c>
      <c r="G372" s="1" t="s">
        <v>42</v>
      </c>
      <c r="H372" s="1">
        <v>2024.0</v>
      </c>
      <c r="I372" s="1" t="s">
        <v>240</v>
      </c>
      <c r="J372" s="1" t="s">
        <v>1272</v>
      </c>
      <c r="K372" s="1">
        <v>7.0</v>
      </c>
      <c r="L372" s="1" t="s">
        <v>1273</v>
      </c>
      <c r="M372" s="1">
        <v>2.0</v>
      </c>
    </row>
    <row r="373">
      <c r="A373" s="1">
        <v>788.0</v>
      </c>
      <c r="B373" s="1">
        <v>3.0</v>
      </c>
      <c r="C373" s="1">
        <v>0.915834588701228</v>
      </c>
      <c r="D373" s="1" t="s">
        <v>724</v>
      </c>
      <c r="E373" s="1" t="s">
        <v>1274</v>
      </c>
      <c r="F373" s="1" t="s">
        <v>1274</v>
      </c>
      <c r="G373" s="1" t="s">
        <v>1274</v>
      </c>
      <c r="H373" s="1">
        <v>2006.0</v>
      </c>
      <c r="I373" s="1" t="s">
        <v>630</v>
      </c>
      <c r="J373" s="1" t="s">
        <v>1272</v>
      </c>
      <c r="K373" s="1">
        <v>7.0</v>
      </c>
      <c r="L373" s="1" t="s">
        <v>1273</v>
      </c>
      <c r="M373" s="1">
        <v>-1.0</v>
      </c>
    </row>
    <row r="374">
      <c r="A374" s="1">
        <v>559.0</v>
      </c>
      <c r="B374" s="1">
        <v>2.0</v>
      </c>
      <c r="C374" s="1">
        <v>0.915780311029896</v>
      </c>
      <c r="D374" s="1" t="s">
        <v>511</v>
      </c>
      <c r="E374" s="1" t="s">
        <v>107</v>
      </c>
      <c r="F374" s="1" t="s">
        <v>18</v>
      </c>
      <c r="G374" s="1" t="s">
        <v>1274</v>
      </c>
      <c r="H374" s="1">
        <v>2022.0</v>
      </c>
      <c r="I374" s="1" t="s">
        <v>240</v>
      </c>
      <c r="J374" s="1" t="s">
        <v>1272</v>
      </c>
      <c r="K374" s="1">
        <v>7.0</v>
      </c>
      <c r="L374" s="1" t="s">
        <v>1273</v>
      </c>
      <c r="M374" s="1">
        <v>3.0</v>
      </c>
    </row>
    <row r="375">
      <c r="A375" s="1">
        <v>147.0</v>
      </c>
      <c r="B375" s="1">
        <v>2.0</v>
      </c>
      <c r="C375" s="1">
        <v>0.915680680696376</v>
      </c>
      <c r="D375" s="1" t="s">
        <v>164</v>
      </c>
      <c r="E375" s="1" t="s">
        <v>107</v>
      </c>
      <c r="F375" s="1" t="s">
        <v>1274</v>
      </c>
      <c r="G375" s="1" t="s">
        <v>1274</v>
      </c>
      <c r="H375" s="1">
        <v>2019.0</v>
      </c>
      <c r="I375" s="1" t="s">
        <v>12</v>
      </c>
      <c r="J375" s="1" t="s">
        <v>1272</v>
      </c>
      <c r="K375" s="1">
        <v>5.0</v>
      </c>
      <c r="L375" s="1" t="s">
        <v>1273</v>
      </c>
      <c r="M375" s="1">
        <v>-1.0</v>
      </c>
    </row>
    <row r="376">
      <c r="A376" s="1">
        <v>809.0</v>
      </c>
      <c r="B376" s="1">
        <v>3.0</v>
      </c>
      <c r="C376" s="1">
        <v>0.915291757403046</v>
      </c>
      <c r="D376" s="1" t="s">
        <v>745</v>
      </c>
      <c r="E376" s="1" t="s">
        <v>173</v>
      </c>
      <c r="F376" s="1" t="s">
        <v>18</v>
      </c>
      <c r="G376" s="1" t="s">
        <v>42</v>
      </c>
      <c r="H376" s="1">
        <v>2022.0</v>
      </c>
      <c r="I376" s="1" t="s">
        <v>630</v>
      </c>
      <c r="J376" s="1" t="s">
        <v>1272</v>
      </c>
      <c r="K376" s="1">
        <v>5.0</v>
      </c>
      <c r="L376" s="1" t="s">
        <v>1273</v>
      </c>
      <c r="M376" s="1">
        <v>1.0</v>
      </c>
    </row>
    <row r="377">
      <c r="A377" s="1">
        <v>324.0</v>
      </c>
      <c r="B377" s="1">
        <v>2.0</v>
      </c>
      <c r="C377" s="1">
        <v>0.914906624036593</v>
      </c>
      <c r="D377" s="1" t="s">
        <v>312</v>
      </c>
      <c r="E377" s="1" t="s">
        <v>45</v>
      </c>
      <c r="F377" s="1" t="s">
        <v>65</v>
      </c>
      <c r="G377" s="1" t="s">
        <v>1274</v>
      </c>
      <c r="H377" s="1">
        <v>2019.0</v>
      </c>
      <c r="I377" s="1" t="s">
        <v>240</v>
      </c>
      <c r="J377" s="1" t="s">
        <v>1272</v>
      </c>
      <c r="K377" s="1">
        <v>7.0</v>
      </c>
      <c r="L377" s="1" t="s">
        <v>1273</v>
      </c>
      <c r="M377" s="1">
        <v>0.0</v>
      </c>
    </row>
    <row r="378">
      <c r="A378" s="1">
        <v>299.0</v>
      </c>
      <c r="B378" s="1">
        <v>2.0</v>
      </c>
      <c r="C378" s="1">
        <v>0.914437985806444</v>
      </c>
      <c r="D378" s="1" t="s">
        <v>287</v>
      </c>
      <c r="E378" s="1" t="s">
        <v>41</v>
      </c>
      <c r="F378" s="1" t="s">
        <v>1274</v>
      </c>
      <c r="G378" s="1" t="s">
        <v>11</v>
      </c>
      <c r="H378" s="1" t="s">
        <v>1274</v>
      </c>
      <c r="I378" s="1" t="s">
        <v>240</v>
      </c>
      <c r="J378" s="1" t="s">
        <v>1272</v>
      </c>
      <c r="K378" s="1">
        <v>5.0</v>
      </c>
      <c r="L378" s="1" t="s">
        <v>1273</v>
      </c>
      <c r="M378" s="1">
        <v>0.0</v>
      </c>
    </row>
    <row r="379">
      <c r="A379" s="1">
        <v>967.0</v>
      </c>
      <c r="B379" s="1">
        <v>3.0</v>
      </c>
      <c r="C379" s="1">
        <v>0.914397196723569</v>
      </c>
      <c r="D379" s="1" t="s">
        <v>883</v>
      </c>
      <c r="E379" s="1" t="s">
        <v>111</v>
      </c>
      <c r="F379" s="1" t="s">
        <v>1274</v>
      </c>
      <c r="G379" s="1" t="s">
        <v>1274</v>
      </c>
      <c r="H379" s="1">
        <v>2011.0</v>
      </c>
      <c r="I379" s="1" t="s">
        <v>861</v>
      </c>
      <c r="J379" s="1" t="s">
        <v>1272</v>
      </c>
      <c r="K379" s="1">
        <v>5.0</v>
      </c>
      <c r="L379" s="1" t="s">
        <v>1273</v>
      </c>
      <c r="M379" s="1">
        <v>0.0</v>
      </c>
    </row>
    <row r="380">
      <c r="A380" s="1">
        <v>1013.0</v>
      </c>
      <c r="B380" s="1">
        <v>3.0</v>
      </c>
      <c r="C380" s="1">
        <v>0.914397196723569</v>
      </c>
      <c r="D380" s="1" t="s">
        <v>920</v>
      </c>
      <c r="E380" s="1" t="s">
        <v>111</v>
      </c>
      <c r="F380" s="1" t="s">
        <v>18</v>
      </c>
      <c r="G380" s="1" t="s">
        <v>42</v>
      </c>
      <c r="H380" s="1">
        <v>1998.0</v>
      </c>
      <c r="I380" s="1" t="s">
        <v>861</v>
      </c>
      <c r="J380" s="1" t="s">
        <v>1272</v>
      </c>
      <c r="K380" s="1">
        <v>5.0</v>
      </c>
      <c r="L380" s="1" t="s">
        <v>1273</v>
      </c>
      <c r="M380" s="1">
        <v>0.0</v>
      </c>
    </row>
    <row r="381">
      <c r="A381" s="1">
        <v>189.0</v>
      </c>
      <c r="B381" s="1">
        <v>4.0</v>
      </c>
      <c r="C381" s="1">
        <v>0.914027275608342</v>
      </c>
      <c r="D381" s="1" t="s">
        <v>203</v>
      </c>
      <c r="E381" s="1" t="s">
        <v>1274</v>
      </c>
      <c r="F381" s="1" t="s">
        <v>1274</v>
      </c>
      <c r="G381" s="1" t="s">
        <v>1274</v>
      </c>
      <c r="H381" s="1">
        <v>2005.0</v>
      </c>
      <c r="I381" s="1" t="s">
        <v>198</v>
      </c>
      <c r="J381" s="1" t="s">
        <v>1272</v>
      </c>
      <c r="K381" s="1">
        <v>7.0</v>
      </c>
      <c r="L381" s="1" t="s">
        <v>1273</v>
      </c>
      <c r="M381" s="1">
        <v>17.0</v>
      </c>
    </row>
    <row r="382">
      <c r="A382" s="1">
        <v>670.0</v>
      </c>
      <c r="B382" s="1">
        <v>2.0</v>
      </c>
      <c r="C382" s="1">
        <v>0.913887268305105</v>
      </c>
      <c r="D382" s="1" t="s">
        <v>611</v>
      </c>
      <c r="E382" s="1" t="s">
        <v>173</v>
      </c>
      <c r="F382" s="1" t="s">
        <v>1274</v>
      </c>
      <c r="G382" s="1" t="s">
        <v>26</v>
      </c>
      <c r="H382" s="1">
        <v>2015.0</v>
      </c>
      <c r="I382" s="1" t="s">
        <v>240</v>
      </c>
      <c r="J382" s="1" t="s">
        <v>1272</v>
      </c>
      <c r="K382" s="1">
        <v>5.0</v>
      </c>
      <c r="L382" s="1" t="s">
        <v>1273</v>
      </c>
      <c r="M382" s="1">
        <v>4.0</v>
      </c>
    </row>
    <row r="383">
      <c r="A383" s="1">
        <v>1146.0</v>
      </c>
      <c r="B383" s="1">
        <v>2.0</v>
      </c>
      <c r="C383" s="1">
        <v>0.913281968145354</v>
      </c>
      <c r="D383" s="1" t="s">
        <v>1030</v>
      </c>
      <c r="E383" s="1" t="s">
        <v>20</v>
      </c>
      <c r="F383" s="1" t="s">
        <v>18</v>
      </c>
      <c r="G383" s="1" t="s">
        <v>42</v>
      </c>
      <c r="H383" s="1">
        <v>2018.0</v>
      </c>
      <c r="I383" s="1" t="s">
        <v>861</v>
      </c>
      <c r="J383" s="1" t="s">
        <v>1272</v>
      </c>
      <c r="K383" s="1">
        <v>7.0</v>
      </c>
      <c r="L383" s="1" t="s">
        <v>1273</v>
      </c>
      <c r="M383" s="1">
        <v>0.0</v>
      </c>
    </row>
    <row r="384">
      <c r="A384" s="1">
        <v>239.0</v>
      </c>
      <c r="B384" s="1">
        <v>2.0</v>
      </c>
      <c r="C384" s="1">
        <v>0.912159348634018</v>
      </c>
      <c r="D384" s="1" t="s">
        <v>233</v>
      </c>
      <c r="E384" s="1" t="s">
        <v>111</v>
      </c>
      <c r="F384" s="1" t="s">
        <v>1274</v>
      </c>
      <c r="G384" s="1" t="s">
        <v>11</v>
      </c>
      <c r="H384" s="1">
        <v>2021.0</v>
      </c>
      <c r="I384" s="1" t="s">
        <v>198</v>
      </c>
      <c r="J384" s="1" t="s">
        <v>1272</v>
      </c>
      <c r="K384" s="1">
        <v>7.0</v>
      </c>
      <c r="L384" s="1" t="s">
        <v>1273</v>
      </c>
      <c r="M384" s="1">
        <v>-1.0</v>
      </c>
    </row>
    <row r="385">
      <c r="A385" s="1">
        <v>634.0</v>
      </c>
      <c r="B385" s="1">
        <v>2.0</v>
      </c>
      <c r="C385" s="1">
        <v>0.911880879568765</v>
      </c>
      <c r="D385" s="1" t="s">
        <v>586</v>
      </c>
      <c r="E385" s="1" t="s">
        <v>45</v>
      </c>
      <c r="F385" s="1" t="s">
        <v>18</v>
      </c>
      <c r="G385" s="1" t="s">
        <v>1274</v>
      </c>
      <c r="H385" s="1">
        <v>2022.0</v>
      </c>
      <c r="I385" s="1" t="s">
        <v>240</v>
      </c>
      <c r="J385" s="1" t="s">
        <v>1272</v>
      </c>
      <c r="K385" s="1">
        <v>5.0</v>
      </c>
      <c r="L385" s="1" t="s">
        <v>1273</v>
      </c>
      <c r="M385" s="1">
        <v>3.0</v>
      </c>
    </row>
    <row r="386">
      <c r="A386" s="1">
        <v>911.0</v>
      </c>
      <c r="B386" s="1">
        <v>3.0</v>
      </c>
      <c r="C386" s="1">
        <v>0.911736215542085</v>
      </c>
      <c r="D386" s="1" t="s">
        <v>845</v>
      </c>
      <c r="E386" s="1" t="s">
        <v>173</v>
      </c>
      <c r="F386" s="1" t="s">
        <v>1274</v>
      </c>
      <c r="G386" s="1" t="s">
        <v>609</v>
      </c>
      <c r="H386" s="1">
        <v>2015.0</v>
      </c>
      <c r="I386" s="1" t="s">
        <v>630</v>
      </c>
      <c r="J386" s="1" t="s">
        <v>1272</v>
      </c>
      <c r="K386" s="1">
        <v>7.0</v>
      </c>
      <c r="L386" s="1" t="s">
        <v>1273</v>
      </c>
      <c r="M386" s="1">
        <v>1.0</v>
      </c>
    </row>
    <row r="387">
      <c r="A387" s="1">
        <v>722.0</v>
      </c>
      <c r="B387" s="1">
        <v>3.0</v>
      </c>
      <c r="C387" s="1">
        <v>0.910867695183058</v>
      </c>
      <c r="D387" s="1" t="s">
        <v>660</v>
      </c>
      <c r="E387" s="1" t="s">
        <v>10</v>
      </c>
      <c r="F387" s="1" t="s">
        <v>18</v>
      </c>
      <c r="G387" s="1" t="s">
        <v>42</v>
      </c>
      <c r="H387" s="1">
        <v>2014.0</v>
      </c>
      <c r="I387" s="1" t="s">
        <v>630</v>
      </c>
      <c r="J387" s="1" t="s">
        <v>1272</v>
      </c>
      <c r="K387" s="1">
        <v>5.0</v>
      </c>
      <c r="L387" s="1" t="s">
        <v>1273</v>
      </c>
      <c r="M387" s="1">
        <v>11.0</v>
      </c>
    </row>
    <row r="388">
      <c r="A388" s="1">
        <v>310.0</v>
      </c>
      <c r="B388" s="1">
        <v>2.0</v>
      </c>
      <c r="C388" s="1">
        <v>0.91038882714742</v>
      </c>
      <c r="D388" s="1" t="s">
        <v>298</v>
      </c>
      <c r="E388" s="1" t="s">
        <v>24</v>
      </c>
      <c r="F388" s="1" t="s">
        <v>18</v>
      </c>
      <c r="G388" s="1" t="s">
        <v>42</v>
      </c>
      <c r="H388" s="1">
        <v>2024.0</v>
      </c>
      <c r="I388" s="1" t="s">
        <v>240</v>
      </c>
      <c r="J388" s="1" t="s">
        <v>1272</v>
      </c>
      <c r="K388" s="1">
        <v>10.0</v>
      </c>
      <c r="L388" s="1" t="s">
        <v>1273</v>
      </c>
      <c r="M388" s="1">
        <v>-1.0</v>
      </c>
    </row>
    <row r="389">
      <c r="A389" s="1">
        <v>69.0</v>
      </c>
      <c r="B389" s="1">
        <v>1.0</v>
      </c>
      <c r="C389" s="1">
        <v>0.909944364184648</v>
      </c>
      <c r="D389" s="1" t="s">
        <v>92</v>
      </c>
      <c r="E389" s="1" t="s">
        <v>17</v>
      </c>
      <c r="F389" s="1" t="s">
        <v>18</v>
      </c>
      <c r="G389" s="1">
        <v>10.0</v>
      </c>
      <c r="H389" s="1" t="s">
        <v>1274</v>
      </c>
      <c r="I389" s="1" t="s">
        <v>12</v>
      </c>
      <c r="J389" s="1" t="s">
        <v>1272</v>
      </c>
      <c r="K389" s="1">
        <v>5.0</v>
      </c>
      <c r="L389" s="1" t="s">
        <v>1273</v>
      </c>
      <c r="M389" s="1">
        <v>7.0</v>
      </c>
    </row>
    <row r="390">
      <c r="A390" s="1">
        <v>1034.0</v>
      </c>
      <c r="B390" s="1">
        <v>2.0</v>
      </c>
      <c r="C390" s="1">
        <v>0.909683046190977</v>
      </c>
      <c r="D390" s="1" t="s">
        <v>939</v>
      </c>
      <c r="E390" s="1" t="s">
        <v>124</v>
      </c>
      <c r="F390" s="1" t="s">
        <v>178</v>
      </c>
      <c r="G390" s="1" t="s">
        <v>1274</v>
      </c>
      <c r="H390" s="1">
        <v>2012.0</v>
      </c>
      <c r="I390" s="1" t="s">
        <v>861</v>
      </c>
      <c r="J390" s="1" t="s">
        <v>1272</v>
      </c>
      <c r="K390" s="1">
        <v>10.0</v>
      </c>
      <c r="L390" s="1" t="s">
        <v>1273</v>
      </c>
      <c r="M390" s="1">
        <v>10.0</v>
      </c>
    </row>
    <row r="391">
      <c r="A391" s="1">
        <v>1032.0</v>
      </c>
      <c r="B391" s="1">
        <v>2.0</v>
      </c>
      <c r="C391" s="1">
        <v>0.909681799579806</v>
      </c>
      <c r="D391" s="1" t="s">
        <v>937</v>
      </c>
      <c r="E391" s="1" t="s">
        <v>124</v>
      </c>
      <c r="F391" s="1" t="s">
        <v>178</v>
      </c>
      <c r="G391" s="1" t="s">
        <v>1274</v>
      </c>
      <c r="H391" s="1">
        <v>2012.0</v>
      </c>
      <c r="I391" s="1" t="s">
        <v>861</v>
      </c>
      <c r="J391" s="1" t="s">
        <v>1272</v>
      </c>
      <c r="K391" s="1">
        <v>10.0</v>
      </c>
      <c r="L391" s="1" t="s">
        <v>1273</v>
      </c>
      <c r="M391" s="1">
        <v>10.0</v>
      </c>
    </row>
    <row r="392">
      <c r="A392" s="1">
        <v>880.0</v>
      </c>
      <c r="B392" s="1">
        <v>3.0</v>
      </c>
      <c r="C392" s="1">
        <v>0.909492323837871</v>
      </c>
      <c r="D392" s="1" t="s">
        <v>813</v>
      </c>
      <c r="E392" s="1" t="s">
        <v>58</v>
      </c>
      <c r="F392" s="1" t="s">
        <v>1274</v>
      </c>
      <c r="G392" s="1" t="s">
        <v>11</v>
      </c>
      <c r="H392" s="1">
        <v>2024.0</v>
      </c>
      <c r="I392" s="1" t="s">
        <v>630</v>
      </c>
      <c r="J392" s="1" t="s">
        <v>1272</v>
      </c>
      <c r="K392" s="1">
        <v>5.0</v>
      </c>
      <c r="L392" s="1" t="s">
        <v>1273</v>
      </c>
      <c r="M392" s="1">
        <v>1.0</v>
      </c>
    </row>
    <row r="393">
      <c r="A393" s="1">
        <v>287.0</v>
      </c>
      <c r="B393" s="1">
        <v>2.0</v>
      </c>
      <c r="C393" s="1">
        <v>0.908466590570685</v>
      </c>
      <c r="D393" s="1" t="s">
        <v>280</v>
      </c>
      <c r="E393" s="1" t="s">
        <v>107</v>
      </c>
      <c r="F393" s="1" t="s">
        <v>1274</v>
      </c>
      <c r="G393" s="1" t="s">
        <v>11</v>
      </c>
      <c r="H393" s="1">
        <v>2019.0</v>
      </c>
      <c r="I393" s="1" t="s">
        <v>240</v>
      </c>
      <c r="J393" s="1" t="s">
        <v>1272</v>
      </c>
      <c r="K393" s="1">
        <v>7.0</v>
      </c>
      <c r="L393" s="1" t="s">
        <v>1273</v>
      </c>
      <c r="M393" s="1">
        <v>-1.0</v>
      </c>
    </row>
    <row r="394">
      <c r="A394" s="1">
        <v>325.0</v>
      </c>
      <c r="B394" s="1">
        <v>2.0</v>
      </c>
      <c r="C394" s="1">
        <v>0.907152298191464</v>
      </c>
      <c r="D394" s="1" t="s">
        <v>313</v>
      </c>
      <c r="E394" s="1" t="s">
        <v>45</v>
      </c>
      <c r="F394" s="1" t="s">
        <v>65</v>
      </c>
      <c r="G394" s="1" t="s">
        <v>1274</v>
      </c>
      <c r="H394" s="1">
        <v>2019.0</v>
      </c>
      <c r="I394" s="1" t="s">
        <v>240</v>
      </c>
      <c r="J394" s="1" t="s">
        <v>1272</v>
      </c>
      <c r="K394" s="1">
        <v>7.0</v>
      </c>
      <c r="L394" s="1" t="s">
        <v>1273</v>
      </c>
      <c r="M394" s="1">
        <v>0.0</v>
      </c>
    </row>
    <row r="395">
      <c r="A395" s="1">
        <v>567.0</v>
      </c>
      <c r="B395" s="1">
        <v>4.0</v>
      </c>
      <c r="C395" s="1">
        <v>0.906971749193289</v>
      </c>
      <c r="D395" s="1" t="s">
        <v>519</v>
      </c>
      <c r="E395" s="1" t="s">
        <v>107</v>
      </c>
      <c r="F395" s="1" t="s">
        <v>18</v>
      </c>
      <c r="G395" s="1" t="s">
        <v>1274</v>
      </c>
      <c r="H395" s="1">
        <v>2022.0</v>
      </c>
      <c r="I395" s="1" t="s">
        <v>240</v>
      </c>
      <c r="J395" s="1" t="s">
        <v>1272</v>
      </c>
      <c r="K395" s="1">
        <v>7.0</v>
      </c>
      <c r="L395" s="1" t="s">
        <v>1273</v>
      </c>
      <c r="M395" s="1">
        <v>3.0</v>
      </c>
    </row>
    <row r="396">
      <c r="A396" s="1">
        <v>845.0</v>
      </c>
      <c r="B396" s="1">
        <v>3.0</v>
      </c>
      <c r="C396" s="1">
        <v>0.906689706177172</v>
      </c>
      <c r="D396" s="1" t="s">
        <v>781</v>
      </c>
      <c r="E396" s="1" t="s">
        <v>107</v>
      </c>
      <c r="F396" s="1" t="s">
        <v>18</v>
      </c>
      <c r="G396" s="1" t="s">
        <v>1274</v>
      </c>
      <c r="H396" s="1">
        <v>2024.0</v>
      </c>
      <c r="I396" s="1" t="s">
        <v>630</v>
      </c>
      <c r="J396" s="1" t="s">
        <v>1272</v>
      </c>
      <c r="K396" s="1">
        <v>7.0</v>
      </c>
      <c r="L396" s="1" t="s">
        <v>1273</v>
      </c>
      <c r="M396" s="1">
        <v>13.0</v>
      </c>
    </row>
    <row r="397">
      <c r="A397" s="1">
        <v>871.0</v>
      </c>
      <c r="B397" s="1">
        <v>3.0</v>
      </c>
      <c r="C397" s="1">
        <v>0.906223759358364</v>
      </c>
      <c r="D397" s="1" t="s">
        <v>806</v>
      </c>
      <c r="E397" s="1" t="s">
        <v>58</v>
      </c>
      <c r="F397" s="1" t="s">
        <v>1274</v>
      </c>
      <c r="G397" s="1" t="s">
        <v>11</v>
      </c>
      <c r="H397" s="1">
        <v>2024.0</v>
      </c>
      <c r="I397" s="1" t="s">
        <v>630</v>
      </c>
      <c r="J397" s="1" t="s">
        <v>1272</v>
      </c>
      <c r="K397" s="1">
        <v>7.0</v>
      </c>
      <c r="L397" s="1" t="s">
        <v>1273</v>
      </c>
      <c r="M397" s="1">
        <v>1.0</v>
      </c>
    </row>
    <row r="398">
      <c r="A398" s="1">
        <v>738.0</v>
      </c>
      <c r="B398" s="1">
        <v>3.0</v>
      </c>
      <c r="C398" s="1">
        <v>0.906223759358364</v>
      </c>
      <c r="D398" s="1" t="s">
        <v>676</v>
      </c>
      <c r="E398" s="1" t="s">
        <v>58</v>
      </c>
      <c r="F398" s="1" t="s">
        <v>1274</v>
      </c>
      <c r="G398" s="1" t="s">
        <v>42</v>
      </c>
      <c r="H398" s="1">
        <v>2024.0</v>
      </c>
      <c r="I398" s="1" t="s">
        <v>630</v>
      </c>
      <c r="J398" s="1" t="s">
        <v>1272</v>
      </c>
      <c r="K398" s="1">
        <v>7.0</v>
      </c>
      <c r="L398" s="1" t="s">
        <v>1273</v>
      </c>
      <c r="M398" s="1">
        <v>1.0</v>
      </c>
    </row>
    <row r="399">
      <c r="A399" s="1">
        <v>81.0</v>
      </c>
      <c r="B399" s="1">
        <v>2.0</v>
      </c>
      <c r="C399" s="1">
        <v>0.904966887412634</v>
      </c>
      <c r="D399" s="1" t="s">
        <v>105</v>
      </c>
      <c r="E399" s="1" t="s">
        <v>17</v>
      </c>
      <c r="F399" s="1" t="s">
        <v>18</v>
      </c>
      <c r="G399" s="1" t="s">
        <v>1274</v>
      </c>
      <c r="H399" s="1" t="s">
        <v>1274</v>
      </c>
      <c r="I399" s="1" t="s">
        <v>12</v>
      </c>
      <c r="J399" s="1" t="s">
        <v>1272</v>
      </c>
      <c r="K399" s="1">
        <v>5.0</v>
      </c>
      <c r="L399" s="1" t="s">
        <v>1273</v>
      </c>
      <c r="M399" s="1">
        <v>1.0</v>
      </c>
    </row>
    <row r="400">
      <c r="A400" s="1">
        <v>894.0</v>
      </c>
      <c r="B400" s="1">
        <v>3.0</v>
      </c>
      <c r="C400" s="1">
        <v>0.904815002686909</v>
      </c>
      <c r="D400" s="1" t="s">
        <v>827</v>
      </c>
      <c r="E400" s="1" t="s">
        <v>58</v>
      </c>
      <c r="F400" s="1" t="s">
        <v>1274</v>
      </c>
      <c r="G400" s="1" t="s">
        <v>11</v>
      </c>
      <c r="H400" s="1">
        <v>2024.0</v>
      </c>
      <c r="I400" s="1" t="s">
        <v>630</v>
      </c>
      <c r="J400" s="1" t="s">
        <v>1272</v>
      </c>
      <c r="K400" s="1">
        <v>5.0</v>
      </c>
      <c r="L400" s="1" t="s">
        <v>1273</v>
      </c>
      <c r="M400" s="1">
        <v>1.0</v>
      </c>
    </row>
    <row r="401">
      <c r="A401" s="1">
        <v>333.0</v>
      </c>
      <c r="B401" s="1">
        <v>2.0</v>
      </c>
      <c r="C401" s="1">
        <v>0.904644955627876</v>
      </c>
      <c r="D401" s="1" t="s">
        <v>319</v>
      </c>
      <c r="E401" s="1" t="s">
        <v>45</v>
      </c>
      <c r="F401" s="1" t="s">
        <v>65</v>
      </c>
      <c r="G401" s="1" t="s">
        <v>1274</v>
      </c>
      <c r="H401" s="1">
        <v>2019.0</v>
      </c>
      <c r="I401" s="1" t="s">
        <v>240</v>
      </c>
      <c r="J401" s="1" t="s">
        <v>1272</v>
      </c>
      <c r="K401" s="1">
        <v>5.0</v>
      </c>
      <c r="L401" s="1" t="s">
        <v>1273</v>
      </c>
      <c r="M401" s="1">
        <v>0.0</v>
      </c>
    </row>
    <row r="402">
      <c r="A402" s="1">
        <v>187.0</v>
      </c>
      <c r="B402" s="1">
        <v>2.0</v>
      </c>
      <c r="C402" s="1">
        <v>0.90452276706399</v>
      </c>
      <c r="D402" s="1" t="s">
        <v>201</v>
      </c>
      <c r="E402" s="1" t="s">
        <v>1274</v>
      </c>
      <c r="F402" s="1" t="s">
        <v>1274</v>
      </c>
      <c r="G402" s="1" t="s">
        <v>1274</v>
      </c>
      <c r="H402" s="1">
        <v>2005.0</v>
      </c>
      <c r="I402" s="1" t="s">
        <v>198</v>
      </c>
      <c r="J402" s="1" t="s">
        <v>1272</v>
      </c>
      <c r="K402" s="1">
        <v>7.0</v>
      </c>
      <c r="L402" s="1" t="s">
        <v>1273</v>
      </c>
      <c r="M402" s="1">
        <v>-1.0</v>
      </c>
    </row>
    <row r="403">
      <c r="A403" s="1">
        <v>326.0</v>
      </c>
      <c r="B403" s="1">
        <v>2.0</v>
      </c>
      <c r="C403" s="1">
        <v>0.904188064061475</v>
      </c>
      <c r="D403" s="1" t="s">
        <v>314</v>
      </c>
      <c r="E403" s="1" t="s">
        <v>45</v>
      </c>
      <c r="F403" s="1" t="s">
        <v>65</v>
      </c>
      <c r="G403" s="1" t="s">
        <v>1274</v>
      </c>
      <c r="H403" s="1">
        <v>2019.0</v>
      </c>
      <c r="I403" s="1" t="s">
        <v>240</v>
      </c>
      <c r="J403" s="1" t="s">
        <v>1272</v>
      </c>
      <c r="K403" s="1">
        <v>5.0</v>
      </c>
      <c r="L403" s="1" t="s">
        <v>1273</v>
      </c>
      <c r="M403" s="1">
        <v>0.0</v>
      </c>
    </row>
    <row r="404">
      <c r="A404" s="1">
        <v>496.0</v>
      </c>
      <c r="B404" s="1">
        <v>4.0</v>
      </c>
      <c r="C404" s="1">
        <v>0.903682075071881</v>
      </c>
      <c r="D404" s="1" t="s">
        <v>457</v>
      </c>
      <c r="E404" s="1" t="s">
        <v>111</v>
      </c>
      <c r="F404" s="1" t="s">
        <v>1274</v>
      </c>
      <c r="G404" s="1" t="s">
        <v>42</v>
      </c>
      <c r="H404" s="1">
        <v>2022.0</v>
      </c>
      <c r="I404" s="1" t="s">
        <v>240</v>
      </c>
      <c r="J404" s="1" t="s">
        <v>1272</v>
      </c>
      <c r="K404" s="1">
        <v>7.0</v>
      </c>
      <c r="L404" s="1" t="s">
        <v>1273</v>
      </c>
      <c r="M404" s="1">
        <v>6.0</v>
      </c>
    </row>
    <row r="405">
      <c r="A405" s="1">
        <v>282.0</v>
      </c>
      <c r="B405" s="1">
        <v>2.0</v>
      </c>
      <c r="C405" s="1">
        <v>0.903379002621527</v>
      </c>
      <c r="D405" s="1" t="s">
        <v>275</v>
      </c>
      <c r="E405" s="1" t="s">
        <v>107</v>
      </c>
      <c r="F405" s="1" t="s">
        <v>1274</v>
      </c>
      <c r="G405" s="1" t="s">
        <v>11</v>
      </c>
      <c r="H405" s="1">
        <v>2019.0</v>
      </c>
      <c r="I405" s="1" t="s">
        <v>240</v>
      </c>
      <c r="J405" s="1" t="s">
        <v>1272</v>
      </c>
      <c r="K405" s="1">
        <v>5.0</v>
      </c>
      <c r="L405" s="1" t="s">
        <v>1273</v>
      </c>
      <c r="M405" s="1">
        <v>4.0</v>
      </c>
    </row>
    <row r="406">
      <c r="A406" s="1">
        <v>468.0</v>
      </c>
      <c r="B406" s="1">
        <v>1.0</v>
      </c>
      <c r="C406" s="1">
        <v>0.90333837233209</v>
      </c>
      <c r="D406" s="1" t="s">
        <v>436</v>
      </c>
      <c r="E406" s="1" t="s">
        <v>41</v>
      </c>
      <c r="F406" s="1" t="s">
        <v>118</v>
      </c>
      <c r="G406" s="1" t="s">
        <v>1274</v>
      </c>
      <c r="H406" s="1">
        <v>2024.0</v>
      </c>
      <c r="I406" s="1" t="s">
        <v>240</v>
      </c>
      <c r="J406" s="1" t="s">
        <v>1272</v>
      </c>
      <c r="K406" s="1">
        <v>5.0</v>
      </c>
      <c r="L406" s="1" t="s">
        <v>1273</v>
      </c>
      <c r="M406" s="1">
        <v>5.0</v>
      </c>
    </row>
    <row r="407">
      <c r="A407" s="1">
        <v>892.0</v>
      </c>
      <c r="B407" s="1">
        <v>3.0</v>
      </c>
      <c r="C407" s="1">
        <v>0.903180452865656</v>
      </c>
      <c r="D407" s="1" t="s">
        <v>825</v>
      </c>
      <c r="E407" s="1" t="s">
        <v>58</v>
      </c>
      <c r="F407" s="1" t="s">
        <v>1274</v>
      </c>
      <c r="G407" s="1" t="s">
        <v>11</v>
      </c>
      <c r="H407" s="1">
        <v>2024.0</v>
      </c>
      <c r="I407" s="1" t="s">
        <v>630</v>
      </c>
      <c r="J407" s="1" t="s">
        <v>1272</v>
      </c>
      <c r="K407" s="1">
        <v>5.0</v>
      </c>
      <c r="L407" s="1" t="s">
        <v>1273</v>
      </c>
      <c r="M407" s="1">
        <v>-1.0</v>
      </c>
    </row>
    <row r="408">
      <c r="A408" s="1">
        <v>630.0</v>
      </c>
      <c r="B408" s="1">
        <v>2.0</v>
      </c>
      <c r="C408" s="1">
        <v>0.902497691293931</v>
      </c>
      <c r="D408" s="1" t="s">
        <v>582</v>
      </c>
      <c r="E408" s="1" t="s">
        <v>45</v>
      </c>
      <c r="F408" s="1" t="s">
        <v>18</v>
      </c>
      <c r="G408" s="1" t="s">
        <v>1274</v>
      </c>
      <c r="H408" s="1">
        <v>2022.0</v>
      </c>
      <c r="I408" s="1" t="s">
        <v>240</v>
      </c>
      <c r="J408" s="1" t="s">
        <v>1272</v>
      </c>
      <c r="K408" s="1">
        <v>5.0</v>
      </c>
      <c r="L408" s="1" t="s">
        <v>1273</v>
      </c>
      <c r="M408" s="1">
        <v>0.0</v>
      </c>
    </row>
    <row r="409">
      <c r="A409" s="1">
        <v>345.0</v>
      </c>
      <c r="B409" s="1">
        <v>2.0</v>
      </c>
      <c r="C409" s="1">
        <v>0.902072123834402</v>
      </c>
      <c r="D409" s="1" t="s">
        <v>331</v>
      </c>
      <c r="E409" s="1" t="s">
        <v>45</v>
      </c>
      <c r="F409" s="1" t="s">
        <v>65</v>
      </c>
      <c r="G409" s="1" t="s">
        <v>1274</v>
      </c>
      <c r="H409" s="1">
        <v>2019.0</v>
      </c>
      <c r="I409" s="1" t="s">
        <v>240</v>
      </c>
      <c r="J409" s="1" t="s">
        <v>1272</v>
      </c>
      <c r="K409" s="1">
        <v>7.0</v>
      </c>
      <c r="L409" s="1" t="s">
        <v>1273</v>
      </c>
      <c r="M409" s="1">
        <v>0.0</v>
      </c>
    </row>
    <row r="410">
      <c r="A410" s="1">
        <v>624.0</v>
      </c>
      <c r="B410" s="1">
        <v>4.0</v>
      </c>
      <c r="C410" s="1">
        <v>0.901041574084032</v>
      </c>
      <c r="D410" s="1" t="s">
        <v>576</v>
      </c>
      <c r="E410" s="1" t="s">
        <v>45</v>
      </c>
      <c r="F410" s="1" t="s">
        <v>18</v>
      </c>
      <c r="G410" s="1" t="s">
        <v>1274</v>
      </c>
      <c r="H410" s="1">
        <v>2022.0</v>
      </c>
      <c r="I410" s="1" t="s">
        <v>240</v>
      </c>
      <c r="J410" s="1" t="s">
        <v>1272</v>
      </c>
      <c r="K410" s="1">
        <v>7.0</v>
      </c>
      <c r="L410" s="1" t="s">
        <v>1273</v>
      </c>
      <c r="M410" s="1">
        <v>2.0</v>
      </c>
    </row>
    <row r="411">
      <c r="A411" s="1">
        <v>727.0</v>
      </c>
      <c r="B411" s="1">
        <v>3.0</v>
      </c>
      <c r="C411" s="1">
        <v>0.898916851711638</v>
      </c>
      <c r="D411" s="1" t="s">
        <v>665</v>
      </c>
      <c r="E411" s="1" t="s">
        <v>10</v>
      </c>
      <c r="F411" s="1" t="s">
        <v>18</v>
      </c>
      <c r="G411" s="1" t="s">
        <v>42</v>
      </c>
      <c r="H411" s="1">
        <v>2014.0</v>
      </c>
      <c r="I411" s="1" t="s">
        <v>630</v>
      </c>
      <c r="J411" s="1" t="s">
        <v>1272</v>
      </c>
      <c r="K411" s="1">
        <v>5.0</v>
      </c>
      <c r="L411" s="1" t="s">
        <v>1273</v>
      </c>
      <c r="M411" s="1">
        <v>11.0</v>
      </c>
    </row>
    <row r="412">
      <c r="A412" s="1">
        <v>705.0</v>
      </c>
      <c r="B412" s="1">
        <v>3.0</v>
      </c>
      <c r="C412" s="1">
        <v>0.89716983454965</v>
      </c>
      <c r="D412" s="1" t="s">
        <v>643</v>
      </c>
      <c r="E412" s="1" t="s">
        <v>102</v>
      </c>
      <c r="F412" s="1" t="s">
        <v>18</v>
      </c>
      <c r="G412" s="1" t="s">
        <v>42</v>
      </c>
      <c r="H412" s="1">
        <v>2009.0</v>
      </c>
      <c r="I412" s="1" t="s">
        <v>630</v>
      </c>
      <c r="J412" s="1" t="s">
        <v>1272</v>
      </c>
      <c r="K412" s="1">
        <v>5.0</v>
      </c>
      <c r="L412" s="1" t="s">
        <v>1273</v>
      </c>
      <c r="M412" s="1">
        <v>1.0</v>
      </c>
    </row>
    <row r="413">
      <c r="A413" s="1">
        <v>285.0</v>
      </c>
      <c r="B413" s="1">
        <v>4.0</v>
      </c>
      <c r="C413" s="1">
        <v>0.896821226109754</v>
      </c>
      <c r="D413" s="1" t="s">
        <v>278</v>
      </c>
      <c r="E413" s="1" t="s">
        <v>107</v>
      </c>
      <c r="F413" s="1" t="s">
        <v>1274</v>
      </c>
      <c r="G413" s="1" t="s">
        <v>11</v>
      </c>
      <c r="H413" s="1">
        <v>2019.0</v>
      </c>
      <c r="I413" s="1" t="s">
        <v>240</v>
      </c>
      <c r="J413" s="1" t="s">
        <v>1272</v>
      </c>
      <c r="K413" s="1">
        <v>7.0</v>
      </c>
      <c r="L413" s="1" t="s">
        <v>1273</v>
      </c>
      <c r="M413" s="1">
        <v>4.0</v>
      </c>
    </row>
    <row r="414">
      <c r="A414" s="1">
        <v>857.0</v>
      </c>
      <c r="B414" s="1">
        <v>2.0</v>
      </c>
      <c r="C414" s="1">
        <v>0.8951247616189</v>
      </c>
      <c r="D414" s="1" t="s">
        <v>793</v>
      </c>
      <c r="E414" s="1" t="s">
        <v>107</v>
      </c>
      <c r="F414" s="1" t="s">
        <v>18</v>
      </c>
      <c r="G414" s="1" t="s">
        <v>1274</v>
      </c>
      <c r="H414" s="1">
        <v>2024.0</v>
      </c>
      <c r="I414" s="1" t="s">
        <v>630</v>
      </c>
      <c r="J414" s="1" t="s">
        <v>1272</v>
      </c>
      <c r="K414" s="1">
        <v>7.0</v>
      </c>
      <c r="L414" s="1" t="s">
        <v>1273</v>
      </c>
      <c r="M414" s="1">
        <v>0.0</v>
      </c>
    </row>
    <row r="415">
      <c r="A415" s="1">
        <v>426.0</v>
      </c>
      <c r="B415" s="1">
        <v>2.0</v>
      </c>
      <c r="C415" s="1">
        <v>0.894972263588454</v>
      </c>
      <c r="D415" s="1" t="s">
        <v>401</v>
      </c>
      <c r="E415" s="1" t="s">
        <v>24</v>
      </c>
      <c r="F415" s="1" t="s">
        <v>18</v>
      </c>
      <c r="G415" s="1" t="s">
        <v>42</v>
      </c>
      <c r="H415" s="1">
        <v>2024.0</v>
      </c>
      <c r="I415" s="1" t="s">
        <v>240</v>
      </c>
      <c r="J415" s="1" t="s">
        <v>1272</v>
      </c>
      <c r="K415" s="1">
        <v>10.0</v>
      </c>
      <c r="L415" s="1" t="s">
        <v>1273</v>
      </c>
      <c r="M415" s="1">
        <v>-1.0</v>
      </c>
    </row>
    <row r="416">
      <c r="A416" s="1">
        <v>380.0</v>
      </c>
      <c r="B416" s="1">
        <v>2.0</v>
      </c>
      <c r="C416" s="1">
        <v>0.894946457638208</v>
      </c>
      <c r="D416" s="1" t="s">
        <v>359</v>
      </c>
      <c r="E416" s="1" t="s">
        <v>124</v>
      </c>
      <c r="F416" s="1" t="s">
        <v>18</v>
      </c>
      <c r="G416" s="1" t="s">
        <v>1274</v>
      </c>
      <c r="H416" s="1">
        <v>2024.0</v>
      </c>
      <c r="I416" s="1" t="s">
        <v>240</v>
      </c>
      <c r="J416" s="1" t="s">
        <v>1272</v>
      </c>
      <c r="K416" s="1">
        <v>7.0</v>
      </c>
      <c r="L416" s="1" t="s">
        <v>1273</v>
      </c>
      <c r="M416" s="1">
        <v>0.0</v>
      </c>
    </row>
    <row r="417">
      <c r="A417" s="1">
        <v>934.0</v>
      </c>
      <c r="B417" s="1">
        <v>9.0</v>
      </c>
      <c r="C417" s="1">
        <v>0.894061731763485</v>
      </c>
      <c r="D417" s="1" t="s">
        <v>804</v>
      </c>
      <c r="E417" s="1" t="s">
        <v>47</v>
      </c>
      <c r="F417" s="1" t="s">
        <v>197</v>
      </c>
      <c r="G417" s="1" t="s">
        <v>42</v>
      </c>
      <c r="H417" s="1">
        <v>2016.0</v>
      </c>
      <c r="I417" s="1" t="s">
        <v>630</v>
      </c>
      <c r="J417" s="1" t="s">
        <v>1272</v>
      </c>
      <c r="K417" s="1">
        <v>10.0</v>
      </c>
      <c r="L417" s="1" t="s">
        <v>1273</v>
      </c>
      <c r="M417" s="1">
        <v>11.0</v>
      </c>
    </row>
    <row r="418">
      <c r="A418" s="1">
        <v>84.0</v>
      </c>
      <c r="B418" s="1">
        <v>2.0</v>
      </c>
      <c r="C418" s="1">
        <v>0.893596078468787</v>
      </c>
      <c r="D418" s="1" t="s">
        <v>109</v>
      </c>
      <c r="E418" s="1" t="s">
        <v>107</v>
      </c>
      <c r="F418" s="1" t="s">
        <v>18</v>
      </c>
      <c r="G418" s="1" t="s">
        <v>1274</v>
      </c>
      <c r="H418" s="1">
        <v>2022.0</v>
      </c>
      <c r="I418" s="1" t="s">
        <v>12</v>
      </c>
      <c r="J418" s="1" t="s">
        <v>1272</v>
      </c>
      <c r="K418" s="1">
        <v>7.0</v>
      </c>
      <c r="L418" s="1" t="s">
        <v>1273</v>
      </c>
      <c r="M418" s="1">
        <v>-1.0</v>
      </c>
    </row>
    <row r="419">
      <c r="A419" s="1">
        <v>369.0</v>
      </c>
      <c r="B419" s="1">
        <v>2.0</v>
      </c>
      <c r="C419" s="1">
        <v>0.893572812015085</v>
      </c>
      <c r="D419" s="1" t="s">
        <v>353</v>
      </c>
      <c r="E419" s="1" t="s">
        <v>20</v>
      </c>
      <c r="F419" s="1" t="s">
        <v>142</v>
      </c>
      <c r="G419" s="2">
        <v>46152.0</v>
      </c>
      <c r="H419" s="1">
        <v>2021.0</v>
      </c>
      <c r="I419" s="1" t="s">
        <v>240</v>
      </c>
      <c r="J419" s="1" t="s">
        <v>1272</v>
      </c>
      <c r="K419" s="1">
        <v>7.0</v>
      </c>
      <c r="L419" s="1" t="s">
        <v>1273</v>
      </c>
      <c r="M419" s="1">
        <v>5.0</v>
      </c>
    </row>
    <row r="420">
      <c r="A420" s="1">
        <v>188.0</v>
      </c>
      <c r="B420" s="1">
        <v>5.0</v>
      </c>
      <c r="C420" s="1">
        <v>0.892679032443958</v>
      </c>
      <c r="D420" s="1" t="s">
        <v>202</v>
      </c>
      <c r="E420" s="1" t="s">
        <v>1274</v>
      </c>
      <c r="F420" s="1" t="s">
        <v>1274</v>
      </c>
      <c r="G420" s="1" t="s">
        <v>1274</v>
      </c>
      <c r="H420" s="1">
        <v>2005.0</v>
      </c>
      <c r="I420" s="1" t="s">
        <v>198</v>
      </c>
      <c r="J420" s="1" t="s">
        <v>1272</v>
      </c>
      <c r="K420" s="1">
        <v>7.0</v>
      </c>
      <c r="L420" s="1" t="s">
        <v>1273</v>
      </c>
      <c r="M420" s="1">
        <v>-1.0</v>
      </c>
    </row>
    <row r="421">
      <c r="A421" s="1">
        <v>1089.0</v>
      </c>
      <c r="B421" s="1">
        <v>2.0</v>
      </c>
      <c r="C421" s="1">
        <v>0.892587483732788</v>
      </c>
      <c r="D421" s="1" t="s">
        <v>221</v>
      </c>
      <c r="E421" s="1" t="s">
        <v>10</v>
      </c>
      <c r="F421" s="1" t="s">
        <v>97</v>
      </c>
      <c r="G421" s="1" t="s">
        <v>1274</v>
      </c>
      <c r="H421" s="1">
        <v>2020.0</v>
      </c>
      <c r="I421" s="1" t="s">
        <v>861</v>
      </c>
      <c r="J421" s="1" t="s">
        <v>1272</v>
      </c>
      <c r="K421" s="1">
        <v>10.0</v>
      </c>
      <c r="L421" s="1" t="s">
        <v>1273</v>
      </c>
      <c r="M421" s="1">
        <v>12.0</v>
      </c>
    </row>
    <row r="422">
      <c r="A422" s="1">
        <v>919.0</v>
      </c>
      <c r="B422" s="1">
        <v>3.0</v>
      </c>
      <c r="C422" s="1">
        <v>0.892558568390294</v>
      </c>
      <c r="D422" s="1" t="s">
        <v>853</v>
      </c>
      <c r="E422" s="1" t="s">
        <v>173</v>
      </c>
      <c r="F422" s="1" t="s">
        <v>1274</v>
      </c>
      <c r="G422" s="1" t="s">
        <v>609</v>
      </c>
      <c r="H422" s="1">
        <v>2015.0</v>
      </c>
      <c r="I422" s="1" t="s">
        <v>630</v>
      </c>
      <c r="J422" s="1" t="s">
        <v>1272</v>
      </c>
      <c r="K422" s="1">
        <v>7.0</v>
      </c>
      <c r="L422" s="1" t="s">
        <v>1273</v>
      </c>
      <c r="M422" s="1">
        <v>1.0</v>
      </c>
    </row>
    <row r="423">
      <c r="A423" s="1">
        <v>1043.0</v>
      </c>
      <c r="B423" s="1">
        <v>2.0</v>
      </c>
      <c r="C423" s="1">
        <v>0.892163408829547</v>
      </c>
      <c r="D423" s="1" t="s">
        <v>947</v>
      </c>
      <c r="E423" s="1" t="s">
        <v>10</v>
      </c>
      <c r="F423" s="1" t="s">
        <v>18</v>
      </c>
      <c r="G423" s="1" t="s">
        <v>42</v>
      </c>
      <c r="H423" s="1">
        <v>2014.0</v>
      </c>
      <c r="I423" s="1" t="s">
        <v>861</v>
      </c>
      <c r="J423" s="1" t="s">
        <v>1272</v>
      </c>
      <c r="K423" s="1">
        <v>7.0</v>
      </c>
      <c r="L423" s="1" t="s">
        <v>1273</v>
      </c>
      <c r="M423" s="1">
        <v>6.0</v>
      </c>
    </row>
    <row r="424">
      <c r="A424" s="1">
        <v>907.0</v>
      </c>
      <c r="B424" s="1">
        <v>3.0</v>
      </c>
      <c r="C424" s="1">
        <v>0.891898548084223</v>
      </c>
      <c r="D424" s="1" t="s">
        <v>841</v>
      </c>
      <c r="E424" s="1" t="s">
        <v>173</v>
      </c>
      <c r="F424" s="1" t="s">
        <v>1274</v>
      </c>
      <c r="G424" s="1" t="s">
        <v>609</v>
      </c>
      <c r="H424" s="1">
        <v>2015.0</v>
      </c>
      <c r="I424" s="1" t="s">
        <v>630</v>
      </c>
      <c r="J424" s="1" t="s">
        <v>1272</v>
      </c>
      <c r="K424" s="1">
        <v>7.0</v>
      </c>
      <c r="L424" s="1" t="s">
        <v>1273</v>
      </c>
      <c r="M424" s="1">
        <v>1.0</v>
      </c>
    </row>
    <row r="425">
      <c r="A425" s="1">
        <v>620.0</v>
      </c>
      <c r="B425" s="1">
        <v>4.0</v>
      </c>
      <c r="C425" s="1">
        <v>0.891823378286714</v>
      </c>
      <c r="D425" s="1" t="s">
        <v>572</v>
      </c>
      <c r="E425" s="1" t="s">
        <v>45</v>
      </c>
      <c r="F425" s="1" t="s">
        <v>18</v>
      </c>
      <c r="G425" s="1" t="s">
        <v>1274</v>
      </c>
      <c r="H425" s="1">
        <v>2022.0</v>
      </c>
      <c r="I425" s="1" t="s">
        <v>240</v>
      </c>
      <c r="J425" s="1" t="s">
        <v>1272</v>
      </c>
      <c r="K425" s="1">
        <v>7.0</v>
      </c>
      <c r="L425" s="1" t="s">
        <v>1273</v>
      </c>
      <c r="M425" s="1">
        <v>2.0</v>
      </c>
    </row>
    <row r="426">
      <c r="A426" s="1">
        <v>627.0</v>
      </c>
      <c r="B426" s="1">
        <v>4.0</v>
      </c>
      <c r="C426" s="1">
        <v>0.890184368248738</v>
      </c>
      <c r="D426" s="1" t="s">
        <v>579</v>
      </c>
      <c r="E426" s="1" t="s">
        <v>45</v>
      </c>
      <c r="F426" s="1" t="s">
        <v>18</v>
      </c>
      <c r="G426" s="1" t="s">
        <v>1274</v>
      </c>
      <c r="H426" s="1">
        <v>2022.0</v>
      </c>
      <c r="I426" s="1" t="s">
        <v>240</v>
      </c>
      <c r="J426" s="1" t="s">
        <v>1272</v>
      </c>
      <c r="K426" s="1">
        <v>7.0</v>
      </c>
      <c r="L426" s="1" t="s">
        <v>1273</v>
      </c>
      <c r="M426" s="1">
        <v>4.0</v>
      </c>
    </row>
    <row r="427">
      <c r="A427" s="1">
        <v>421.0</v>
      </c>
      <c r="B427" s="1">
        <v>2.0</v>
      </c>
      <c r="C427" s="1">
        <v>0.889878297776457</v>
      </c>
      <c r="D427" s="1" t="s">
        <v>397</v>
      </c>
      <c r="E427" s="1" t="s">
        <v>24</v>
      </c>
      <c r="F427" s="1" t="s">
        <v>18</v>
      </c>
      <c r="G427" s="1" t="s">
        <v>42</v>
      </c>
      <c r="H427" s="1">
        <v>2024.0</v>
      </c>
      <c r="I427" s="1" t="s">
        <v>240</v>
      </c>
      <c r="J427" s="1" t="s">
        <v>1272</v>
      </c>
      <c r="K427" s="1">
        <v>5.0</v>
      </c>
      <c r="L427" s="1" t="s">
        <v>1273</v>
      </c>
      <c r="M427" s="1">
        <v>4.0</v>
      </c>
    </row>
    <row r="428">
      <c r="A428" s="1">
        <v>546.0</v>
      </c>
      <c r="B428" s="1">
        <v>2.0</v>
      </c>
      <c r="C428" s="1">
        <v>0.889730266905069</v>
      </c>
      <c r="D428" s="1" t="s">
        <v>496</v>
      </c>
      <c r="E428" s="1" t="s">
        <v>124</v>
      </c>
      <c r="F428" s="1" t="s">
        <v>178</v>
      </c>
      <c r="G428" s="1" t="s">
        <v>26</v>
      </c>
      <c r="H428" s="1">
        <v>2015.0</v>
      </c>
      <c r="I428" s="1" t="s">
        <v>240</v>
      </c>
      <c r="J428" s="1" t="s">
        <v>1272</v>
      </c>
      <c r="K428" s="1">
        <v>10.0</v>
      </c>
      <c r="L428" s="1" t="s">
        <v>1273</v>
      </c>
      <c r="M428" s="1">
        <v>-1.0</v>
      </c>
    </row>
    <row r="429">
      <c r="A429" s="1">
        <v>235.0</v>
      </c>
      <c r="B429" s="1">
        <v>2.0</v>
      </c>
      <c r="C429" s="1">
        <v>0.887589131709919</v>
      </c>
      <c r="D429" s="1" t="s">
        <v>229</v>
      </c>
      <c r="E429" s="1" t="s">
        <v>111</v>
      </c>
      <c r="F429" s="1" t="s">
        <v>1274</v>
      </c>
      <c r="G429" s="1" t="s">
        <v>11</v>
      </c>
      <c r="H429" s="1">
        <v>2021.0</v>
      </c>
      <c r="I429" s="1" t="s">
        <v>198</v>
      </c>
      <c r="J429" s="1" t="s">
        <v>1272</v>
      </c>
      <c r="K429" s="1">
        <v>10.0</v>
      </c>
      <c r="L429" s="1" t="s">
        <v>1273</v>
      </c>
      <c r="M429" s="1">
        <v>-1.0</v>
      </c>
    </row>
    <row r="430">
      <c r="A430" s="1">
        <v>940.0</v>
      </c>
      <c r="B430" s="1">
        <v>2.0</v>
      </c>
      <c r="C430" s="1">
        <v>0.887514267275366</v>
      </c>
      <c r="D430" s="1" t="s">
        <v>865</v>
      </c>
      <c r="E430" s="1" t="s">
        <v>10</v>
      </c>
      <c r="F430" s="1" t="s">
        <v>142</v>
      </c>
      <c r="G430" s="1" t="s">
        <v>1274</v>
      </c>
      <c r="H430" s="1">
        <v>2022.0</v>
      </c>
      <c r="I430" s="1" t="s">
        <v>861</v>
      </c>
      <c r="J430" s="1" t="s">
        <v>1272</v>
      </c>
      <c r="K430" s="1">
        <v>7.0</v>
      </c>
      <c r="L430" s="1" t="s">
        <v>1273</v>
      </c>
      <c r="M430" s="1">
        <v>7.0</v>
      </c>
    </row>
    <row r="431">
      <c r="A431" s="1">
        <v>558.0</v>
      </c>
      <c r="B431" s="1">
        <v>2.0</v>
      </c>
      <c r="C431" s="1">
        <v>0.886720183767416</v>
      </c>
      <c r="D431" s="1" t="s">
        <v>510</v>
      </c>
      <c r="E431" s="1" t="s">
        <v>107</v>
      </c>
      <c r="F431" s="1" t="s">
        <v>18</v>
      </c>
      <c r="G431" s="1" t="s">
        <v>1274</v>
      </c>
      <c r="H431" s="1">
        <v>2022.0</v>
      </c>
      <c r="I431" s="1" t="s">
        <v>240</v>
      </c>
      <c r="J431" s="1" t="s">
        <v>1272</v>
      </c>
      <c r="K431" s="1">
        <v>5.0</v>
      </c>
      <c r="L431" s="1" t="s">
        <v>1273</v>
      </c>
      <c r="M431" s="1">
        <v>5.0</v>
      </c>
    </row>
    <row r="432">
      <c r="A432" s="1">
        <v>976.0</v>
      </c>
      <c r="B432" s="1">
        <v>5.0</v>
      </c>
      <c r="C432" s="1">
        <v>0.8866985076737</v>
      </c>
      <c r="D432" s="1" t="s">
        <v>885</v>
      </c>
      <c r="E432" s="1" t="s">
        <v>50</v>
      </c>
      <c r="F432" s="1" t="s">
        <v>1274</v>
      </c>
      <c r="G432" s="1" t="s">
        <v>11</v>
      </c>
      <c r="H432" s="1">
        <v>2023.0</v>
      </c>
      <c r="I432" s="1" t="s">
        <v>861</v>
      </c>
      <c r="J432" s="1" t="s">
        <v>1272</v>
      </c>
      <c r="K432" s="1">
        <v>7.0</v>
      </c>
      <c r="L432" s="1" t="s">
        <v>1273</v>
      </c>
      <c r="M432" s="1">
        <v>14.0</v>
      </c>
    </row>
    <row r="433">
      <c r="A433" s="1">
        <v>568.0</v>
      </c>
      <c r="B433" s="1">
        <v>2.0</v>
      </c>
      <c r="C433" s="1">
        <v>0.885554308165357</v>
      </c>
      <c r="D433" s="1" t="s">
        <v>520</v>
      </c>
      <c r="E433" s="1" t="s">
        <v>107</v>
      </c>
      <c r="F433" s="1" t="s">
        <v>18</v>
      </c>
      <c r="G433" s="1" t="s">
        <v>1274</v>
      </c>
      <c r="H433" s="1">
        <v>2022.0</v>
      </c>
      <c r="I433" s="1" t="s">
        <v>240</v>
      </c>
      <c r="J433" s="1" t="s">
        <v>1272</v>
      </c>
      <c r="K433" s="1">
        <v>5.0</v>
      </c>
      <c r="L433" s="1" t="s">
        <v>1273</v>
      </c>
      <c r="M433" s="1">
        <v>0.0</v>
      </c>
    </row>
    <row r="434">
      <c r="A434" s="1">
        <v>1003.0</v>
      </c>
      <c r="B434" s="1">
        <v>2.0</v>
      </c>
      <c r="C434" s="1">
        <v>0.885032125374654</v>
      </c>
      <c r="D434" s="1" t="s">
        <v>910</v>
      </c>
      <c r="E434" s="1" t="s">
        <v>124</v>
      </c>
      <c r="F434" s="1" t="s">
        <v>178</v>
      </c>
      <c r="G434" s="1" t="s">
        <v>1274</v>
      </c>
      <c r="H434" s="1">
        <v>2012.0</v>
      </c>
      <c r="I434" s="1" t="s">
        <v>861</v>
      </c>
      <c r="J434" s="1" t="s">
        <v>1272</v>
      </c>
      <c r="K434" s="1">
        <v>7.0</v>
      </c>
      <c r="L434" s="1" t="s">
        <v>1273</v>
      </c>
      <c r="M434" s="1">
        <v>-1.0</v>
      </c>
    </row>
    <row r="435">
      <c r="A435" s="1">
        <v>388.0</v>
      </c>
      <c r="B435" s="1">
        <v>2.0</v>
      </c>
      <c r="C435" s="1">
        <v>0.884966326609473</v>
      </c>
      <c r="D435" s="1" t="s">
        <v>365</v>
      </c>
      <c r="E435" s="1" t="s">
        <v>50</v>
      </c>
      <c r="F435" s="1" t="s">
        <v>1274</v>
      </c>
      <c r="G435" s="2">
        <v>46213.0</v>
      </c>
      <c r="H435" s="1">
        <v>2021.0</v>
      </c>
      <c r="I435" s="1" t="s">
        <v>240</v>
      </c>
      <c r="J435" s="1" t="s">
        <v>1272</v>
      </c>
      <c r="K435" s="1">
        <v>10.0</v>
      </c>
      <c r="L435" s="1" t="s">
        <v>1273</v>
      </c>
      <c r="M435" s="1">
        <v>-1.0</v>
      </c>
    </row>
    <row r="436">
      <c r="A436" s="1">
        <v>354.0</v>
      </c>
      <c r="B436" s="1">
        <v>1.0</v>
      </c>
      <c r="C436" s="1">
        <v>0.883574136530905</v>
      </c>
      <c r="D436" s="1" t="s">
        <v>339</v>
      </c>
      <c r="E436" s="1" t="s">
        <v>41</v>
      </c>
      <c r="F436" s="1" t="s">
        <v>18</v>
      </c>
      <c r="G436" s="1" t="s">
        <v>11</v>
      </c>
      <c r="H436" s="1">
        <v>2024.0</v>
      </c>
      <c r="I436" s="1" t="s">
        <v>240</v>
      </c>
      <c r="J436" s="1" t="s">
        <v>1272</v>
      </c>
      <c r="K436" s="1">
        <v>5.0</v>
      </c>
      <c r="L436" s="1" t="s">
        <v>1273</v>
      </c>
      <c r="M436" s="1">
        <v>5.0</v>
      </c>
    </row>
    <row r="437">
      <c r="A437" s="1">
        <v>1025.0</v>
      </c>
      <c r="B437" s="1">
        <v>5.0</v>
      </c>
      <c r="C437" s="1">
        <v>0.883453162634442</v>
      </c>
      <c r="D437" s="1" t="s">
        <v>930</v>
      </c>
      <c r="E437" s="1" t="s">
        <v>24</v>
      </c>
      <c r="F437" s="1" t="s">
        <v>18</v>
      </c>
      <c r="G437" s="1" t="s">
        <v>42</v>
      </c>
      <c r="H437" s="1">
        <v>2023.0</v>
      </c>
      <c r="I437" s="1" t="s">
        <v>861</v>
      </c>
      <c r="J437" s="1" t="s">
        <v>1272</v>
      </c>
      <c r="K437" s="1">
        <v>10.0</v>
      </c>
      <c r="L437" s="1" t="s">
        <v>1273</v>
      </c>
      <c r="M437" s="1">
        <v>9.0</v>
      </c>
    </row>
    <row r="438">
      <c r="A438" s="1">
        <v>347.0</v>
      </c>
      <c r="B438" s="1">
        <v>2.0</v>
      </c>
      <c r="C438" s="1">
        <v>0.883110424099376</v>
      </c>
      <c r="D438" s="1" t="s">
        <v>333</v>
      </c>
      <c r="E438" s="1" t="s">
        <v>45</v>
      </c>
      <c r="F438" s="1" t="s">
        <v>65</v>
      </c>
      <c r="G438" s="1" t="s">
        <v>1274</v>
      </c>
      <c r="H438" s="1">
        <v>2019.0</v>
      </c>
      <c r="I438" s="1" t="s">
        <v>240</v>
      </c>
      <c r="J438" s="1" t="s">
        <v>1272</v>
      </c>
      <c r="K438" s="1">
        <v>5.0</v>
      </c>
      <c r="L438" s="1" t="s">
        <v>1273</v>
      </c>
      <c r="M438" s="1">
        <v>3.0</v>
      </c>
    </row>
    <row r="439">
      <c r="A439" s="1">
        <v>893.0</v>
      </c>
      <c r="B439" s="1">
        <v>3.0</v>
      </c>
      <c r="C439" s="1">
        <v>0.882760667311063</v>
      </c>
      <c r="D439" s="1" t="s">
        <v>826</v>
      </c>
      <c r="E439" s="1" t="s">
        <v>58</v>
      </c>
      <c r="F439" s="1" t="s">
        <v>1274</v>
      </c>
      <c r="G439" s="1" t="s">
        <v>11</v>
      </c>
      <c r="H439" s="1">
        <v>2024.0</v>
      </c>
      <c r="I439" s="1" t="s">
        <v>630</v>
      </c>
      <c r="J439" s="1" t="s">
        <v>1272</v>
      </c>
      <c r="K439" s="1">
        <v>7.0</v>
      </c>
      <c r="L439" s="1" t="s">
        <v>1273</v>
      </c>
      <c r="M439" s="1">
        <v>1.0</v>
      </c>
    </row>
    <row r="440">
      <c r="A440" s="1">
        <v>1077.0</v>
      </c>
      <c r="B440" s="1">
        <v>2.0</v>
      </c>
      <c r="C440" s="1">
        <v>0.881695728901493</v>
      </c>
      <c r="D440" s="1" t="s">
        <v>981</v>
      </c>
      <c r="E440" s="1" t="s">
        <v>17</v>
      </c>
      <c r="F440" s="1" t="s">
        <v>18</v>
      </c>
      <c r="G440" s="1">
        <v>9.0</v>
      </c>
      <c r="H440" s="1">
        <v>2023.0</v>
      </c>
      <c r="I440" s="1" t="s">
        <v>861</v>
      </c>
      <c r="J440" s="1" t="s">
        <v>1272</v>
      </c>
      <c r="K440" s="1">
        <v>7.0</v>
      </c>
      <c r="L440" s="1" t="s">
        <v>1273</v>
      </c>
      <c r="M440" s="1">
        <v>-1.0</v>
      </c>
    </row>
    <row r="441">
      <c r="A441" s="1">
        <v>277.0</v>
      </c>
      <c r="B441" s="1">
        <v>2.0</v>
      </c>
      <c r="C441" s="1">
        <v>0.881534673623508</v>
      </c>
      <c r="D441" s="1" t="s">
        <v>270</v>
      </c>
      <c r="E441" s="1" t="s">
        <v>124</v>
      </c>
      <c r="F441" s="1" t="s">
        <v>178</v>
      </c>
      <c r="G441" s="1" t="s">
        <v>1274</v>
      </c>
      <c r="H441" s="1">
        <v>2024.0</v>
      </c>
      <c r="I441" s="1" t="s">
        <v>240</v>
      </c>
      <c r="J441" s="1" t="s">
        <v>1272</v>
      </c>
      <c r="K441" s="1">
        <v>7.0</v>
      </c>
      <c r="L441" s="1" t="s">
        <v>1273</v>
      </c>
      <c r="M441" s="1">
        <v>0.0</v>
      </c>
    </row>
    <row r="442">
      <c r="A442" s="1">
        <v>286.0</v>
      </c>
      <c r="B442" s="1">
        <v>2.0</v>
      </c>
      <c r="C442" s="1">
        <v>0.881522071276321</v>
      </c>
      <c r="D442" s="1" t="s">
        <v>279</v>
      </c>
      <c r="E442" s="1" t="s">
        <v>107</v>
      </c>
      <c r="F442" s="1" t="s">
        <v>1274</v>
      </c>
      <c r="G442" s="1" t="s">
        <v>11</v>
      </c>
      <c r="H442" s="1">
        <v>2019.0</v>
      </c>
      <c r="I442" s="1" t="s">
        <v>240</v>
      </c>
      <c r="J442" s="1" t="s">
        <v>1272</v>
      </c>
      <c r="K442" s="1">
        <v>5.0</v>
      </c>
      <c r="L442" s="1" t="s">
        <v>1273</v>
      </c>
      <c r="M442" s="1">
        <v>-1.0</v>
      </c>
    </row>
    <row r="443">
      <c r="A443" s="1">
        <v>556.0</v>
      </c>
      <c r="B443" s="1">
        <v>2.0</v>
      </c>
      <c r="C443" s="1">
        <v>0.880977402110251</v>
      </c>
      <c r="D443" s="1" t="s">
        <v>508</v>
      </c>
      <c r="E443" s="1" t="s">
        <v>107</v>
      </c>
      <c r="F443" s="1" t="s">
        <v>18</v>
      </c>
      <c r="G443" s="1" t="s">
        <v>1274</v>
      </c>
      <c r="H443" s="1">
        <v>2022.0</v>
      </c>
      <c r="I443" s="1" t="s">
        <v>240</v>
      </c>
      <c r="J443" s="1" t="s">
        <v>1272</v>
      </c>
      <c r="K443" s="1">
        <v>5.0</v>
      </c>
      <c r="L443" s="1" t="s">
        <v>1273</v>
      </c>
      <c r="M443" s="1">
        <v>4.0</v>
      </c>
    </row>
    <row r="444">
      <c r="A444" s="1">
        <v>612.0</v>
      </c>
      <c r="B444" s="1">
        <v>2.0</v>
      </c>
      <c r="C444" s="1">
        <v>0.879831492602633</v>
      </c>
      <c r="D444" s="1" t="s">
        <v>564</v>
      </c>
      <c r="E444" s="1" t="s">
        <v>102</v>
      </c>
      <c r="F444" s="1" t="s">
        <v>1274</v>
      </c>
      <c r="G444" s="1" t="s">
        <v>11</v>
      </c>
      <c r="H444" s="1">
        <v>2010.0</v>
      </c>
      <c r="I444" s="1" t="s">
        <v>240</v>
      </c>
      <c r="J444" s="1" t="s">
        <v>1272</v>
      </c>
      <c r="K444" s="1">
        <v>5.0</v>
      </c>
      <c r="L444" s="1" t="s">
        <v>1273</v>
      </c>
      <c r="M444" s="1">
        <v>3.0</v>
      </c>
    </row>
    <row r="445">
      <c r="A445" s="1">
        <v>64.0</v>
      </c>
      <c r="B445" s="1">
        <v>2.0</v>
      </c>
      <c r="C445" s="1">
        <v>0.879678899764529</v>
      </c>
      <c r="D445" s="1" t="s">
        <v>87</v>
      </c>
      <c r="E445" s="1" t="s">
        <v>45</v>
      </c>
      <c r="F445" s="1" t="s">
        <v>18</v>
      </c>
      <c r="G445" s="1" t="s">
        <v>1274</v>
      </c>
      <c r="H445" s="1">
        <v>2019.0</v>
      </c>
      <c r="I445" s="1" t="s">
        <v>12</v>
      </c>
      <c r="J445" s="1" t="s">
        <v>1272</v>
      </c>
      <c r="K445" s="1">
        <v>7.0</v>
      </c>
      <c r="L445" s="1" t="s">
        <v>1273</v>
      </c>
      <c r="M445" s="1">
        <v>0.0</v>
      </c>
    </row>
    <row r="446">
      <c r="A446" s="1">
        <v>448.0</v>
      </c>
      <c r="B446" s="1">
        <v>2.0</v>
      </c>
      <c r="C446" s="1">
        <v>0.878730116284418</v>
      </c>
      <c r="D446" s="1" t="s">
        <v>418</v>
      </c>
      <c r="E446" s="1" t="s">
        <v>50</v>
      </c>
      <c r="F446" s="1" t="s">
        <v>18</v>
      </c>
      <c r="G446" s="1" t="s">
        <v>284</v>
      </c>
      <c r="H446" s="1">
        <v>2022.0</v>
      </c>
      <c r="I446" s="1" t="s">
        <v>240</v>
      </c>
      <c r="J446" s="1" t="s">
        <v>1272</v>
      </c>
      <c r="K446" s="1">
        <v>5.0</v>
      </c>
      <c r="L446" s="1" t="s">
        <v>1273</v>
      </c>
      <c r="M446" s="1">
        <v>-1.0</v>
      </c>
    </row>
    <row r="447">
      <c r="A447" s="1">
        <v>401.0</v>
      </c>
      <c r="B447" s="1">
        <v>4.0</v>
      </c>
      <c r="C447" s="1">
        <v>0.878690439701424</v>
      </c>
      <c r="D447" s="1" t="s">
        <v>378</v>
      </c>
      <c r="E447" s="1" t="s">
        <v>17</v>
      </c>
      <c r="F447" s="1" t="s">
        <v>18</v>
      </c>
      <c r="G447" s="1">
        <v>8.0</v>
      </c>
      <c r="H447" s="1">
        <v>2024.0</v>
      </c>
      <c r="I447" s="1" t="s">
        <v>240</v>
      </c>
      <c r="J447" s="1" t="s">
        <v>1272</v>
      </c>
      <c r="K447" s="1">
        <v>7.0</v>
      </c>
      <c r="L447" s="1" t="s">
        <v>1273</v>
      </c>
      <c r="M447" s="1">
        <v>5.0</v>
      </c>
    </row>
    <row r="448">
      <c r="A448" s="1">
        <v>1041.0</v>
      </c>
      <c r="B448" s="1">
        <v>2.0</v>
      </c>
      <c r="C448" s="1">
        <v>0.878441649467277</v>
      </c>
      <c r="D448" s="1" t="s">
        <v>945</v>
      </c>
      <c r="E448" s="1" t="s">
        <v>111</v>
      </c>
      <c r="F448" s="1" t="s">
        <v>1274</v>
      </c>
      <c r="G448" s="1" t="s">
        <v>11</v>
      </c>
      <c r="H448" s="1">
        <v>2021.0</v>
      </c>
      <c r="I448" s="1" t="s">
        <v>861</v>
      </c>
      <c r="J448" s="1" t="s">
        <v>1272</v>
      </c>
      <c r="K448" s="1">
        <v>7.0</v>
      </c>
      <c r="L448" s="1" t="s">
        <v>1273</v>
      </c>
      <c r="M448" s="1">
        <v>9.0</v>
      </c>
    </row>
    <row r="449">
      <c r="A449" s="1">
        <v>740.0</v>
      </c>
      <c r="B449" s="1">
        <v>7.0</v>
      </c>
      <c r="C449" s="1">
        <v>0.877777480306466</v>
      </c>
      <c r="D449" s="1" t="s">
        <v>678</v>
      </c>
      <c r="E449" s="1" t="s">
        <v>58</v>
      </c>
      <c r="F449" s="1" t="s">
        <v>1274</v>
      </c>
      <c r="G449" s="1" t="s">
        <v>42</v>
      </c>
      <c r="H449" s="1">
        <v>2024.0</v>
      </c>
      <c r="I449" s="1" t="s">
        <v>630</v>
      </c>
      <c r="J449" s="1" t="s">
        <v>1272</v>
      </c>
      <c r="K449" s="1">
        <v>10.0</v>
      </c>
      <c r="L449" s="1" t="s">
        <v>1273</v>
      </c>
      <c r="M449" s="1">
        <v>-1.0</v>
      </c>
    </row>
    <row r="450">
      <c r="A450" s="1">
        <v>298.0</v>
      </c>
      <c r="B450" s="1">
        <v>2.0</v>
      </c>
      <c r="C450" s="1">
        <v>0.877641070817231</v>
      </c>
      <c r="D450" s="1" t="s">
        <v>286</v>
      </c>
      <c r="E450" s="1" t="s">
        <v>41</v>
      </c>
      <c r="F450" s="1" t="s">
        <v>1274</v>
      </c>
      <c r="G450" s="1" t="s">
        <v>11</v>
      </c>
      <c r="H450" s="1" t="s">
        <v>1274</v>
      </c>
      <c r="I450" s="1" t="s">
        <v>240</v>
      </c>
      <c r="J450" s="1" t="s">
        <v>1272</v>
      </c>
      <c r="K450" s="1">
        <v>5.0</v>
      </c>
      <c r="L450" s="1" t="s">
        <v>1273</v>
      </c>
      <c r="M450" s="1">
        <v>0.0</v>
      </c>
    </row>
    <row r="451">
      <c r="A451" s="1">
        <v>787.0</v>
      </c>
      <c r="B451" s="1">
        <v>3.0</v>
      </c>
      <c r="C451" s="1">
        <v>0.875341106320337</v>
      </c>
      <c r="D451" s="1" t="s">
        <v>723</v>
      </c>
      <c r="E451" s="1" t="s">
        <v>1274</v>
      </c>
      <c r="F451" s="1" t="s">
        <v>1274</v>
      </c>
      <c r="G451" s="1" t="s">
        <v>1274</v>
      </c>
      <c r="H451" s="1">
        <v>2006.0</v>
      </c>
      <c r="I451" s="1" t="s">
        <v>630</v>
      </c>
      <c r="J451" s="1" t="s">
        <v>1272</v>
      </c>
      <c r="K451" s="1">
        <v>5.0</v>
      </c>
      <c r="L451" s="1" t="s">
        <v>1273</v>
      </c>
      <c r="M451" s="1">
        <v>-1.0</v>
      </c>
    </row>
    <row r="452">
      <c r="A452" s="1">
        <v>245.0</v>
      </c>
      <c r="B452" s="1">
        <v>10.0</v>
      </c>
      <c r="C452" s="1">
        <v>0.87520988425513</v>
      </c>
      <c r="D452" s="1" t="s">
        <v>237</v>
      </c>
      <c r="E452" s="1" t="s">
        <v>17</v>
      </c>
      <c r="F452" s="1" t="s">
        <v>18</v>
      </c>
      <c r="G452" s="1" t="s">
        <v>1274</v>
      </c>
      <c r="H452" s="1" t="s">
        <v>1274</v>
      </c>
      <c r="I452" s="1" t="s">
        <v>198</v>
      </c>
      <c r="J452" s="1" t="s">
        <v>1272</v>
      </c>
      <c r="K452" s="1">
        <v>10.0</v>
      </c>
      <c r="L452" s="1" t="s">
        <v>1273</v>
      </c>
      <c r="M452" s="1">
        <v>0.0</v>
      </c>
    </row>
    <row r="453">
      <c r="A453" s="1">
        <v>808.0</v>
      </c>
      <c r="B453" s="1">
        <v>3.0</v>
      </c>
      <c r="C453" s="1">
        <v>0.873887880394844</v>
      </c>
      <c r="D453" s="1" t="s">
        <v>744</v>
      </c>
      <c r="E453" s="1" t="s">
        <v>173</v>
      </c>
      <c r="F453" s="1" t="s">
        <v>18</v>
      </c>
      <c r="G453" s="1" t="s">
        <v>42</v>
      </c>
      <c r="H453" s="1">
        <v>2022.0</v>
      </c>
      <c r="I453" s="1" t="s">
        <v>630</v>
      </c>
      <c r="J453" s="1" t="s">
        <v>1272</v>
      </c>
      <c r="K453" s="1">
        <v>5.0</v>
      </c>
      <c r="L453" s="1" t="s">
        <v>1273</v>
      </c>
      <c r="M453" s="1">
        <v>1.0</v>
      </c>
    </row>
    <row r="454">
      <c r="A454" s="1">
        <v>731.0</v>
      </c>
      <c r="B454" s="1">
        <v>3.0</v>
      </c>
      <c r="C454" s="1">
        <v>0.873172334103162</v>
      </c>
      <c r="D454" s="1" t="s">
        <v>669</v>
      </c>
      <c r="E454" s="1" t="s">
        <v>10</v>
      </c>
      <c r="F454" s="1" t="s">
        <v>18</v>
      </c>
      <c r="G454" s="1" t="s">
        <v>42</v>
      </c>
      <c r="H454" s="1">
        <v>2014.0</v>
      </c>
      <c r="I454" s="1" t="s">
        <v>630</v>
      </c>
      <c r="J454" s="1" t="s">
        <v>1272</v>
      </c>
      <c r="K454" s="1">
        <v>5.0</v>
      </c>
      <c r="L454" s="1" t="s">
        <v>1273</v>
      </c>
      <c r="M454" s="1">
        <v>11.0</v>
      </c>
    </row>
    <row r="455">
      <c r="A455" s="1">
        <v>1006.0</v>
      </c>
      <c r="B455" s="1">
        <v>4.0</v>
      </c>
      <c r="C455" s="1">
        <v>0.872664340829156</v>
      </c>
      <c r="D455" s="1" t="s">
        <v>913</v>
      </c>
      <c r="E455" s="1" t="s">
        <v>47</v>
      </c>
      <c r="F455" s="1" t="s">
        <v>18</v>
      </c>
      <c r="G455" s="1" t="s">
        <v>1274</v>
      </c>
      <c r="H455" s="1">
        <v>2023.0</v>
      </c>
      <c r="I455" s="1" t="s">
        <v>861</v>
      </c>
      <c r="J455" s="1" t="s">
        <v>1272</v>
      </c>
      <c r="K455" s="1">
        <v>5.0</v>
      </c>
      <c r="L455" s="1" t="s">
        <v>1273</v>
      </c>
      <c r="M455" s="1">
        <v>0.0</v>
      </c>
    </row>
    <row r="456">
      <c r="A456" s="1">
        <v>1005.0</v>
      </c>
      <c r="B456" s="1">
        <v>4.0</v>
      </c>
      <c r="C456" s="1">
        <v>0.872658335896448</v>
      </c>
      <c r="D456" s="1" t="s">
        <v>912</v>
      </c>
      <c r="E456" s="1" t="s">
        <v>47</v>
      </c>
      <c r="F456" s="1" t="s">
        <v>18</v>
      </c>
      <c r="G456" s="1" t="s">
        <v>1274</v>
      </c>
      <c r="H456" s="1">
        <v>2023.0</v>
      </c>
      <c r="I456" s="1" t="s">
        <v>861</v>
      </c>
      <c r="J456" s="1" t="s">
        <v>1272</v>
      </c>
      <c r="K456" s="1">
        <v>5.0</v>
      </c>
      <c r="L456" s="1" t="s">
        <v>1273</v>
      </c>
      <c r="M456" s="1">
        <v>0.0</v>
      </c>
    </row>
    <row r="457">
      <c r="A457" s="1">
        <v>134.0</v>
      </c>
      <c r="B457" s="1">
        <v>3.0</v>
      </c>
      <c r="C457" s="1">
        <v>0.87252719329405</v>
      </c>
      <c r="D457" s="1" t="s">
        <v>128</v>
      </c>
      <c r="E457" s="1" t="s">
        <v>24</v>
      </c>
      <c r="F457" s="1" t="s">
        <v>18</v>
      </c>
      <c r="G457" s="1" t="s">
        <v>126</v>
      </c>
      <c r="H457" s="1">
        <v>2018.0</v>
      </c>
      <c r="I457" s="1" t="s">
        <v>12</v>
      </c>
      <c r="J457" s="1" t="s">
        <v>1272</v>
      </c>
      <c r="K457" s="1">
        <v>7.0</v>
      </c>
      <c r="L457" s="1" t="s">
        <v>1273</v>
      </c>
      <c r="M457" s="1">
        <v>0.0</v>
      </c>
    </row>
    <row r="458">
      <c r="A458" s="1">
        <v>949.0</v>
      </c>
      <c r="B458" s="1">
        <v>3.0</v>
      </c>
      <c r="C458" s="1">
        <v>0.872348378867434</v>
      </c>
      <c r="D458" s="1" t="s">
        <v>869</v>
      </c>
      <c r="E458" s="1" t="s">
        <v>58</v>
      </c>
      <c r="F458" s="1" t="s">
        <v>18</v>
      </c>
      <c r="G458" s="1" t="s">
        <v>42</v>
      </c>
      <c r="H458" s="1">
        <v>2024.0</v>
      </c>
      <c r="I458" s="1" t="s">
        <v>861</v>
      </c>
      <c r="J458" s="1" t="s">
        <v>1272</v>
      </c>
      <c r="K458" s="1">
        <v>5.0</v>
      </c>
      <c r="L458" s="1" t="s">
        <v>1273</v>
      </c>
      <c r="M458" s="1">
        <v>6.0</v>
      </c>
    </row>
    <row r="459">
      <c r="A459" s="1">
        <v>4.0</v>
      </c>
      <c r="B459" s="1">
        <v>2.0</v>
      </c>
      <c r="C459" s="1">
        <v>0.871743851350705</v>
      </c>
      <c r="D459" s="1" t="s">
        <v>16</v>
      </c>
      <c r="E459" s="1" t="s">
        <v>17</v>
      </c>
      <c r="F459" s="1" t="s">
        <v>18</v>
      </c>
      <c r="G459" s="1">
        <v>6.0</v>
      </c>
      <c r="H459" s="1" t="s">
        <v>1274</v>
      </c>
      <c r="I459" s="1" t="s">
        <v>12</v>
      </c>
      <c r="J459" s="1" t="s">
        <v>1272</v>
      </c>
      <c r="K459" s="1">
        <v>5.0</v>
      </c>
      <c r="L459" s="1" t="s">
        <v>1273</v>
      </c>
      <c r="M459" s="1">
        <v>-1.0</v>
      </c>
    </row>
    <row r="460">
      <c r="A460" s="1">
        <v>265.0</v>
      </c>
      <c r="B460" s="1">
        <v>2.0</v>
      </c>
      <c r="C460" s="1">
        <v>0.870974567412596</v>
      </c>
      <c r="D460" s="1" t="s">
        <v>258</v>
      </c>
      <c r="E460" s="1" t="s">
        <v>17</v>
      </c>
      <c r="F460" s="1" t="s">
        <v>118</v>
      </c>
      <c r="G460" s="1" t="s">
        <v>1274</v>
      </c>
      <c r="H460" s="1">
        <v>2023.0</v>
      </c>
      <c r="I460" s="1" t="s">
        <v>240</v>
      </c>
      <c r="J460" s="1" t="s">
        <v>1272</v>
      </c>
      <c r="K460" s="1">
        <v>5.0</v>
      </c>
      <c r="L460" s="1" t="s">
        <v>1273</v>
      </c>
      <c r="M460" s="1">
        <v>4.0</v>
      </c>
    </row>
    <row r="461">
      <c r="A461" s="1">
        <v>238.0</v>
      </c>
      <c r="B461" s="1">
        <v>2.0</v>
      </c>
      <c r="C461" s="1">
        <v>0.870211777296782</v>
      </c>
      <c r="D461" s="1" t="s">
        <v>232</v>
      </c>
      <c r="E461" s="1" t="s">
        <v>111</v>
      </c>
      <c r="F461" s="1" t="s">
        <v>1274</v>
      </c>
      <c r="G461" s="1" t="s">
        <v>11</v>
      </c>
      <c r="H461" s="1">
        <v>2021.0</v>
      </c>
      <c r="I461" s="1" t="s">
        <v>198</v>
      </c>
      <c r="J461" s="1" t="s">
        <v>1272</v>
      </c>
      <c r="K461" s="1">
        <v>5.0</v>
      </c>
      <c r="L461" s="1" t="s">
        <v>1273</v>
      </c>
      <c r="M461" s="1">
        <v>6.0</v>
      </c>
    </row>
    <row r="462">
      <c r="A462" s="1">
        <v>165.0</v>
      </c>
      <c r="B462" s="1">
        <v>2.0</v>
      </c>
      <c r="C462" s="1">
        <v>0.868260774661791</v>
      </c>
      <c r="D462" s="1" t="s">
        <v>181</v>
      </c>
      <c r="E462" s="1" t="s">
        <v>41</v>
      </c>
      <c r="F462" s="1" t="s">
        <v>180</v>
      </c>
      <c r="G462" s="1" t="s">
        <v>1274</v>
      </c>
      <c r="H462" s="1" t="s">
        <v>1274</v>
      </c>
      <c r="I462" s="1" t="s">
        <v>12</v>
      </c>
      <c r="J462" s="1" t="s">
        <v>1272</v>
      </c>
      <c r="K462" s="1">
        <v>7.0</v>
      </c>
      <c r="L462" s="1" t="s">
        <v>1273</v>
      </c>
      <c r="M462" s="1">
        <v>0.0</v>
      </c>
    </row>
    <row r="463">
      <c r="A463" s="1">
        <v>560.0</v>
      </c>
      <c r="B463" s="1">
        <v>2.0</v>
      </c>
      <c r="C463" s="1">
        <v>0.867752939923023</v>
      </c>
      <c r="D463" s="1" t="s">
        <v>512</v>
      </c>
      <c r="E463" s="1" t="s">
        <v>107</v>
      </c>
      <c r="F463" s="1" t="s">
        <v>18</v>
      </c>
      <c r="G463" s="1" t="s">
        <v>1274</v>
      </c>
      <c r="H463" s="1">
        <v>2022.0</v>
      </c>
      <c r="I463" s="1" t="s">
        <v>240</v>
      </c>
      <c r="J463" s="1" t="s">
        <v>1272</v>
      </c>
      <c r="K463" s="1">
        <v>5.0</v>
      </c>
      <c r="L463" s="1" t="s">
        <v>1273</v>
      </c>
      <c r="M463" s="1">
        <v>-1.0</v>
      </c>
    </row>
    <row r="464">
      <c r="A464" s="1">
        <v>507.0</v>
      </c>
      <c r="B464" s="1">
        <v>2.0</v>
      </c>
      <c r="C464" s="1">
        <v>0.867090514944157</v>
      </c>
      <c r="D464" s="1" t="s">
        <v>468</v>
      </c>
      <c r="E464" s="1" t="s">
        <v>111</v>
      </c>
      <c r="F464" s="1" t="s">
        <v>1274</v>
      </c>
      <c r="G464" s="1" t="s">
        <v>42</v>
      </c>
      <c r="H464" s="1">
        <v>2022.0</v>
      </c>
      <c r="I464" s="1" t="s">
        <v>240</v>
      </c>
      <c r="J464" s="1" t="s">
        <v>1272</v>
      </c>
      <c r="K464" s="1">
        <v>5.0</v>
      </c>
      <c r="L464" s="1" t="s">
        <v>1273</v>
      </c>
      <c r="M464" s="1">
        <v>3.0</v>
      </c>
    </row>
    <row r="465">
      <c r="A465" s="1">
        <v>755.0</v>
      </c>
      <c r="B465" s="1">
        <v>3.0</v>
      </c>
      <c r="C465" s="1">
        <v>0.866260659104579</v>
      </c>
      <c r="D465" s="1" t="s">
        <v>691</v>
      </c>
      <c r="E465" s="1" t="s">
        <v>58</v>
      </c>
      <c r="F465" s="1" t="s">
        <v>1274</v>
      </c>
      <c r="G465" s="1" t="s">
        <v>42</v>
      </c>
      <c r="H465" s="1">
        <v>2024.0</v>
      </c>
      <c r="I465" s="1" t="s">
        <v>630</v>
      </c>
      <c r="J465" s="1" t="s">
        <v>1272</v>
      </c>
      <c r="K465" s="1">
        <v>5.0</v>
      </c>
      <c r="L465" s="1" t="s">
        <v>1273</v>
      </c>
      <c r="M465" s="1">
        <v>-1.0</v>
      </c>
    </row>
    <row r="466">
      <c r="A466" s="1">
        <v>185.0</v>
      </c>
      <c r="B466" s="1">
        <v>10.0</v>
      </c>
      <c r="C466" s="1">
        <v>0.864455522215468</v>
      </c>
      <c r="D466" s="1" t="s">
        <v>199</v>
      </c>
      <c r="E466" s="1" t="s">
        <v>47</v>
      </c>
      <c r="F466" s="1" t="s">
        <v>197</v>
      </c>
      <c r="G466" s="1" t="s">
        <v>42</v>
      </c>
      <c r="H466" s="1">
        <v>2016.0</v>
      </c>
      <c r="I466" s="1" t="s">
        <v>198</v>
      </c>
      <c r="J466" s="1" t="s">
        <v>1272</v>
      </c>
      <c r="K466" s="1">
        <v>10.0</v>
      </c>
      <c r="L466" s="1" t="s">
        <v>1273</v>
      </c>
      <c r="M466" s="1">
        <v>0.0</v>
      </c>
    </row>
    <row r="467">
      <c r="A467" s="1">
        <v>17.0</v>
      </c>
      <c r="B467" s="1">
        <v>3.0</v>
      </c>
      <c r="C467" s="1">
        <v>0.863881776210884</v>
      </c>
      <c r="D467" s="1" t="s">
        <v>36</v>
      </c>
      <c r="E467" s="1" t="s">
        <v>1274</v>
      </c>
      <c r="F467" s="1" t="s">
        <v>1274</v>
      </c>
      <c r="G467" s="1" t="s">
        <v>1274</v>
      </c>
      <c r="H467" s="1">
        <v>2006.0</v>
      </c>
      <c r="I467" s="1" t="s">
        <v>12</v>
      </c>
      <c r="J467" s="1" t="s">
        <v>1272</v>
      </c>
      <c r="K467" s="1">
        <v>10.0</v>
      </c>
      <c r="L467" s="1" t="s">
        <v>1273</v>
      </c>
      <c r="M467" s="1">
        <v>0.0</v>
      </c>
    </row>
    <row r="468">
      <c r="A468" s="1">
        <v>178.0</v>
      </c>
      <c r="B468" s="1">
        <v>2.0</v>
      </c>
      <c r="C468" s="1">
        <v>0.86220728947777</v>
      </c>
      <c r="D468" s="1" t="s">
        <v>194</v>
      </c>
      <c r="E468" s="1" t="s">
        <v>17</v>
      </c>
      <c r="F468" s="1" t="s">
        <v>18</v>
      </c>
      <c r="G468" s="1">
        <v>8.0</v>
      </c>
      <c r="H468" s="1" t="s">
        <v>1274</v>
      </c>
      <c r="I468" s="1" t="s">
        <v>12</v>
      </c>
      <c r="J468" s="1" t="s">
        <v>1272</v>
      </c>
      <c r="K468" s="1">
        <v>7.0</v>
      </c>
      <c r="L468" s="1" t="s">
        <v>1273</v>
      </c>
      <c r="M468" s="1">
        <v>-1.0</v>
      </c>
    </row>
    <row r="469">
      <c r="A469" s="1">
        <v>331.0</v>
      </c>
      <c r="B469" s="1">
        <v>1.0</v>
      </c>
      <c r="C469" s="1">
        <v>0.861424112728309</v>
      </c>
      <c r="D469" s="1" t="s">
        <v>73</v>
      </c>
      <c r="E469" s="1" t="s">
        <v>45</v>
      </c>
      <c r="F469" s="1" t="s">
        <v>65</v>
      </c>
      <c r="G469" s="1" t="s">
        <v>1274</v>
      </c>
      <c r="H469" s="1">
        <v>2019.0</v>
      </c>
      <c r="I469" s="1" t="s">
        <v>240</v>
      </c>
      <c r="J469" s="1" t="s">
        <v>1272</v>
      </c>
      <c r="K469" s="1">
        <v>5.0</v>
      </c>
      <c r="L469" s="1" t="s">
        <v>1273</v>
      </c>
      <c r="M469" s="1">
        <v>7.0</v>
      </c>
    </row>
    <row r="470">
      <c r="A470" s="1">
        <v>1135.0</v>
      </c>
      <c r="B470" s="1">
        <v>1.0</v>
      </c>
      <c r="C470" s="1">
        <v>0.861066817122701</v>
      </c>
      <c r="D470" s="1" t="s">
        <v>1018</v>
      </c>
      <c r="E470" s="1" t="s">
        <v>58</v>
      </c>
      <c r="F470" s="1" t="s">
        <v>59</v>
      </c>
      <c r="G470" s="2">
        <v>46153.0</v>
      </c>
      <c r="H470" s="1">
        <v>2024.0</v>
      </c>
      <c r="I470" s="1" t="s">
        <v>861</v>
      </c>
      <c r="J470" s="1" t="s">
        <v>1272</v>
      </c>
      <c r="K470" s="1">
        <v>10.0</v>
      </c>
      <c r="L470" s="1" t="s">
        <v>1273</v>
      </c>
      <c r="M470" s="1">
        <v>0.0</v>
      </c>
    </row>
    <row r="471">
      <c r="A471" s="1">
        <v>1094.0</v>
      </c>
      <c r="B471" s="1">
        <v>3.0</v>
      </c>
      <c r="C471" s="1">
        <v>0.860789873595174</v>
      </c>
      <c r="D471" s="1" t="s">
        <v>994</v>
      </c>
      <c r="E471" s="1" t="s">
        <v>102</v>
      </c>
      <c r="F471" s="1" t="s">
        <v>18</v>
      </c>
      <c r="G471" s="1" t="s">
        <v>42</v>
      </c>
      <c r="H471" s="1">
        <v>2008.0</v>
      </c>
      <c r="I471" s="1" t="s">
        <v>861</v>
      </c>
      <c r="J471" s="1" t="s">
        <v>1272</v>
      </c>
      <c r="K471" s="1">
        <v>5.0</v>
      </c>
      <c r="L471" s="1" t="s">
        <v>1273</v>
      </c>
      <c r="M471" s="1">
        <v>0.0</v>
      </c>
    </row>
    <row r="472">
      <c r="A472" s="1">
        <v>462.0</v>
      </c>
      <c r="B472" s="1">
        <v>4.0</v>
      </c>
      <c r="C472" s="1">
        <v>0.86032010808819</v>
      </c>
      <c r="D472" s="1" t="s">
        <v>432</v>
      </c>
      <c r="E472" s="1" t="s">
        <v>187</v>
      </c>
      <c r="F472" s="1" t="s">
        <v>1274</v>
      </c>
      <c r="G472" s="1" t="s">
        <v>11</v>
      </c>
      <c r="H472" s="1">
        <v>2019.0</v>
      </c>
      <c r="I472" s="1" t="s">
        <v>240</v>
      </c>
      <c r="J472" s="1" t="s">
        <v>1272</v>
      </c>
      <c r="K472" s="1">
        <v>7.0</v>
      </c>
      <c r="L472" s="1" t="s">
        <v>1273</v>
      </c>
      <c r="M472" s="1">
        <v>12.0</v>
      </c>
    </row>
    <row r="473">
      <c r="A473" s="1">
        <v>819.0</v>
      </c>
      <c r="B473" s="1">
        <v>3.0</v>
      </c>
      <c r="C473" s="1">
        <v>0.860296817623049</v>
      </c>
      <c r="D473" s="1" t="s">
        <v>755</v>
      </c>
      <c r="E473" s="1" t="s">
        <v>107</v>
      </c>
      <c r="F473" s="1" t="s">
        <v>18</v>
      </c>
      <c r="G473" s="1" t="s">
        <v>1274</v>
      </c>
      <c r="H473" s="1">
        <v>2024.0</v>
      </c>
      <c r="I473" s="1" t="s">
        <v>630</v>
      </c>
      <c r="J473" s="1" t="s">
        <v>1272</v>
      </c>
      <c r="K473" s="1">
        <v>7.0</v>
      </c>
      <c r="L473" s="1" t="s">
        <v>1273</v>
      </c>
      <c r="M473" s="1">
        <v>1.0</v>
      </c>
    </row>
    <row r="474">
      <c r="A474" s="1">
        <v>1.0</v>
      </c>
      <c r="B474" s="1">
        <v>2.0</v>
      </c>
      <c r="C474" s="1">
        <v>0.860238552596608</v>
      </c>
      <c r="D474" s="1" t="s">
        <v>13</v>
      </c>
      <c r="E474" s="1" t="s">
        <v>10</v>
      </c>
      <c r="F474" s="1" t="s">
        <v>1274</v>
      </c>
      <c r="G474" s="1" t="s">
        <v>11</v>
      </c>
      <c r="H474" s="1">
        <v>2024.0</v>
      </c>
      <c r="I474" s="1" t="s">
        <v>12</v>
      </c>
      <c r="J474" s="1" t="s">
        <v>1272</v>
      </c>
      <c r="K474" s="1">
        <v>10.0</v>
      </c>
      <c r="L474" s="1" t="s">
        <v>1273</v>
      </c>
      <c r="M474" s="1">
        <v>-1.0</v>
      </c>
    </row>
    <row r="475">
      <c r="A475" s="1">
        <v>765.0</v>
      </c>
      <c r="B475" s="1">
        <v>3.0</v>
      </c>
      <c r="C475" s="1">
        <v>0.859778556208345</v>
      </c>
      <c r="D475" s="1" t="s">
        <v>701</v>
      </c>
      <c r="E475" s="1" t="s">
        <v>1274</v>
      </c>
      <c r="F475" s="1" t="s">
        <v>1274</v>
      </c>
      <c r="G475" s="1" t="s">
        <v>1274</v>
      </c>
      <c r="H475" s="1">
        <v>2006.0</v>
      </c>
      <c r="I475" s="1" t="s">
        <v>630</v>
      </c>
      <c r="J475" s="1" t="s">
        <v>1272</v>
      </c>
      <c r="K475" s="1">
        <v>7.0</v>
      </c>
      <c r="L475" s="1" t="s">
        <v>1273</v>
      </c>
      <c r="M475" s="1">
        <v>1.0</v>
      </c>
    </row>
    <row r="476">
      <c r="A476" s="1">
        <v>633.0</v>
      </c>
      <c r="B476" s="1">
        <v>4.0</v>
      </c>
      <c r="C476" s="1">
        <v>0.859775399341994</v>
      </c>
      <c r="D476" s="1" t="s">
        <v>585</v>
      </c>
      <c r="E476" s="1" t="s">
        <v>45</v>
      </c>
      <c r="F476" s="1" t="s">
        <v>18</v>
      </c>
      <c r="G476" s="1" t="s">
        <v>1274</v>
      </c>
      <c r="H476" s="1">
        <v>2022.0</v>
      </c>
      <c r="I476" s="1" t="s">
        <v>240</v>
      </c>
      <c r="J476" s="1" t="s">
        <v>1272</v>
      </c>
      <c r="K476" s="1">
        <v>7.0</v>
      </c>
      <c r="L476" s="1" t="s">
        <v>1273</v>
      </c>
      <c r="M476" s="1">
        <v>2.0</v>
      </c>
    </row>
    <row r="477">
      <c r="A477" s="1">
        <v>176.0</v>
      </c>
      <c r="B477" s="1">
        <v>2.0</v>
      </c>
      <c r="C477" s="1">
        <v>0.859270993166666</v>
      </c>
      <c r="D477" s="1" t="s">
        <v>192</v>
      </c>
      <c r="E477" s="1" t="s">
        <v>187</v>
      </c>
      <c r="F477" s="1" t="s">
        <v>1274</v>
      </c>
      <c r="G477" s="1" t="s">
        <v>1274</v>
      </c>
      <c r="H477" s="1">
        <v>2016.0</v>
      </c>
      <c r="I477" s="1" t="s">
        <v>12</v>
      </c>
      <c r="J477" s="1" t="s">
        <v>1272</v>
      </c>
      <c r="K477" s="1">
        <v>7.0</v>
      </c>
      <c r="L477" s="1" t="s">
        <v>1273</v>
      </c>
      <c r="M477" s="1">
        <v>-1.0</v>
      </c>
    </row>
    <row r="478">
      <c r="A478" s="1">
        <v>664.0</v>
      </c>
      <c r="B478" s="1">
        <v>4.0</v>
      </c>
      <c r="C478" s="1">
        <v>0.85850273040344</v>
      </c>
      <c r="D478" s="1" t="s">
        <v>604</v>
      </c>
      <c r="E478" s="1" t="s">
        <v>173</v>
      </c>
      <c r="F478" s="1" t="s">
        <v>18</v>
      </c>
      <c r="G478" s="1" t="s">
        <v>42</v>
      </c>
      <c r="H478" s="1">
        <v>2021.0</v>
      </c>
      <c r="I478" s="1" t="s">
        <v>240</v>
      </c>
      <c r="J478" s="1" t="s">
        <v>1272</v>
      </c>
      <c r="K478" s="1">
        <v>7.0</v>
      </c>
      <c r="L478" s="1" t="s">
        <v>1273</v>
      </c>
      <c r="M478" s="1">
        <v>13.0</v>
      </c>
    </row>
    <row r="479">
      <c r="A479" s="1">
        <v>234.0</v>
      </c>
      <c r="B479" s="1">
        <v>2.0</v>
      </c>
      <c r="C479" s="1">
        <v>0.857768508133697</v>
      </c>
      <c r="D479" s="1" t="s">
        <v>228</v>
      </c>
      <c r="E479" s="1" t="s">
        <v>102</v>
      </c>
      <c r="F479" s="1" t="s">
        <v>18</v>
      </c>
      <c r="G479" s="1" t="s">
        <v>11</v>
      </c>
      <c r="H479" s="1">
        <v>2006.0</v>
      </c>
      <c r="I479" s="1" t="s">
        <v>198</v>
      </c>
      <c r="J479" s="1" t="s">
        <v>1272</v>
      </c>
      <c r="K479" s="1">
        <v>7.0</v>
      </c>
      <c r="L479" s="1" t="s">
        <v>1273</v>
      </c>
      <c r="M479" s="1">
        <v>16.0</v>
      </c>
    </row>
    <row r="480">
      <c r="A480" s="1">
        <v>340.0</v>
      </c>
      <c r="B480" s="1">
        <v>2.0</v>
      </c>
      <c r="C480" s="1">
        <v>0.857170843739692</v>
      </c>
      <c r="D480" s="1" t="s">
        <v>326</v>
      </c>
      <c r="E480" s="1" t="s">
        <v>45</v>
      </c>
      <c r="F480" s="1" t="s">
        <v>65</v>
      </c>
      <c r="G480" s="1" t="s">
        <v>1274</v>
      </c>
      <c r="H480" s="1">
        <v>2019.0</v>
      </c>
      <c r="I480" s="1" t="s">
        <v>240</v>
      </c>
      <c r="J480" s="1" t="s">
        <v>1272</v>
      </c>
      <c r="K480" s="1">
        <v>10.0</v>
      </c>
      <c r="L480" s="1" t="s">
        <v>1273</v>
      </c>
      <c r="M480" s="1">
        <v>-1.0</v>
      </c>
    </row>
    <row r="481">
      <c r="A481" s="1">
        <v>300.0</v>
      </c>
      <c r="B481" s="1">
        <v>2.0</v>
      </c>
      <c r="C481" s="1">
        <v>0.856690964459743</v>
      </c>
      <c r="D481" s="1" t="s">
        <v>288</v>
      </c>
      <c r="E481" s="1" t="s">
        <v>17</v>
      </c>
      <c r="F481" s="1" t="s">
        <v>18</v>
      </c>
      <c r="G481" s="1" t="s">
        <v>1274</v>
      </c>
      <c r="H481" s="1" t="s">
        <v>1274</v>
      </c>
      <c r="I481" s="1" t="s">
        <v>240</v>
      </c>
      <c r="J481" s="1" t="s">
        <v>1272</v>
      </c>
      <c r="K481" s="1">
        <v>5.0</v>
      </c>
      <c r="L481" s="1" t="s">
        <v>1273</v>
      </c>
      <c r="M481" s="1">
        <v>0.0</v>
      </c>
    </row>
    <row r="482">
      <c r="A482" s="1">
        <v>1066.0</v>
      </c>
      <c r="B482" s="1">
        <v>2.0</v>
      </c>
      <c r="C482" s="1">
        <v>0.854891702235331</v>
      </c>
      <c r="D482" s="1" t="s">
        <v>970</v>
      </c>
      <c r="E482" s="1" t="s">
        <v>1274</v>
      </c>
      <c r="F482" s="1" t="s">
        <v>1274</v>
      </c>
      <c r="G482" s="1" t="s">
        <v>1274</v>
      </c>
      <c r="H482" s="1">
        <v>2005.0</v>
      </c>
      <c r="I482" s="1" t="s">
        <v>861</v>
      </c>
      <c r="J482" s="1" t="s">
        <v>1272</v>
      </c>
      <c r="K482" s="1">
        <v>10.0</v>
      </c>
      <c r="L482" s="1" t="s">
        <v>1273</v>
      </c>
      <c r="M482" s="1">
        <v>0.0</v>
      </c>
    </row>
    <row r="483">
      <c r="A483" s="1">
        <v>128.0</v>
      </c>
      <c r="B483" s="1">
        <v>2.0</v>
      </c>
      <c r="C483" s="1">
        <v>0.854425531402247</v>
      </c>
      <c r="D483" s="1" t="s">
        <v>148</v>
      </c>
      <c r="E483" s="1" t="s">
        <v>111</v>
      </c>
      <c r="F483" s="1" t="s">
        <v>18</v>
      </c>
      <c r="G483" s="1" t="s">
        <v>42</v>
      </c>
      <c r="H483" s="1" t="s">
        <v>1274</v>
      </c>
      <c r="I483" s="1" t="s">
        <v>12</v>
      </c>
      <c r="J483" s="1" t="s">
        <v>1272</v>
      </c>
      <c r="K483" s="1">
        <v>7.0</v>
      </c>
      <c r="L483" s="1" t="s">
        <v>1273</v>
      </c>
      <c r="M483" s="1">
        <v>0.0</v>
      </c>
    </row>
    <row r="484">
      <c r="A484" s="1">
        <v>708.0</v>
      </c>
      <c r="B484" s="1">
        <v>3.0</v>
      </c>
      <c r="C484" s="1">
        <v>0.853760250726415</v>
      </c>
      <c r="D484" s="1" t="s">
        <v>646</v>
      </c>
      <c r="E484" s="1" t="s">
        <v>102</v>
      </c>
      <c r="F484" s="1" t="s">
        <v>18</v>
      </c>
      <c r="G484" s="1" t="s">
        <v>42</v>
      </c>
      <c r="H484" s="1">
        <v>2009.0</v>
      </c>
      <c r="I484" s="1" t="s">
        <v>630</v>
      </c>
      <c r="J484" s="1" t="s">
        <v>1272</v>
      </c>
      <c r="K484" s="1">
        <v>5.0</v>
      </c>
      <c r="L484" s="1" t="s">
        <v>1273</v>
      </c>
      <c r="M484" s="1">
        <v>1.0</v>
      </c>
    </row>
    <row r="485">
      <c r="A485" s="1">
        <v>432.0</v>
      </c>
      <c r="B485" s="1">
        <v>2.0</v>
      </c>
      <c r="C485" s="1">
        <v>0.851556660364981</v>
      </c>
      <c r="D485" s="1" t="s">
        <v>404</v>
      </c>
      <c r="E485" s="1" t="s">
        <v>10</v>
      </c>
      <c r="F485" s="1" t="s">
        <v>142</v>
      </c>
      <c r="G485" s="1" t="s">
        <v>1274</v>
      </c>
      <c r="H485" s="1">
        <v>2011.0</v>
      </c>
      <c r="I485" s="1" t="s">
        <v>240</v>
      </c>
      <c r="J485" s="1" t="s">
        <v>1272</v>
      </c>
      <c r="K485" s="1">
        <v>7.0</v>
      </c>
      <c r="L485" s="1" t="s">
        <v>1273</v>
      </c>
      <c r="M485" s="1">
        <v>5.0</v>
      </c>
    </row>
    <row r="486">
      <c r="A486" s="1">
        <v>760.0</v>
      </c>
      <c r="B486" s="1">
        <v>3.0</v>
      </c>
      <c r="C486" s="1">
        <v>0.851550198746037</v>
      </c>
      <c r="D486" s="1" t="s">
        <v>696</v>
      </c>
      <c r="E486" s="1" t="s">
        <v>58</v>
      </c>
      <c r="F486" s="1" t="s">
        <v>1274</v>
      </c>
      <c r="G486" s="1" t="s">
        <v>42</v>
      </c>
      <c r="H486" s="1">
        <v>2024.0</v>
      </c>
      <c r="I486" s="1" t="s">
        <v>630</v>
      </c>
      <c r="J486" s="1" t="s">
        <v>1272</v>
      </c>
      <c r="K486" s="1">
        <v>5.0</v>
      </c>
      <c r="L486" s="1" t="s">
        <v>1273</v>
      </c>
      <c r="M486" s="1">
        <v>13.0</v>
      </c>
    </row>
    <row r="487">
      <c r="A487" s="1">
        <v>922.0</v>
      </c>
      <c r="B487" s="1">
        <v>3.0</v>
      </c>
      <c r="C487" s="1">
        <v>0.851302500710661</v>
      </c>
      <c r="D487" s="1" t="s">
        <v>856</v>
      </c>
      <c r="E487" s="1" t="s">
        <v>173</v>
      </c>
      <c r="F487" s="1" t="s">
        <v>1274</v>
      </c>
      <c r="G487" s="1" t="s">
        <v>609</v>
      </c>
      <c r="H487" s="1">
        <v>2015.0</v>
      </c>
      <c r="I487" s="1" t="s">
        <v>630</v>
      </c>
      <c r="J487" s="1" t="s">
        <v>1272</v>
      </c>
      <c r="K487" s="1">
        <v>7.0</v>
      </c>
      <c r="L487" s="1" t="s">
        <v>1273</v>
      </c>
      <c r="M487" s="1">
        <v>1.0</v>
      </c>
    </row>
    <row r="488">
      <c r="A488" s="1">
        <v>913.0</v>
      </c>
      <c r="B488" s="1">
        <v>3.0</v>
      </c>
      <c r="C488" s="1">
        <v>0.846755375369711</v>
      </c>
      <c r="D488" s="1" t="s">
        <v>847</v>
      </c>
      <c r="E488" s="1" t="s">
        <v>173</v>
      </c>
      <c r="F488" s="1" t="s">
        <v>1274</v>
      </c>
      <c r="G488" s="1" t="s">
        <v>609</v>
      </c>
      <c r="H488" s="1">
        <v>2015.0</v>
      </c>
      <c r="I488" s="1" t="s">
        <v>630</v>
      </c>
      <c r="J488" s="1" t="s">
        <v>1272</v>
      </c>
      <c r="K488" s="1">
        <v>7.0</v>
      </c>
      <c r="L488" s="1" t="s">
        <v>1273</v>
      </c>
      <c r="M488" s="1">
        <v>1.0</v>
      </c>
    </row>
    <row r="489">
      <c r="A489" s="1">
        <v>605.0</v>
      </c>
      <c r="B489" s="1">
        <v>2.0</v>
      </c>
      <c r="C489" s="1">
        <v>0.84565827788079</v>
      </c>
      <c r="D489" s="1" t="s">
        <v>557</v>
      </c>
      <c r="E489" s="1" t="s">
        <v>102</v>
      </c>
      <c r="F489" s="1" t="s">
        <v>1274</v>
      </c>
      <c r="G489" s="1" t="s">
        <v>11</v>
      </c>
      <c r="H489" s="1">
        <v>2010.0</v>
      </c>
      <c r="I489" s="1" t="s">
        <v>240</v>
      </c>
      <c r="J489" s="1" t="s">
        <v>1272</v>
      </c>
      <c r="K489" s="1">
        <v>5.0</v>
      </c>
      <c r="L489" s="1" t="s">
        <v>1273</v>
      </c>
      <c r="M489" s="1">
        <v>-1.0</v>
      </c>
    </row>
    <row r="490">
      <c r="A490" s="1">
        <v>700.0</v>
      </c>
      <c r="B490" s="1">
        <v>3.0</v>
      </c>
      <c r="C490" s="1">
        <v>0.844988279397049</v>
      </c>
      <c r="D490" s="1" t="s">
        <v>638</v>
      </c>
      <c r="E490" s="1" t="s">
        <v>102</v>
      </c>
      <c r="F490" s="1" t="s">
        <v>18</v>
      </c>
      <c r="G490" s="1" t="s">
        <v>42</v>
      </c>
      <c r="H490" s="1">
        <v>2009.0</v>
      </c>
      <c r="I490" s="1" t="s">
        <v>630</v>
      </c>
      <c r="J490" s="1" t="s">
        <v>1272</v>
      </c>
      <c r="K490" s="1">
        <v>7.0</v>
      </c>
      <c r="L490" s="1" t="s">
        <v>1273</v>
      </c>
      <c r="M490" s="1">
        <v>1.0</v>
      </c>
    </row>
    <row r="491">
      <c r="A491" s="1">
        <v>867.0</v>
      </c>
      <c r="B491" s="1">
        <v>3.0</v>
      </c>
      <c r="C491" s="1">
        <v>0.844903722312526</v>
      </c>
      <c r="D491" s="1" t="s">
        <v>803</v>
      </c>
      <c r="E491" s="1" t="s">
        <v>47</v>
      </c>
      <c r="F491" s="1" t="s">
        <v>1274</v>
      </c>
      <c r="G491" s="1" t="s">
        <v>42</v>
      </c>
      <c r="H491" s="1">
        <v>2016.0</v>
      </c>
      <c r="I491" s="1" t="s">
        <v>630</v>
      </c>
      <c r="J491" s="1" t="s">
        <v>1272</v>
      </c>
      <c r="K491" s="1">
        <v>5.0</v>
      </c>
      <c r="L491" s="1" t="s">
        <v>1273</v>
      </c>
      <c r="M491" s="1">
        <v>-1.0</v>
      </c>
    </row>
    <row r="492">
      <c r="A492" s="1">
        <v>404.0</v>
      </c>
      <c r="B492" s="1">
        <v>4.0</v>
      </c>
      <c r="C492" s="1">
        <v>0.844423716223725</v>
      </c>
      <c r="D492" s="1" t="s">
        <v>381</v>
      </c>
      <c r="E492" s="1" t="s">
        <v>17</v>
      </c>
      <c r="F492" s="1" t="s">
        <v>18</v>
      </c>
      <c r="G492" s="1">
        <v>8.0</v>
      </c>
      <c r="H492" s="1">
        <v>2024.0</v>
      </c>
      <c r="I492" s="1" t="s">
        <v>240</v>
      </c>
      <c r="J492" s="1" t="s">
        <v>1272</v>
      </c>
      <c r="K492" s="1">
        <v>7.0</v>
      </c>
      <c r="L492" s="1" t="s">
        <v>1273</v>
      </c>
      <c r="M492" s="1">
        <v>3.0</v>
      </c>
    </row>
    <row r="493">
      <c r="A493" s="1">
        <v>695.0</v>
      </c>
      <c r="B493" s="1">
        <v>3.0</v>
      </c>
      <c r="C493" s="1">
        <v>0.843517439945113</v>
      </c>
      <c r="D493" s="1" t="s">
        <v>633</v>
      </c>
      <c r="E493" s="1" t="s">
        <v>102</v>
      </c>
      <c r="F493" s="1" t="s">
        <v>18</v>
      </c>
      <c r="G493" s="1" t="s">
        <v>42</v>
      </c>
      <c r="H493" s="1">
        <v>2009.0</v>
      </c>
      <c r="I493" s="1" t="s">
        <v>630</v>
      </c>
      <c r="J493" s="1" t="s">
        <v>1272</v>
      </c>
      <c r="K493" s="1">
        <v>7.0</v>
      </c>
      <c r="L493" s="1" t="s">
        <v>1273</v>
      </c>
      <c r="M493" s="1">
        <v>1.0</v>
      </c>
    </row>
    <row r="494">
      <c r="A494" s="1">
        <v>119.0</v>
      </c>
      <c r="B494" s="1">
        <v>2.0</v>
      </c>
      <c r="C494" s="1">
        <v>0.843346796290541</v>
      </c>
      <c r="D494" s="1" t="s">
        <v>141</v>
      </c>
      <c r="E494" s="1" t="s">
        <v>20</v>
      </c>
      <c r="F494" s="1" t="s">
        <v>142</v>
      </c>
      <c r="G494" s="1" t="s">
        <v>1274</v>
      </c>
      <c r="H494" s="1">
        <v>2018.0</v>
      </c>
      <c r="I494" s="1" t="s">
        <v>12</v>
      </c>
      <c r="J494" s="1" t="s">
        <v>1272</v>
      </c>
      <c r="K494" s="1">
        <v>7.0</v>
      </c>
      <c r="L494" s="1" t="s">
        <v>1273</v>
      </c>
      <c r="M494" s="1">
        <v>-1.0</v>
      </c>
    </row>
    <row r="495">
      <c r="A495" s="1">
        <v>1020.0</v>
      </c>
      <c r="B495" s="1">
        <v>5.0</v>
      </c>
      <c r="C495" s="1">
        <v>0.842050857459309</v>
      </c>
      <c r="D495" s="1" t="s">
        <v>925</v>
      </c>
      <c r="E495" s="1" t="s">
        <v>24</v>
      </c>
      <c r="F495" s="1" t="s">
        <v>18</v>
      </c>
      <c r="G495" s="1" t="s">
        <v>42</v>
      </c>
      <c r="H495" s="1">
        <v>2023.0</v>
      </c>
      <c r="I495" s="1" t="s">
        <v>861</v>
      </c>
      <c r="J495" s="1" t="s">
        <v>1272</v>
      </c>
      <c r="K495" s="1">
        <v>10.0</v>
      </c>
      <c r="L495" s="1" t="s">
        <v>1273</v>
      </c>
      <c r="M495" s="1">
        <v>9.0</v>
      </c>
    </row>
    <row r="496">
      <c r="A496" s="1">
        <v>43.0</v>
      </c>
      <c r="B496" s="1">
        <v>2.0</v>
      </c>
      <c r="C496" s="1">
        <v>0.84185848920248</v>
      </c>
      <c r="D496" s="1" t="s">
        <v>67</v>
      </c>
      <c r="E496" s="1" t="s">
        <v>45</v>
      </c>
      <c r="F496" s="1" t="s">
        <v>65</v>
      </c>
      <c r="G496" s="1" t="s">
        <v>1274</v>
      </c>
      <c r="H496" s="1">
        <v>2019.0</v>
      </c>
      <c r="I496" s="1" t="s">
        <v>12</v>
      </c>
      <c r="J496" s="1" t="s">
        <v>1272</v>
      </c>
      <c r="K496" s="1">
        <v>5.0</v>
      </c>
      <c r="L496" s="1" t="s">
        <v>1273</v>
      </c>
      <c r="M496" s="1">
        <v>-1.0</v>
      </c>
    </row>
    <row r="497">
      <c r="A497" s="1">
        <v>924.0</v>
      </c>
      <c r="B497" s="1">
        <v>3.0</v>
      </c>
      <c r="C497" s="1">
        <v>0.841816119760944</v>
      </c>
      <c r="D497" s="1" t="s">
        <v>858</v>
      </c>
      <c r="E497" s="1" t="s">
        <v>173</v>
      </c>
      <c r="F497" s="1" t="s">
        <v>1274</v>
      </c>
      <c r="G497" s="1" t="s">
        <v>609</v>
      </c>
      <c r="H497" s="1">
        <v>2015.0</v>
      </c>
      <c r="I497" s="1" t="s">
        <v>630</v>
      </c>
      <c r="J497" s="1" t="s">
        <v>1272</v>
      </c>
      <c r="K497" s="1">
        <v>7.0</v>
      </c>
      <c r="L497" s="1" t="s">
        <v>1273</v>
      </c>
      <c r="M497" s="1">
        <v>-1.0</v>
      </c>
    </row>
    <row r="498">
      <c r="A498" s="1">
        <v>144.0</v>
      </c>
      <c r="B498" s="1">
        <v>2.0</v>
      </c>
      <c r="C498" s="1">
        <v>0.841133523200533</v>
      </c>
      <c r="D498" s="1" t="s">
        <v>161</v>
      </c>
      <c r="E498" s="1" t="s">
        <v>41</v>
      </c>
      <c r="F498" s="1" t="s">
        <v>18</v>
      </c>
      <c r="G498" s="1" t="s">
        <v>11</v>
      </c>
      <c r="H498" s="1" t="s">
        <v>1274</v>
      </c>
      <c r="I498" s="1" t="s">
        <v>12</v>
      </c>
      <c r="J498" s="1" t="s">
        <v>1272</v>
      </c>
      <c r="K498" s="1">
        <v>7.0</v>
      </c>
      <c r="L498" s="1" t="s">
        <v>1273</v>
      </c>
      <c r="M498" s="1">
        <v>0.0</v>
      </c>
    </row>
    <row r="499">
      <c r="A499" s="1">
        <v>607.0</v>
      </c>
      <c r="B499" s="1">
        <v>2.0</v>
      </c>
      <c r="C499" s="1">
        <v>0.841120269350459</v>
      </c>
      <c r="D499" s="1" t="s">
        <v>559</v>
      </c>
      <c r="E499" s="1" t="s">
        <v>102</v>
      </c>
      <c r="F499" s="1" t="s">
        <v>1274</v>
      </c>
      <c r="G499" s="1" t="s">
        <v>11</v>
      </c>
      <c r="H499" s="1">
        <v>2010.0</v>
      </c>
      <c r="I499" s="1" t="s">
        <v>240</v>
      </c>
      <c r="J499" s="1" t="s">
        <v>1272</v>
      </c>
      <c r="K499" s="1">
        <v>5.0</v>
      </c>
      <c r="L499" s="1" t="s">
        <v>1273</v>
      </c>
      <c r="M499" s="1">
        <v>0.0</v>
      </c>
    </row>
    <row r="500">
      <c r="A500" s="1">
        <v>883.0</v>
      </c>
      <c r="B500" s="1">
        <v>3.0</v>
      </c>
      <c r="C500" s="1">
        <v>0.840639791383031</v>
      </c>
      <c r="D500" s="1" t="s">
        <v>816</v>
      </c>
      <c r="E500" s="1" t="s">
        <v>58</v>
      </c>
      <c r="F500" s="1" t="s">
        <v>1274</v>
      </c>
      <c r="G500" s="1" t="s">
        <v>11</v>
      </c>
      <c r="H500" s="1">
        <v>2024.0</v>
      </c>
      <c r="I500" s="1" t="s">
        <v>630</v>
      </c>
      <c r="J500" s="1" t="s">
        <v>1272</v>
      </c>
      <c r="K500" s="1">
        <v>5.0</v>
      </c>
      <c r="L500" s="1" t="s">
        <v>1273</v>
      </c>
      <c r="M500" s="1">
        <v>-1.0</v>
      </c>
    </row>
    <row r="501">
      <c r="A501" s="1">
        <v>629.0</v>
      </c>
      <c r="B501" s="1">
        <v>2.0</v>
      </c>
      <c r="C501" s="1">
        <v>0.840402473116305</v>
      </c>
      <c r="D501" s="1" t="s">
        <v>581</v>
      </c>
      <c r="E501" s="1" t="s">
        <v>45</v>
      </c>
      <c r="F501" s="1" t="s">
        <v>18</v>
      </c>
      <c r="G501" s="1" t="s">
        <v>1274</v>
      </c>
      <c r="H501" s="1">
        <v>2022.0</v>
      </c>
      <c r="I501" s="1" t="s">
        <v>240</v>
      </c>
      <c r="J501" s="1" t="s">
        <v>1272</v>
      </c>
      <c r="K501" s="1">
        <v>5.0</v>
      </c>
      <c r="L501" s="1" t="s">
        <v>1273</v>
      </c>
      <c r="M501" s="1">
        <v>5.0</v>
      </c>
    </row>
    <row r="502">
      <c r="A502" s="1">
        <v>1084.0</v>
      </c>
      <c r="B502" s="1">
        <v>2.0</v>
      </c>
      <c r="C502" s="1">
        <v>0.83957270463242</v>
      </c>
      <c r="D502" s="1" t="s">
        <v>988</v>
      </c>
      <c r="E502" s="1" t="s">
        <v>17</v>
      </c>
      <c r="F502" s="1" t="s">
        <v>18</v>
      </c>
      <c r="G502" s="1">
        <v>8.0</v>
      </c>
      <c r="H502" s="1">
        <v>2023.0</v>
      </c>
      <c r="I502" s="1" t="s">
        <v>861</v>
      </c>
      <c r="J502" s="1" t="s">
        <v>1272</v>
      </c>
      <c r="K502" s="1">
        <v>10.0</v>
      </c>
      <c r="L502" s="1" t="s">
        <v>1273</v>
      </c>
      <c r="M502" s="1">
        <v>0.0</v>
      </c>
    </row>
    <row r="503">
      <c r="A503" s="1">
        <v>149.0</v>
      </c>
      <c r="B503" s="1">
        <v>2.0</v>
      </c>
      <c r="C503" s="1">
        <v>0.838085695251011</v>
      </c>
      <c r="D503" s="1" t="s">
        <v>166</v>
      </c>
      <c r="E503" s="1" t="s">
        <v>41</v>
      </c>
      <c r="F503" s="1" t="s">
        <v>165</v>
      </c>
      <c r="G503" s="1" t="s">
        <v>1274</v>
      </c>
      <c r="H503" s="1" t="s">
        <v>1274</v>
      </c>
      <c r="I503" s="1" t="s">
        <v>12</v>
      </c>
      <c r="J503" s="1" t="s">
        <v>1272</v>
      </c>
      <c r="K503" s="1">
        <v>7.0</v>
      </c>
      <c r="L503" s="1" t="s">
        <v>1273</v>
      </c>
      <c r="M503" s="1">
        <v>0.0</v>
      </c>
    </row>
    <row r="504">
      <c r="A504" s="1">
        <v>594.0</v>
      </c>
      <c r="B504" s="1">
        <v>4.0</v>
      </c>
      <c r="C504" s="1">
        <v>0.837852554239541</v>
      </c>
      <c r="D504" s="1" t="s">
        <v>546</v>
      </c>
      <c r="E504" s="1" t="s">
        <v>187</v>
      </c>
      <c r="F504" s="1" t="s">
        <v>1274</v>
      </c>
      <c r="G504" s="1" t="s">
        <v>1274</v>
      </c>
      <c r="H504" s="1" t="s">
        <v>1274</v>
      </c>
      <c r="I504" s="1" t="s">
        <v>240</v>
      </c>
      <c r="J504" s="1" t="s">
        <v>1272</v>
      </c>
      <c r="K504" s="1">
        <v>7.0</v>
      </c>
      <c r="L504" s="1" t="s">
        <v>1273</v>
      </c>
      <c r="M504" s="1">
        <v>2.0</v>
      </c>
    </row>
    <row r="505">
      <c r="A505" s="1">
        <v>1053.0</v>
      </c>
      <c r="B505" s="1">
        <v>2.0</v>
      </c>
      <c r="C505" s="1">
        <v>0.836435732493017</v>
      </c>
      <c r="D505" s="1" t="s">
        <v>957</v>
      </c>
      <c r="E505" s="1" t="s">
        <v>20</v>
      </c>
      <c r="F505" s="1" t="s">
        <v>97</v>
      </c>
      <c r="G505" s="1" t="s">
        <v>11</v>
      </c>
      <c r="H505" s="1">
        <v>2020.0</v>
      </c>
      <c r="I505" s="1" t="s">
        <v>861</v>
      </c>
      <c r="J505" s="1" t="s">
        <v>1272</v>
      </c>
      <c r="K505" s="1">
        <v>7.0</v>
      </c>
      <c r="L505" s="1" t="s">
        <v>1273</v>
      </c>
      <c r="M505" s="1">
        <v>-1.0</v>
      </c>
    </row>
    <row r="506">
      <c r="A506" s="1">
        <v>1061.0</v>
      </c>
      <c r="B506" s="1">
        <v>1.0</v>
      </c>
      <c r="C506" s="1">
        <v>0.836174267873016</v>
      </c>
      <c r="D506" s="1" t="s">
        <v>965</v>
      </c>
      <c r="E506" s="1" t="s">
        <v>1274</v>
      </c>
      <c r="F506" s="1" t="s">
        <v>1274</v>
      </c>
      <c r="G506" s="1" t="s">
        <v>1274</v>
      </c>
      <c r="H506" s="1">
        <v>2005.0</v>
      </c>
      <c r="I506" s="1" t="s">
        <v>861</v>
      </c>
      <c r="J506" s="1" t="s">
        <v>1272</v>
      </c>
      <c r="K506" s="1">
        <v>5.0</v>
      </c>
      <c r="L506" s="1" t="s">
        <v>1273</v>
      </c>
      <c r="M506" s="1">
        <v>-1.0</v>
      </c>
    </row>
    <row r="507">
      <c r="A507" s="1">
        <v>66.0</v>
      </c>
      <c r="B507" s="1">
        <v>10.0</v>
      </c>
      <c r="C507" s="1">
        <v>0.836113976262915</v>
      </c>
      <c r="D507" s="1" t="s">
        <v>89</v>
      </c>
      <c r="E507" s="1" t="s">
        <v>45</v>
      </c>
      <c r="F507" s="1" t="s">
        <v>18</v>
      </c>
      <c r="G507" s="1" t="s">
        <v>1274</v>
      </c>
      <c r="H507" s="1">
        <v>2019.0</v>
      </c>
      <c r="I507" s="1" t="s">
        <v>12</v>
      </c>
      <c r="J507" s="1" t="s">
        <v>1272</v>
      </c>
      <c r="K507" s="1">
        <v>10.0</v>
      </c>
      <c r="L507" s="1" t="s">
        <v>1273</v>
      </c>
      <c r="M507" s="1">
        <v>8.0</v>
      </c>
    </row>
    <row r="508">
      <c r="A508" s="1">
        <v>1118.0</v>
      </c>
      <c r="B508" s="1">
        <v>2.0</v>
      </c>
      <c r="C508" s="1">
        <v>0.834762342685818</v>
      </c>
      <c r="D508" s="1" t="s">
        <v>1005</v>
      </c>
      <c r="E508" s="1" t="s">
        <v>20</v>
      </c>
      <c r="F508" s="1" t="s">
        <v>18</v>
      </c>
      <c r="G508" s="1" t="s">
        <v>11</v>
      </c>
      <c r="H508" s="1">
        <v>2015.0</v>
      </c>
      <c r="I508" s="1" t="s">
        <v>861</v>
      </c>
      <c r="J508" s="1" t="s">
        <v>1272</v>
      </c>
      <c r="K508" s="1">
        <v>7.0</v>
      </c>
      <c r="L508" s="1" t="s">
        <v>1273</v>
      </c>
      <c r="M508" s="1">
        <v>0.0</v>
      </c>
    </row>
    <row r="509">
      <c r="A509" s="1">
        <v>167.0</v>
      </c>
      <c r="B509" s="1">
        <v>2.0</v>
      </c>
      <c r="C509" s="1">
        <v>0.834035197752059</v>
      </c>
      <c r="D509" s="1" t="s">
        <v>182</v>
      </c>
      <c r="E509" s="1" t="s">
        <v>24</v>
      </c>
      <c r="F509" s="1" t="s">
        <v>18</v>
      </c>
      <c r="G509" s="1" t="s">
        <v>42</v>
      </c>
      <c r="H509" s="1">
        <v>2020.0</v>
      </c>
      <c r="I509" s="1" t="s">
        <v>12</v>
      </c>
      <c r="J509" s="1" t="s">
        <v>1272</v>
      </c>
      <c r="K509" s="1">
        <v>10.0</v>
      </c>
      <c r="L509" s="1" t="s">
        <v>1273</v>
      </c>
      <c r="M509" s="1">
        <v>-1.0</v>
      </c>
    </row>
    <row r="510">
      <c r="A510" s="1">
        <v>65.0</v>
      </c>
      <c r="B510" s="1">
        <v>10.0</v>
      </c>
      <c r="C510" s="1">
        <v>0.833435131552789</v>
      </c>
      <c r="D510" s="1" t="s">
        <v>88</v>
      </c>
      <c r="E510" s="1" t="s">
        <v>45</v>
      </c>
      <c r="F510" s="1" t="s">
        <v>18</v>
      </c>
      <c r="G510" s="1" t="s">
        <v>1274</v>
      </c>
      <c r="H510" s="1">
        <v>2019.0</v>
      </c>
      <c r="I510" s="1" t="s">
        <v>12</v>
      </c>
      <c r="J510" s="1" t="s">
        <v>1272</v>
      </c>
      <c r="K510" s="1">
        <v>10.0</v>
      </c>
      <c r="L510" s="1" t="s">
        <v>1273</v>
      </c>
      <c r="M510" s="1">
        <v>8.0</v>
      </c>
    </row>
    <row r="511">
      <c r="A511" s="1">
        <v>784.0</v>
      </c>
      <c r="B511" s="1">
        <v>3.0</v>
      </c>
      <c r="C511" s="1">
        <v>0.832236570531849</v>
      </c>
      <c r="D511" s="1" t="s">
        <v>720</v>
      </c>
      <c r="E511" s="1" t="s">
        <v>1274</v>
      </c>
      <c r="F511" s="1" t="s">
        <v>1274</v>
      </c>
      <c r="G511" s="1" t="s">
        <v>1274</v>
      </c>
      <c r="H511" s="1">
        <v>2006.0</v>
      </c>
      <c r="I511" s="1" t="s">
        <v>630</v>
      </c>
      <c r="J511" s="1" t="s">
        <v>1272</v>
      </c>
      <c r="K511" s="1">
        <v>5.0</v>
      </c>
      <c r="L511" s="1" t="s">
        <v>1273</v>
      </c>
      <c r="M511" s="1">
        <v>1.0</v>
      </c>
    </row>
    <row r="512">
      <c r="A512" s="1">
        <v>1033.0</v>
      </c>
      <c r="B512" s="1">
        <v>7.0</v>
      </c>
      <c r="C512" s="1">
        <v>0.83086026469811</v>
      </c>
      <c r="D512" s="1" t="s">
        <v>938</v>
      </c>
      <c r="E512" s="1" t="s">
        <v>124</v>
      </c>
      <c r="F512" s="1" t="s">
        <v>178</v>
      </c>
      <c r="G512" s="1" t="s">
        <v>1274</v>
      </c>
      <c r="H512" s="1">
        <v>2012.0</v>
      </c>
      <c r="I512" s="1" t="s">
        <v>861</v>
      </c>
      <c r="J512" s="1" t="s">
        <v>1272</v>
      </c>
      <c r="K512" s="1">
        <v>10.0</v>
      </c>
      <c r="L512" s="1" t="s">
        <v>1273</v>
      </c>
      <c r="M512" s="1">
        <v>10.0</v>
      </c>
    </row>
    <row r="513">
      <c r="A513" s="1">
        <v>1031.0</v>
      </c>
      <c r="B513" s="1">
        <v>7.0</v>
      </c>
      <c r="C513" s="1">
        <v>0.830857564240331</v>
      </c>
      <c r="D513" s="1" t="s">
        <v>936</v>
      </c>
      <c r="E513" s="1" t="s">
        <v>124</v>
      </c>
      <c r="F513" s="1" t="s">
        <v>178</v>
      </c>
      <c r="G513" s="1" t="s">
        <v>1274</v>
      </c>
      <c r="H513" s="1">
        <v>2012.0</v>
      </c>
      <c r="I513" s="1" t="s">
        <v>861</v>
      </c>
      <c r="J513" s="1" t="s">
        <v>1272</v>
      </c>
      <c r="K513" s="1">
        <v>10.0</v>
      </c>
      <c r="L513" s="1" t="s">
        <v>1273</v>
      </c>
      <c r="M513" s="1">
        <v>10.0</v>
      </c>
    </row>
    <row r="514">
      <c r="A514" s="1">
        <v>824.0</v>
      </c>
      <c r="B514" s="1">
        <v>3.0</v>
      </c>
      <c r="C514" s="1">
        <v>0.829688474023606</v>
      </c>
      <c r="D514" s="1" t="s">
        <v>760</v>
      </c>
      <c r="E514" s="1" t="s">
        <v>107</v>
      </c>
      <c r="F514" s="1" t="s">
        <v>18</v>
      </c>
      <c r="G514" s="1" t="s">
        <v>1274</v>
      </c>
      <c r="H514" s="1">
        <v>2024.0</v>
      </c>
      <c r="I514" s="1" t="s">
        <v>630</v>
      </c>
      <c r="J514" s="1" t="s">
        <v>1272</v>
      </c>
      <c r="K514" s="1">
        <v>7.0</v>
      </c>
      <c r="L514" s="1" t="s">
        <v>1273</v>
      </c>
      <c r="M514" s="1">
        <v>1.0</v>
      </c>
    </row>
    <row r="515">
      <c r="A515" s="1">
        <v>593.0</v>
      </c>
      <c r="B515" s="1">
        <v>2.0</v>
      </c>
      <c r="C515" s="1">
        <v>0.82954024804806</v>
      </c>
      <c r="D515" s="1" t="s">
        <v>545</v>
      </c>
      <c r="E515" s="1" t="s">
        <v>187</v>
      </c>
      <c r="F515" s="1" t="s">
        <v>1274</v>
      </c>
      <c r="G515" s="1" t="s">
        <v>1274</v>
      </c>
      <c r="H515" s="1" t="s">
        <v>1274</v>
      </c>
      <c r="I515" s="1" t="s">
        <v>240</v>
      </c>
      <c r="J515" s="1" t="s">
        <v>1272</v>
      </c>
      <c r="K515" s="1">
        <v>5.0</v>
      </c>
      <c r="L515" s="1" t="s">
        <v>1273</v>
      </c>
      <c r="M515" s="1">
        <v>0.0</v>
      </c>
    </row>
    <row r="516">
      <c r="A516" s="1">
        <v>923.0</v>
      </c>
      <c r="B516" s="1">
        <v>3.0</v>
      </c>
      <c r="C516" s="1">
        <v>0.828778341525051</v>
      </c>
      <c r="D516" s="1" t="s">
        <v>857</v>
      </c>
      <c r="E516" s="1" t="s">
        <v>173</v>
      </c>
      <c r="F516" s="1" t="s">
        <v>1274</v>
      </c>
      <c r="G516" s="1" t="s">
        <v>609</v>
      </c>
      <c r="H516" s="1">
        <v>2015.0</v>
      </c>
      <c r="I516" s="1" t="s">
        <v>630</v>
      </c>
      <c r="J516" s="1" t="s">
        <v>1272</v>
      </c>
      <c r="K516" s="1">
        <v>7.0</v>
      </c>
      <c r="L516" s="1" t="s">
        <v>1273</v>
      </c>
      <c r="M516" s="1">
        <v>1.0</v>
      </c>
    </row>
    <row r="517">
      <c r="A517" s="1">
        <v>566.0</v>
      </c>
      <c r="B517" s="1">
        <v>2.0</v>
      </c>
      <c r="C517" s="1">
        <v>0.828767712828932</v>
      </c>
      <c r="D517" s="1" t="s">
        <v>518</v>
      </c>
      <c r="E517" s="1" t="s">
        <v>107</v>
      </c>
      <c r="F517" s="1" t="s">
        <v>18</v>
      </c>
      <c r="G517" s="1" t="s">
        <v>1274</v>
      </c>
      <c r="H517" s="1">
        <v>2022.0</v>
      </c>
      <c r="I517" s="1" t="s">
        <v>240</v>
      </c>
      <c r="J517" s="1" t="s">
        <v>1272</v>
      </c>
      <c r="K517" s="1">
        <v>5.0</v>
      </c>
      <c r="L517" s="1" t="s">
        <v>1273</v>
      </c>
      <c r="M517" s="1">
        <v>3.0</v>
      </c>
    </row>
    <row r="518">
      <c r="A518" s="1">
        <v>906.0</v>
      </c>
      <c r="B518" s="1">
        <v>3.0</v>
      </c>
      <c r="C518" s="1">
        <v>0.82738789128257</v>
      </c>
      <c r="D518" s="1" t="s">
        <v>840</v>
      </c>
      <c r="E518" s="1" t="s">
        <v>173</v>
      </c>
      <c r="F518" s="1" t="s">
        <v>1274</v>
      </c>
      <c r="G518" s="1" t="s">
        <v>609</v>
      </c>
      <c r="H518" s="1">
        <v>2015.0</v>
      </c>
      <c r="I518" s="1" t="s">
        <v>630</v>
      </c>
      <c r="J518" s="1" t="s">
        <v>1272</v>
      </c>
      <c r="K518" s="1">
        <v>7.0</v>
      </c>
      <c r="L518" s="1" t="s">
        <v>1273</v>
      </c>
      <c r="M518" s="1">
        <v>1.0</v>
      </c>
    </row>
    <row r="519">
      <c r="A519" s="1">
        <v>759.0</v>
      </c>
      <c r="B519" s="1">
        <v>3.0</v>
      </c>
      <c r="C519" s="1">
        <v>0.827104655059707</v>
      </c>
      <c r="D519" s="1" t="s">
        <v>695</v>
      </c>
      <c r="E519" s="1" t="s">
        <v>58</v>
      </c>
      <c r="F519" s="1" t="s">
        <v>1274</v>
      </c>
      <c r="G519" s="1" t="s">
        <v>42</v>
      </c>
      <c r="H519" s="1">
        <v>2024.0</v>
      </c>
      <c r="I519" s="1" t="s">
        <v>630</v>
      </c>
      <c r="J519" s="1" t="s">
        <v>1272</v>
      </c>
      <c r="K519" s="1">
        <v>5.0</v>
      </c>
      <c r="L519" s="1" t="s">
        <v>1273</v>
      </c>
      <c r="M519" s="1">
        <v>6.0</v>
      </c>
    </row>
    <row r="520">
      <c r="A520" s="1">
        <v>661.0</v>
      </c>
      <c r="B520" s="1">
        <v>4.0</v>
      </c>
      <c r="C520" s="1">
        <v>0.826467935284625</v>
      </c>
      <c r="D520" s="1" t="s">
        <v>601</v>
      </c>
      <c r="E520" s="1" t="s">
        <v>173</v>
      </c>
      <c r="F520" s="1" t="s">
        <v>18</v>
      </c>
      <c r="G520" s="1" t="s">
        <v>42</v>
      </c>
      <c r="H520" s="1">
        <v>2021.0</v>
      </c>
      <c r="I520" s="1" t="s">
        <v>240</v>
      </c>
      <c r="J520" s="1" t="s">
        <v>1272</v>
      </c>
      <c r="K520" s="1">
        <v>7.0</v>
      </c>
      <c r="L520" s="1" t="s">
        <v>1273</v>
      </c>
      <c r="M520" s="1">
        <v>4.0</v>
      </c>
    </row>
    <row r="521">
      <c r="A521" s="1">
        <v>998.0</v>
      </c>
      <c r="B521" s="1">
        <v>5.0</v>
      </c>
      <c r="C521" s="1">
        <v>0.826385236195113</v>
      </c>
      <c r="D521" s="1" t="s">
        <v>905</v>
      </c>
      <c r="E521" s="1" t="s">
        <v>24</v>
      </c>
      <c r="F521" s="1" t="s">
        <v>18</v>
      </c>
      <c r="G521" s="1" t="s">
        <v>42</v>
      </c>
      <c r="H521" s="1">
        <v>2023.0</v>
      </c>
      <c r="I521" s="1" t="s">
        <v>861</v>
      </c>
      <c r="J521" s="1" t="s">
        <v>1272</v>
      </c>
      <c r="K521" s="1">
        <v>10.0</v>
      </c>
      <c r="L521" s="1" t="s">
        <v>1273</v>
      </c>
      <c r="M521" s="1">
        <v>9.0</v>
      </c>
    </row>
    <row r="522">
      <c r="A522" s="1">
        <v>1023.0</v>
      </c>
      <c r="B522" s="1">
        <v>5.0</v>
      </c>
      <c r="C522" s="1">
        <v>0.826385236195113</v>
      </c>
      <c r="D522" s="1" t="s">
        <v>928</v>
      </c>
      <c r="E522" s="1" t="s">
        <v>24</v>
      </c>
      <c r="F522" s="1" t="s">
        <v>18</v>
      </c>
      <c r="G522" s="1" t="s">
        <v>42</v>
      </c>
      <c r="H522" s="1">
        <v>2023.0</v>
      </c>
      <c r="I522" s="1" t="s">
        <v>861</v>
      </c>
      <c r="J522" s="1" t="s">
        <v>1272</v>
      </c>
      <c r="K522" s="1">
        <v>10.0</v>
      </c>
      <c r="L522" s="1" t="s">
        <v>1273</v>
      </c>
      <c r="M522" s="1">
        <v>9.0</v>
      </c>
    </row>
    <row r="523">
      <c r="A523" s="1">
        <v>685.0</v>
      </c>
      <c r="B523" s="1">
        <v>2.0</v>
      </c>
      <c r="C523" s="1">
        <v>0.825758675384203</v>
      </c>
      <c r="D523" s="1" t="s">
        <v>624</v>
      </c>
      <c r="E523" s="1" t="s">
        <v>111</v>
      </c>
      <c r="F523" s="1" t="s">
        <v>1274</v>
      </c>
      <c r="G523" s="1" t="s">
        <v>11</v>
      </c>
      <c r="H523" s="1">
        <v>2014.0</v>
      </c>
      <c r="I523" s="1" t="s">
        <v>240</v>
      </c>
      <c r="J523" s="1" t="s">
        <v>1272</v>
      </c>
      <c r="K523" s="1">
        <v>10.0</v>
      </c>
      <c r="L523" s="1" t="s">
        <v>1273</v>
      </c>
      <c r="M523" s="1">
        <v>0.0</v>
      </c>
    </row>
    <row r="524">
      <c r="A524" s="1">
        <v>314.0</v>
      </c>
      <c r="B524" s="1">
        <v>2.0</v>
      </c>
      <c r="C524" s="1">
        <v>0.824768882053623</v>
      </c>
      <c r="D524" s="1" t="s">
        <v>302</v>
      </c>
      <c r="E524" s="1" t="s">
        <v>17</v>
      </c>
      <c r="F524" s="1" t="s">
        <v>18</v>
      </c>
      <c r="G524" s="1">
        <v>10.0</v>
      </c>
      <c r="H524" s="1">
        <v>2024.0</v>
      </c>
      <c r="I524" s="1" t="s">
        <v>240</v>
      </c>
      <c r="J524" s="1" t="s">
        <v>1272</v>
      </c>
      <c r="K524" s="1">
        <v>7.0</v>
      </c>
      <c r="L524" s="1" t="s">
        <v>1273</v>
      </c>
      <c r="M524" s="1">
        <v>0.0</v>
      </c>
    </row>
    <row r="525">
      <c r="A525" s="1">
        <v>707.0</v>
      </c>
      <c r="B525" s="1">
        <v>3.0</v>
      </c>
      <c r="C525" s="1">
        <v>0.823815733028351</v>
      </c>
      <c r="D525" s="1" t="s">
        <v>645</v>
      </c>
      <c r="E525" s="1" t="s">
        <v>102</v>
      </c>
      <c r="F525" s="1" t="s">
        <v>18</v>
      </c>
      <c r="G525" s="1" t="s">
        <v>42</v>
      </c>
      <c r="H525" s="1">
        <v>2009.0</v>
      </c>
      <c r="I525" s="1" t="s">
        <v>630</v>
      </c>
      <c r="J525" s="1" t="s">
        <v>1272</v>
      </c>
      <c r="K525" s="1">
        <v>7.0</v>
      </c>
      <c r="L525" s="1" t="s">
        <v>1273</v>
      </c>
      <c r="M525" s="1">
        <v>1.0</v>
      </c>
    </row>
    <row r="526">
      <c r="A526" s="1">
        <v>583.0</v>
      </c>
      <c r="B526" s="1">
        <v>2.0</v>
      </c>
      <c r="C526" s="1">
        <v>0.823415445481588</v>
      </c>
      <c r="D526" s="1" t="s">
        <v>535</v>
      </c>
      <c r="E526" s="1" t="s">
        <v>187</v>
      </c>
      <c r="F526" s="1" t="s">
        <v>1274</v>
      </c>
      <c r="G526" s="1" t="s">
        <v>1274</v>
      </c>
      <c r="H526" s="1" t="s">
        <v>1274</v>
      </c>
      <c r="I526" s="1" t="s">
        <v>240</v>
      </c>
      <c r="J526" s="1" t="s">
        <v>1272</v>
      </c>
      <c r="K526" s="1">
        <v>5.0</v>
      </c>
      <c r="L526" s="1" t="s">
        <v>1273</v>
      </c>
      <c r="M526" s="1">
        <v>2.0</v>
      </c>
    </row>
    <row r="527">
      <c r="A527" s="1">
        <v>582.0</v>
      </c>
      <c r="B527" s="1">
        <v>2.0</v>
      </c>
      <c r="C527" s="1">
        <v>0.823415445481588</v>
      </c>
      <c r="D527" s="1" t="s">
        <v>534</v>
      </c>
      <c r="E527" s="1" t="s">
        <v>187</v>
      </c>
      <c r="F527" s="1" t="s">
        <v>1274</v>
      </c>
      <c r="G527" s="1" t="s">
        <v>1274</v>
      </c>
      <c r="H527" s="1" t="s">
        <v>1274</v>
      </c>
      <c r="I527" s="1" t="s">
        <v>240</v>
      </c>
      <c r="J527" s="1" t="s">
        <v>1272</v>
      </c>
      <c r="K527" s="1">
        <v>5.0</v>
      </c>
      <c r="L527" s="1" t="s">
        <v>1273</v>
      </c>
      <c r="M527" s="1">
        <v>2.0</v>
      </c>
    </row>
    <row r="528">
      <c r="A528" s="1">
        <v>383.0</v>
      </c>
      <c r="B528" s="1">
        <v>4.0</v>
      </c>
      <c r="C528" s="1">
        <v>0.823298101651473</v>
      </c>
      <c r="D528" s="1" t="s">
        <v>362</v>
      </c>
      <c r="E528" s="1" t="s">
        <v>124</v>
      </c>
      <c r="F528" s="1" t="s">
        <v>18</v>
      </c>
      <c r="G528" s="1" t="s">
        <v>1274</v>
      </c>
      <c r="H528" s="1">
        <v>2024.0</v>
      </c>
      <c r="I528" s="1" t="s">
        <v>240</v>
      </c>
      <c r="J528" s="1" t="s">
        <v>1272</v>
      </c>
      <c r="K528" s="1">
        <v>7.0</v>
      </c>
      <c r="L528" s="1" t="s">
        <v>1273</v>
      </c>
      <c r="M528" s="1">
        <v>0.0</v>
      </c>
    </row>
    <row r="529">
      <c r="A529" s="1">
        <v>278.0</v>
      </c>
      <c r="B529" s="1">
        <v>4.0</v>
      </c>
      <c r="C529" s="1">
        <v>0.823298101651473</v>
      </c>
      <c r="D529" s="1" t="s">
        <v>271</v>
      </c>
      <c r="E529" s="1" t="s">
        <v>124</v>
      </c>
      <c r="F529" s="1" t="s">
        <v>178</v>
      </c>
      <c r="G529" s="1" t="s">
        <v>1274</v>
      </c>
      <c r="H529" s="1">
        <v>2024.0</v>
      </c>
      <c r="I529" s="1" t="s">
        <v>240</v>
      </c>
      <c r="J529" s="1" t="s">
        <v>1272</v>
      </c>
      <c r="K529" s="1">
        <v>7.0</v>
      </c>
      <c r="L529" s="1" t="s">
        <v>1273</v>
      </c>
      <c r="M529" s="1">
        <v>0.0</v>
      </c>
    </row>
    <row r="530">
      <c r="A530" s="1">
        <v>1134.0</v>
      </c>
      <c r="B530" s="1">
        <v>1.0</v>
      </c>
      <c r="C530" s="1">
        <v>0.823190259879782</v>
      </c>
      <c r="D530" s="1" t="s">
        <v>1017</v>
      </c>
      <c r="E530" s="1" t="s">
        <v>58</v>
      </c>
      <c r="F530" s="1" t="s">
        <v>59</v>
      </c>
      <c r="G530" s="2">
        <v>46153.0</v>
      </c>
      <c r="H530" s="1">
        <v>2024.0</v>
      </c>
      <c r="I530" s="1" t="s">
        <v>861</v>
      </c>
      <c r="J530" s="1" t="s">
        <v>1272</v>
      </c>
      <c r="K530" s="1">
        <v>10.0</v>
      </c>
      <c r="L530" s="1" t="s">
        <v>1273</v>
      </c>
      <c r="M530" s="1">
        <v>0.0</v>
      </c>
    </row>
    <row r="531">
      <c r="A531" s="1">
        <v>515.0</v>
      </c>
      <c r="B531" s="1">
        <v>2.0</v>
      </c>
      <c r="C531" s="1">
        <v>0.822681844381323</v>
      </c>
      <c r="D531" s="1" t="s">
        <v>476</v>
      </c>
      <c r="E531" s="1" t="s">
        <v>111</v>
      </c>
      <c r="F531" s="1" t="s">
        <v>1274</v>
      </c>
      <c r="G531" s="1" t="s">
        <v>1274</v>
      </c>
      <c r="H531" s="1">
        <v>2014.0</v>
      </c>
      <c r="I531" s="1" t="s">
        <v>240</v>
      </c>
      <c r="J531" s="1" t="s">
        <v>1272</v>
      </c>
      <c r="K531" s="1">
        <v>7.0</v>
      </c>
      <c r="L531" s="1" t="s">
        <v>1273</v>
      </c>
      <c r="M531" s="1">
        <v>-1.0</v>
      </c>
    </row>
    <row r="532">
      <c r="A532" s="1">
        <v>258.0</v>
      </c>
      <c r="B532" s="1">
        <v>2.0</v>
      </c>
      <c r="C532" s="1">
        <v>0.8211873304106</v>
      </c>
      <c r="D532" s="1" t="s">
        <v>251</v>
      </c>
      <c r="E532" s="1" t="s">
        <v>58</v>
      </c>
      <c r="F532" s="1" t="s">
        <v>1274</v>
      </c>
      <c r="G532" s="1" t="s">
        <v>26</v>
      </c>
      <c r="H532" s="1">
        <v>2023.0</v>
      </c>
      <c r="I532" s="1" t="s">
        <v>240</v>
      </c>
      <c r="J532" s="1" t="s">
        <v>1272</v>
      </c>
      <c r="K532" s="1">
        <v>5.0</v>
      </c>
      <c r="L532" s="1" t="s">
        <v>1273</v>
      </c>
      <c r="M532" s="1">
        <v>3.0</v>
      </c>
    </row>
    <row r="533">
      <c r="A533" s="1">
        <v>516.0</v>
      </c>
      <c r="B533" s="1">
        <v>2.0</v>
      </c>
      <c r="C533" s="1">
        <v>0.821134883078178</v>
      </c>
      <c r="D533" s="1" t="s">
        <v>477</v>
      </c>
      <c r="E533" s="1" t="s">
        <v>111</v>
      </c>
      <c r="F533" s="1" t="s">
        <v>1274</v>
      </c>
      <c r="G533" s="1" t="s">
        <v>1274</v>
      </c>
      <c r="H533" s="1">
        <v>2014.0</v>
      </c>
      <c r="I533" s="1" t="s">
        <v>240</v>
      </c>
      <c r="J533" s="1" t="s">
        <v>1272</v>
      </c>
      <c r="K533" s="1">
        <v>5.0</v>
      </c>
      <c r="L533" s="1" t="s">
        <v>1273</v>
      </c>
      <c r="M533" s="1">
        <v>4.0</v>
      </c>
    </row>
    <row r="534">
      <c r="A534" s="1">
        <v>102.0</v>
      </c>
      <c r="B534" s="1">
        <v>9.0</v>
      </c>
      <c r="C534" s="1">
        <v>0.821081865532134</v>
      </c>
      <c r="D534" s="1" t="s">
        <v>122</v>
      </c>
      <c r="E534" s="1" t="s">
        <v>17</v>
      </c>
      <c r="F534" s="1" t="s">
        <v>118</v>
      </c>
      <c r="G534" s="1" t="s">
        <v>1274</v>
      </c>
      <c r="H534" s="1">
        <v>2023.0</v>
      </c>
      <c r="I534" s="1" t="s">
        <v>12</v>
      </c>
      <c r="J534" s="1" t="s">
        <v>1272</v>
      </c>
      <c r="K534" s="1">
        <v>10.0</v>
      </c>
      <c r="L534" s="1" t="s">
        <v>1273</v>
      </c>
      <c r="M534" s="1">
        <v>-1.0</v>
      </c>
    </row>
    <row r="535">
      <c r="A535" s="1">
        <v>402.0</v>
      </c>
      <c r="B535" s="1">
        <v>4.0</v>
      </c>
      <c r="C535" s="1">
        <v>0.820957268776445</v>
      </c>
      <c r="D535" s="1" t="s">
        <v>379</v>
      </c>
      <c r="E535" s="1" t="s">
        <v>17</v>
      </c>
      <c r="F535" s="1" t="s">
        <v>18</v>
      </c>
      <c r="G535" s="1">
        <v>8.0</v>
      </c>
      <c r="H535" s="1">
        <v>2024.0</v>
      </c>
      <c r="I535" s="1" t="s">
        <v>240</v>
      </c>
      <c r="J535" s="1" t="s">
        <v>1272</v>
      </c>
      <c r="K535" s="1">
        <v>7.0</v>
      </c>
      <c r="L535" s="1" t="s">
        <v>1273</v>
      </c>
      <c r="M535" s="1">
        <v>3.0</v>
      </c>
    </row>
    <row r="536">
      <c r="A536" s="1">
        <v>1143.0</v>
      </c>
      <c r="B536" s="1">
        <v>2.0</v>
      </c>
      <c r="C536" s="1">
        <v>0.820730091901628</v>
      </c>
      <c r="D536" s="1" t="s">
        <v>1027</v>
      </c>
      <c r="E536" s="1" t="s">
        <v>17</v>
      </c>
      <c r="F536" s="1" t="s">
        <v>118</v>
      </c>
      <c r="G536" s="1" t="s">
        <v>1274</v>
      </c>
      <c r="H536" s="1">
        <v>2023.0</v>
      </c>
      <c r="I536" s="1" t="s">
        <v>861</v>
      </c>
      <c r="J536" s="1" t="s">
        <v>1272</v>
      </c>
      <c r="K536" s="1">
        <v>10.0</v>
      </c>
      <c r="L536" s="1" t="s">
        <v>1273</v>
      </c>
      <c r="M536" s="1">
        <v>9.0</v>
      </c>
    </row>
    <row r="537">
      <c r="A537" s="1">
        <v>916.0</v>
      </c>
      <c r="B537" s="1">
        <v>3.0</v>
      </c>
      <c r="C537" s="1">
        <v>0.820048775537039</v>
      </c>
      <c r="D537" s="1" t="s">
        <v>850</v>
      </c>
      <c r="E537" s="1" t="s">
        <v>173</v>
      </c>
      <c r="F537" s="1" t="s">
        <v>1274</v>
      </c>
      <c r="G537" s="1" t="s">
        <v>609</v>
      </c>
      <c r="H537" s="1">
        <v>2015.0</v>
      </c>
      <c r="I537" s="1" t="s">
        <v>630</v>
      </c>
      <c r="J537" s="1" t="s">
        <v>1272</v>
      </c>
      <c r="K537" s="1">
        <v>5.0</v>
      </c>
      <c r="L537" s="1" t="s">
        <v>1273</v>
      </c>
      <c r="M537" s="1">
        <v>1.0</v>
      </c>
    </row>
    <row r="538">
      <c r="A538" s="1">
        <v>914.0</v>
      </c>
      <c r="B538" s="1">
        <v>3.0</v>
      </c>
      <c r="C538" s="1">
        <v>0.819462706547441</v>
      </c>
      <c r="D538" s="1" t="s">
        <v>848</v>
      </c>
      <c r="E538" s="1" t="s">
        <v>173</v>
      </c>
      <c r="F538" s="1" t="s">
        <v>1274</v>
      </c>
      <c r="G538" s="1" t="s">
        <v>609</v>
      </c>
      <c r="H538" s="1">
        <v>2015.0</v>
      </c>
      <c r="I538" s="1" t="s">
        <v>630</v>
      </c>
      <c r="J538" s="1" t="s">
        <v>1272</v>
      </c>
      <c r="K538" s="1">
        <v>7.0</v>
      </c>
      <c r="L538" s="1" t="s">
        <v>1273</v>
      </c>
      <c r="M538" s="1">
        <v>1.0</v>
      </c>
    </row>
    <row r="539">
      <c r="A539" s="1">
        <v>1111.0</v>
      </c>
      <c r="B539" s="1">
        <v>2.0</v>
      </c>
      <c r="C539" s="1">
        <v>0.819004962323788</v>
      </c>
      <c r="D539" s="1" t="s">
        <v>998</v>
      </c>
      <c r="E539" s="1" t="s">
        <v>173</v>
      </c>
      <c r="F539" s="1" t="s">
        <v>1274</v>
      </c>
      <c r="G539" s="1" t="s">
        <v>26</v>
      </c>
      <c r="H539" s="1" t="s">
        <v>1274</v>
      </c>
      <c r="I539" s="1" t="s">
        <v>861</v>
      </c>
      <c r="J539" s="1" t="s">
        <v>1272</v>
      </c>
      <c r="K539" s="1">
        <v>7.0</v>
      </c>
      <c r="L539" s="1" t="s">
        <v>1273</v>
      </c>
      <c r="M539" s="1">
        <v>-1.0</v>
      </c>
    </row>
    <row r="540">
      <c r="A540" s="1">
        <v>635.0</v>
      </c>
      <c r="B540" s="1">
        <v>2.0</v>
      </c>
      <c r="C540" s="1">
        <v>0.81821542930403</v>
      </c>
      <c r="D540" s="1" t="s">
        <v>587</v>
      </c>
      <c r="E540" s="1" t="s">
        <v>45</v>
      </c>
      <c r="F540" s="1" t="s">
        <v>18</v>
      </c>
      <c r="G540" s="1" t="s">
        <v>1274</v>
      </c>
      <c r="H540" s="1">
        <v>2022.0</v>
      </c>
      <c r="I540" s="1" t="s">
        <v>240</v>
      </c>
      <c r="J540" s="1" t="s">
        <v>1272</v>
      </c>
      <c r="K540" s="1">
        <v>5.0</v>
      </c>
      <c r="L540" s="1" t="s">
        <v>1273</v>
      </c>
      <c r="M540" s="1">
        <v>6.0</v>
      </c>
    </row>
    <row r="541">
      <c r="A541" s="1">
        <v>396.0</v>
      </c>
      <c r="B541" s="1">
        <v>4.0</v>
      </c>
      <c r="C541" s="1">
        <v>0.81776058735429</v>
      </c>
      <c r="D541" s="1" t="s">
        <v>373</v>
      </c>
      <c r="E541" s="1" t="s">
        <v>17</v>
      </c>
      <c r="F541" s="1" t="s">
        <v>18</v>
      </c>
      <c r="G541" s="1">
        <v>8.0</v>
      </c>
      <c r="H541" s="1">
        <v>2024.0</v>
      </c>
      <c r="I541" s="1" t="s">
        <v>240</v>
      </c>
      <c r="J541" s="1" t="s">
        <v>1272</v>
      </c>
      <c r="K541" s="1">
        <v>7.0</v>
      </c>
      <c r="L541" s="1" t="s">
        <v>1273</v>
      </c>
      <c r="M541" s="1">
        <v>-1.0</v>
      </c>
    </row>
    <row r="542">
      <c r="A542" s="1">
        <v>83.0</v>
      </c>
      <c r="B542" s="1">
        <v>5.0</v>
      </c>
      <c r="C542" s="1">
        <v>0.816055405692022</v>
      </c>
      <c r="D542" s="1" t="s">
        <v>108</v>
      </c>
      <c r="E542" s="1" t="s">
        <v>107</v>
      </c>
      <c r="F542" s="1" t="s">
        <v>18</v>
      </c>
      <c r="G542" s="1" t="s">
        <v>1274</v>
      </c>
      <c r="H542" s="1">
        <v>2022.0</v>
      </c>
      <c r="I542" s="1" t="s">
        <v>12</v>
      </c>
      <c r="J542" s="1" t="s">
        <v>1272</v>
      </c>
      <c r="K542" s="1">
        <v>7.0</v>
      </c>
      <c r="L542" s="1" t="s">
        <v>1273</v>
      </c>
      <c r="M542" s="1">
        <v>0.0</v>
      </c>
    </row>
    <row r="543">
      <c r="A543" s="1">
        <v>724.0</v>
      </c>
      <c r="B543" s="1">
        <v>3.0</v>
      </c>
      <c r="C543" s="1">
        <v>0.81567948662233</v>
      </c>
      <c r="D543" s="1" t="s">
        <v>662</v>
      </c>
      <c r="E543" s="1" t="s">
        <v>10</v>
      </c>
      <c r="F543" s="1" t="s">
        <v>18</v>
      </c>
      <c r="G543" s="1" t="s">
        <v>42</v>
      </c>
      <c r="H543" s="1">
        <v>2014.0</v>
      </c>
      <c r="I543" s="1" t="s">
        <v>630</v>
      </c>
      <c r="J543" s="1" t="s">
        <v>1272</v>
      </c>
      <c r="K543" s="1">
        <v>5.0</v>
      </c>
      <c r="L543" s="1" t="s">
        <v>1273</v>
      </c>
      <c r="M543" s="1">
        <v>11.0</v>
      </c>
    </row>
    <row r="544">
      <c r="A544" s="1">
        <v>806.0</v>
      </c>
      <c r="B544" s="1">
        <v>3.0</v>
      </c>
      <c r="C544" s="1">
        <v>0.81551472024721</v>
      </c>
      <c r="D544" s="1" t="s">
        <v>742</v>
      </c>
      <c r="E544" s="1" t="s">
        <v>173</v>
      </c>
      <c r="F544" s="1" t="s">
        <v>18</v>
      </c>
      <c r="G544" s="1" t="s">
        <v>42</v>
      </c>
      <c r="H544" s="1">
        <v>2022.0</v>
      </c>
      <c r="I544" s="1" t="s">
        <v>630</v>
      </c>
      <c r="J544" s="1" t="s">
        <v>1272</v>
      </c>
      <c r="K544" s="1">
        <v>7.0</v>
      </c>
      <c r="L544" s="1" t="s">
        <v>1273</v>
      </c>
      <c r="M544" s="1">
        <v>1.0</v>
      </c>
    </row>
    <row r="545">
      <c r="A545" s="1">
        <v>1030.0</v>
      </c>
      <c r="B545" s="1">
        <v>5.0</v>
      </c>
      <c r="C545" s="1">
        <v>0.815353663788954</v>
      </c>
      <c r="D545" s="1" t="s">
        <v>935</v>
      </c>
      <c r="E545" s="1" t="s">
        <v>124</v>
      </c>
      <c r="F545" s="1" t="s">
        <v>178</v>
      </c>
      <c r="G545" s="1" t="s">
        <v>1274</v>
      </c>
      <c r="H545" s="1">
        <v>2012.0</v>
      </c>
      <c r="I545" s="1" t="s">
        <v>861</v>
      </c>
      <c r="J545" s="1" t="s">
        <v>1272</v>
      </c>
      <c r="K545" s="1">
        <v>7.0</v>
      </c>
      <c r="L545" s="1" t="s">
        <v>1273</v>
      </c>
      <c r="M545" s="1">
        <v>7.0</v>
      </c>
    </row>
    <row r="546">
      <c r="A546" s="1">
        <v>1117.0</v>
      </c>
      <c r="B546" s="1">
        <v>4.0</v>
      </c>
      <c r="C546" s="1">
        <v>0.813930383326513</v>
      </c>
      <c r="D546" s="1" t="s">
        <v>1004</v>
      </c>
      <c r="E546" s="1" t="s">
        <v>20</v>
      </c>
      <c r="F546" s="1" t="s">
        <v>18</v>
      </c>
      <c r="G546" s="1" t="s">
        <v>11</v>
      </c>
      <c r="H546" s="1">
        <v>2015.0</v>
      </c>
      <c r="I546" s="1" t="s">
        <v>861</v>
      </c>
      <c r="J546" s="1" t="s">
        <v>1272</v>
      </c>
      <c r="K546" s="1">
        <v>5.0</v>
      </c>
      <c r="L546" s="1" t="s">
        <v>1273</v>
      </c>
      <c r="M546" s="1">
        <v>0.0</v>
      </c>
    </row>
    <row r="547">
      <c r="A547" s="1">
        <v>1070.0</v>
      </c>
      <c r="B547" s="1">
        <v>2.0</v>
      </c>
      <c r="C547" s="1">
        <v>0.813051176536071</v>
      </c>
      <c r="D547" s="1" t="s">
        <v>974</v>
      </c>
      <c r="E547" s="1" t="s">
        <v>111</v>
      </c>
      <c r="F547" s="1" t="s">
        <v>1274</v>
      </c>
      <c r="G547" s="1" t="s">
        <v>11</v>
      </c>
      <c r="H547" s="1">
        <v>2022.0</v>
      </c>
      <c r="I547" s="1" t="s">
        <v>861</v>
      </c>
      <c r="J547" s="1" t="s">
        <v>1272</v>
      </c>
      <c r="K547" s="1">
        <v>7.0</v>
      </c>
      <c r="L547" s="1" t="s">
        <v>1273</v>
      </c>
      <c r="M547" s="1">
        <v>6.0</v>
      </c>
    </row>
    <row r="548">
      <c r="A548" s="1">
        <v>521.0</v>
      </c>
      <c r="B548" s="1">
        <v>4.0</v>
      </c>
      <c r="C548" s="1">
        <v>0.813048452085084</v>
      </c>
      <c r="D548" s="1" t="s">
        <v>482</v>
      </c>
      <c r="E548" s="1" t="s">
        <v>20</v>
      </c>
      <c r="F548" s="1" t="s">
        <v>18</v>
      </c>
      <c r="G548" s="1" t="s">
        <v>42</v>
      </c>
      <c r="H548" s="1">
        <v>2022.0</v>
      </c>
      <c r="I548" s="1" t="s">
        <v>240</v>
      </c>
      <c r="J548" s="1" t="s">
        <v>1272</v>
      </c>
      <c r="K548" s="1">
        <v>7.0</v>
      </c>
      <c r="L548" s="1" t="s">
        <v>1273</v>
      </c>
      <c r="M548" s="1">
        <v>2.0</v>
      </c>
    </row>
    <row r="549">
      <c r="A549" s="1">
        <v>267.0</v>
      </c>
      <c r="B549" s="1">
        <v>2.0</v>
      </c>
      <c r="C549" s="1">
        <v>0.812660165019657</v>
      </c>
      <c r="D549" s="1" t="s">
        <v>260</v>
      </c>
      <c r="E549" s="1" t="s">
        <v>17</v>
      </c>
      <c r="F549" s="1" t="s">
        <v>118</v>
      </c>
      <c r="G549" s="1" t="s">
        <v>1274</v>
      </c>
      <c r="H549" s="1">
        <v>2023.0</v>
      </c>
      <c r="I549" s="1" t="s">
        <v>240</v>
      </c>
      <c r="J549" s="1" t="s">
        <v>1272</v>
      </c>
      <c r="K549" s="1">
        <v>5.0</v>
      </c>
      <c r="L549" s="1" t="s">
        <v>1273</v>
      </c>
      <c r="M549" s="1">
        <v>0.0</v>
      </c>
    </row>
    <row r="550">
      <c r="A550" s="1">
        <v>117.0</v>
      </c>
      <c r="B550" s="1">
        <v>2.0</v>
      </c>
      <c r="C550" s="1">
        <v>0.812195530473445</v>
      </c>
      <c r="D550" s="1" t="s">
        <v>139</v>
      </c>
      <c r="E550" s="1" t="s">
        <v>50</v>
      </c>
      <c r="F550" s="1" t="s">
        <v>1274</v>
      </c>
      <c r="G550" s="2">
        <v>46213.0</v>
      </c>
      <c r="H550" s="1">
        <v>2002.0</v>
      </c>
      <c r="I550" s="1" t="s">
        <v>12</v>
      </c>
      <c r="J550" s="1" t="s">
        <v>1272</v>
      </c>
      <c r="K550" s="1">
        <v>7.0</v>
      </c>
      <c r="L550" s="1" t="s">
        <v>1273</v>
      </c>
      <c r="M550" s="1">
        <v>16.0</v>
      </c>
    </row>
    <row r="551">
      <c r="A551" s="1">
        <v>569.0</v>
      </c>
      <c r="B551" s="1">
        <v>2.0</v>
      </c>
      <c r="C551" s="1">
        <v>0.810943032023869</v>
      </c>
      <c r="D551" s="1" t="s">
        <v>521</v>
      </c>
      <c r="E551" s="1" t="s">
        <v>107</v>
      </c>
      <c r="F551" s="1" t="s">
        <v>18</v>
      </c>
      <c r="G551" s="1" t="s">
        <v>1274</v>
      </c>
      <c r="H551" s="1">
        <v>2022.0</v>
      </c>
      <c r="I551" s="1" t="s">
        <v>240</v>
      </c>
      <c r="J551" s="1" t="s">
        <v>1272</v>
      </c>
      <c r="K551" s="1">
        <v>5.0</v>
      </c>
      <c r="L551" s="1" t="s">
        <v>1273</v>
      </c>
      <c r="M551" s="1">
        <v>3.0</v>
      </c>
    </row>
    <row r="552">
      <c r="A552" s="1">
        <v>863.0</v>
      </c>
      <c r="B552" s="1">
        <v>3.0</v>
      </c>
      <c r="C552" s="1">
        <v>0.810841817847274</v>
      </c>
      <c r="D552" s="1" t="s">
        <v>799</v>
      </c>
      <c r="E552" s="1" t="s">
        <v>47</v>
      </c>
      <c r="F552" s="1" t="s">
        <v>1274</v>
      </c>
      <c r="G552" s="1" t="s">
        <v>42</v>
      </c>
      <c r="H552" s="1">
        <v>2016.0</v>
      </c>
      <c r="I552" s="1" t="s">
        <v>630</v>
      </c>
      <c r="J552" s="1" t="s">
        <v>1272</v>
      </c>
      <c r="K552" s="1">
        <v>7.0</v>
      </c>
      <c r="L552" s="1" t="s">
        <v>1273</v>
      </c>
      <c r="M552" s="1">
        <v>1.0</v>
      </c>
    </row>
    <row r="553">
      <c r="A553" s="1">
        <v>1133.0</v>
      </c>
      <c r="B553" s="1">
        <v>1.0</v>
      </c>
      <c r="C553" s="1">
        <v>0.810356434655456</v>
      </c>
      <c r="D553" s="1" t="s">
        <v>1016</v>
      </c>
      <c r="E553" s="1" t="s">
        <v>58</v>
      </c>
      <c r="F553" s="1" t="s">
        <v>59</v>
      </c>
      <c r="G553" s="2">
        <v>46153.0</v>
      </c>
      <c r="H553" s="1">
        <v>2024.0</v>
      </c>
      <c r="I553" s="1" t="s">
        <v>861</v>
      </c>
      <c r="J553" s="1" t="s">
        <v>1272</v>
      </c>
      <c r="K553" s="1">
        <v>7.0</v>
      </c>
      <c r="L553" s="1" t="s">
        <v>1273</v>
      </c>
      <c r="M553" s="1">
        <v>0.0</v>
      </c>
    </row>
    <row r="554">
      <c r="A554" s="1">
        <v>873.0</v>
      </c>
      <c r="B554" s="1">
        <v>7.0</v>
      </c>
      <c r="C554" s="1">
        <v>0.810203525567446</v>
      </c>
      <c r="D554" s="1" t="s">
        <v>808</v>
      </c>
      <c r="E554" s="1" t="s">
        <v>58</v>
      </c>
      <c r="F554" s="1" t="s">
        <v>1274</v>
      </c>
      <c r="G554" s="1" t="s">
        <v>11</v>
      </c>
      <c r="H554" s="1">
        <v>2024.0</v>
      </c>
      <c r="I554" s="1" t="s">
        <v>630</v>
      </c>
      <c r="J554" s="1" t="s">
        <v>1272</v>
      </c>
      <c r="K554" s="1">
        <v>10.0</v>
      </c>
      <c r="L554" s="1" t="s">
        <v>1273</v>
      </c>
      <c r="M554" s="1">
        <v>-1.0</v>
      </c>
    </row>
    <row r="555">
      <c r="A555" s="1">
        <v>896.0</v>
      </c>
      <c r="B555" s="1">
        <v>3.0</v>
      </c>
      <c r="C555" s="1">
        <v>0.809863071793665</v>
      </c>
      <c r="D555" s="1" t="s">
        <v>829</v>
      </c>
      <c r="E555" s="1" t="s">
        <v>58</v>
      </c>
      <c r="F555" s="1" t="s">
        <v>1274</v>
      </c>
      <c r="G555" s="1" t="s">
        <v>11</v>
      </c>
      <c r="H555" s="1">
        <v>2024.0</v>
      </c>
      <c r="I555" s="1" t="s">
        <v>630</v>
      </c>
      <c r="J555" s="1" t="s">
        <v>1272</v>
      </c>
      <c r="K555" s="1">
        <v>5.0</v>
      </c>
      <c r="L555" s="1" t="s">
        <v>1273</v>
      </c>
      <c r="M555" s="1">
        <v>7.0</v>
      </c>
    </row>
    <row r="556">
      <c r="A556" s="1">
        <v>771.0</v>
      </c>
      <c r="B556" s="1">
        <v>3.0</v>
      </c>
      <c r="C556" s="1">
        <v>0.80930564590413</v>
      </c>
      <c r="D556" s="1" t="s">
        <v>707</v>
      </c>
      <c r="E556" s="1" t="s">
        <v>1274</v>
      </c>
      <c r="F556" s="1" t="s">
        <v>1274</v>
      </c>
      <c r="G556" s="1" t="s">
        <v>1274</v>
      </c>
      <c r="H556" s="1">
        <v>2006.0</v>
      </c>
      <c r="I556" s="1" t="s">
        <v>630</v>
      </c>
      <c r="J556" s="1" t="s">
        <v>1272</v>
      </c>
      <c r="K556" s="1">
        <v>7.0</v>
      </c>
      <c r="L556" s="1" t="s">
        <v>1273</v>
      </c>
      <c r="M556" s="1">
        <v>-1.0</v>
      </c>
    </row>
    <row r="557">
      <c r="A557" s="1">
        <v>870.0</v>
      </c>
      <c r="B557" s="1">
        <v>3.0</v>
      </c>
      <c r="C557" s="1">
        <v>0.809229862182473</v>
      </c>
      <c r="D557" s="1" t="s">
        <v>675</v>
      </c>
      <c r="E557" s="1" t="s">
        <v>58</v>
      </c>
      <c r="F557" s="1" t="s">
        <v>1274</v>
      </c>
      <c r="G557" s="1" t="s">
        <v>11</v>
      </c>
      <c r="H557" s="1">
        <v>2024.0</v>
      </c>
      <c r="I557" s="1" t="s">
        <v>630</v>
      </c>
      <c r="J557" s="1" t="s">
        <v>1272</v>
      </c>
      <c r="K557" s="1">
        <v>7.0</v>
      </c>
      <c r="L557" s="1" t="s">
        <v>1273</v>
      </c>
      <c r="M557" s="1">
        <v>1.0</v>
      </c>
    </row>
    <row r="558">
      <c r="A558" s="1">
        <v>701.0</v>
      </c>
      <c r="B558" s="1">
        <v>3.0</v>
      </c>
      <c r="C558" s="1">
        <v>0.808979515821815</v>
      </c>
      <c r="D558" s="1" t="s">
        <v>639</v>
      </c>
      <c r="E558" s="1" t="s">
        <v>102</v>
      </c>
      <c r="F558" s="1" t="s">
        <v>18</v>
      </c>
      <c r="G558" s="1" t="s">
        <v>42</v>
      </c>
      <c r="H558" s="1">
        <v>2009.0</v>
      </c>
      <c r="I558" s="1" t="s">
        <v>630</v>
      </c>
      <c r="J558" s="1" t="s">
        <v>1272</v>
      </c>
      <c r="K558" s="1">
        <v>7.0</v>
      </c>
      <c r="L558" s="1" t="s">
        <v>1273</v>
      </c>
      <c r="M558" s="1">
        <v>-1.0</v>
      </c>
    </row>
    <row r="559">
      <c r="A559" s="1">
        <v>1007.0</v>
      </c>
      <c r="B559" s="1">
        <v>1.0</v>
      </c>
      <c r="C559" s="1">
        <v>0.806402551936877</v>
      </c>
      <c r="D559" s="1" t="s">
        <v>914</v>
      </c>
      <c r="E559" s="1" t="s">
        <v>47</v>
      </c>
      <c r="F559" s="1" t="s">
        <v>18</v>
      </c>
      <c r="G559" s="1" t="s">
        <v>1274</v>
      </c>
      <c r="H559" s="1">
        <v>2023.0</v>
      </c>
      <c r="I559" s="1" t="s">
        <v>861</v>
      </c>
      <c r="J559" s="1" t="s">
        <v>1272</v>
      </c>
      <c r="K559" s="1">
        <v>5.0</v>
      </c>
      <c r="L559" s="1" t="s">
        <v>1273</v>
      </c>
      <c r="M559" s="1">
        <v>0.0</v>
      </c>
    </row>
    <row r="560">
      <c r="A560" s="1">
        <v>681.0</v>
      </c>
      <c r="B560" s="1">
        <v>2.0</v>
      </c>
      <c r="C560" s="1">
        <v>0.806071328478982</v>
      </c>
      <c r="D560" s="1" t="s">
        <v>620</v>
      </c>
      <c r="E560" s="1" t="s">
        <v>111</v>
      </c>
      <c r="F560" s="1" t="s">
        <v>1274</v>
      </c>
      <c r="G560" s="1" t="s">
        <v>11</v>
      </c>
      <c r="H560" s="1">
        <v>2014.0</v>
      </c>
      <c r="I560" s="1" t="s">
        <v>240</v>
      </c>
      <c r="J560" s="1" t="s">
        <v>1272</v>
      </c>
      <c r="K560" s="1">
        <v>7.0</v>
      </c>
      <c r="L560" s="1" t="s">
        <v>1273</v>
      </c>
      <c r="M560" s="1">
        <v>-1.0</v>
      </c>
    </row>
    <row r="561">
      <c r="A561" s="1">
        <v>1021.0</v>
      </c>
      <c r="B561" s="1">
        <v>5.0</v>
      </c>
      <c r="C561" s="1">
        <v>0.806017435230047</v>
      </c>
      <c r="D561" s="1" t="s">
        <v>926</v>
      </c>
      <c r="E561" s="1" t="s">
        <v>24</v>
      </c>
      <c r="F561" s="1" t="s">
        <v>18</v>
      </c>
      <c r="G561" s="1" t="s">
        <v>42</v>
      </c>
      <c r="H561" s="1">
        <v>2023.0</v>
      </c>
      <c r="I561" s="1" t="s">
        <v>861</v>
      </c>
      <c r="J561" s="1" t="s">
        <v>1272</v>
      </c>
      <c r="K561" s="1">
        <v>10.0</v>
      </c>
      <c r="L561" s="1" t="s">
        <v>1273</v>
      </c>
      <c r="M561" s="1">
        <v>9.0</v>
      </c>
    </row>
    <row r="562">
      <c r="A562" s="1">
        <v>660.0</v>
      </c>
      <c r="B562" s="1">
        <v>4.0</v>
      </c>
      <c r="C562" s="1">
        <v>0.804754590414264</v>
      </c>
      <c r="D562" s="1" t="s">
        <v>600</v>
      </c>
      <c r="E562" s="1" t="s">
        <v>173</v>
      </c>
      <c r="F562" s="1" t="s">
        <v>18</v>
      </c>
      <c r="G562" s="1" t="s">
        <v>42</v>
      </c>
      <c r="H562" s="1">
        <v>2021.0</v>
      </c>
      <c r="I562" s="1" t="s">
        <v>240</v>
      </c>
      <c r="J562" s="1" t="s">
        <v>1272</v>
      </c>
      <c r="K562" s="1">
        <v>7.0</v>
      </c>
      <c r="L562" s="1" t="s">
        <v>1273</v>
      </c>
      <c r="M562" s="1">
        <v>2.0</v>
      </c>
    </row>
    <row r="563">
      <c r="A563" s="1">
        <v>1076.0</v>
      </c>
      <c r="B563" s="1">
        <v>2.0</v>
      </c>
      <c r="C563" s="1">
        <v>0.804617390129007</v>
      </c>
      <c r="D563" s="1" t="s">
        <v>980</v>
      </c>
      <c r="E563" s="1" t="s">
        <v>17</v>
      </c>
      <c r="F563" s="1" t="s">
        <v>18</v>
      </c>
      <c r="G563" s="1">
        <v>9.0</v>
      </c>
      <c r="H563" s="1">
        <v>2023.0</v>
      </c>
      <c r="I563" s="1" t="s">
        <v>861</v>
      </c>
      <c r="J563" s="1" t="s">
        <v>1272</v>
      </c>
      <c r="K563" s="1">
        <v>7.0</v>
      </c>
      <c r="L563" s="1" t="s">
        <v>1273</v>
      </c>
      <c r="M563" s="1">
        <v>0.0</v>
      </c>
    </row>
    <row r="564">
      <c r="A564" s="1">
        <v>748.0</v>
      </c>
      <c r="B564" s="1">
        <v>3.0</v>
      </c>
      <c r="C564" s="1">
        <v>0.804402452675202</v>
      </c>
      <c r="D564" s="1" t="s">
        <v>684</v>
      </c>
      <c r="E564" s="1" t="s">
        <v>58</v>
      </c>
      <c r="F564" s="1" t="s">
        <v>1274</v>
      </c>
      <c r="G564" s="1" t="s">
        <v>42</v>
      </c>
      <c r="H564" s="1">
        <v>2024.0</v>
      </c>
      <c r="I564" s="1" t="s">
        <v>630</v>
      </c>
      <c r="J564" s="1" t="s">
        <v>1272</v>
      </c>
      <c r="K564" s="1">
        <v>5.0</v>
      </c>
      <c r="L564" s="1" t="s">
        <v>1273</v>
      </c>
      <c r="M564" s="1">
        <v>1.0</v>
      </c>
    </row>
    <row r="565">
      <c r="A565" s="1">
        <v>658.0</v>
      </c>
      <c r="B565" s="1">
        <v>4.0</v>
      </c>
      <c r="C565" s="1">
        <v>0.803682781440938</v>
      </c>
      <c r="D565" s="1" t="s">
        <v>598</v>
      </c>
      <c r="E565" s="1" t="s">
        <v>173</v>
      </c>
      <c r="F565" s="1" t="s">
        <v>18</v>
      </c>
      <c r="G565" s="1" t="s">
        <v>42</v>
      </c>
      <c r="H565" s="1">
        <v>2021.0</v>
      </c>
      <c r="I565" s="1" t="s">
        <v>240</v>
      </c>
      <c r="J565" s="1" t="s">
        <v>1272</v>
      </c>
      <c r="K565" s="1">
        <v>7.0</v>
      </c>
      <c r="L565" s="1" t="s">
        <v>1273</v>
      </c>
      <c r="M565" s="1">
        <v>13.0</v>
      </c>
    </row>
    <row r="566">
      <c r="A566" s="1">
        <v>712.0</v>
      </c>
      <c r="B566" s="1">
        <v>3.0</v>
      </c>
      <c r="C566" s="1">
        <v>0.803562807357623</v>
      </c>
      <c r="D566" s="1" t="s">
        <v>650</v>
      </c>
      <c r="E566" s="1" t="s">
        <v>10</v>
      </c>
      <c r="F566" s="1" t="s">
        <v>18</v>
      </c>
      <c r="G566" s="1" t="s">
        <v>42</v>
      </c>
      <c r="H566" s="1">
        <v>2014.0</v>
      </c>
      <c r="I566" s="1" t="s">
        <v>630</v>
      </c>
      <c r="J566" s="1" t="s">
        <v>1272</v>
      </c>
      <c r="K566" s="1">
        <v>5.0</v>
      </c>
      <c r="L566" s="1" t="s">
        <v>1273</v>
      </c>
      <c r="M566" s="1">
        <v>1.0</v>
      </c>
    </row>
    <row r="567">
      <c r="A567" s="1">
        <v>1000.0</v>
      </c>
      <c r="B567" s="1">
        <v>5.0</v>
      </c>
      <c r="C567" s="1">
        <v>0.802462407450903</v>
      </c>
      <c r="D567" s="1" t="s">
        <v>907</v>
      </c>
      <c r="E567" s="1" t="s">
        <v>24</v>
      </c>
      <c r="F567" s="1" t="s">
        <v>18</v>
      </c>
      <c r="G567" s="1" t="s">
        <v>42</v>
      </c>
      <c r="H567" s="1">
        <v>2023.0</v>
      </c>
      <c r="I567" s="1" t="s">
        <v>861</v>
      </c>
      <c r="J567" s="1" t="s">
        <v>1272</v>
      </c>
      <c r="K567" s="1">
        <v>10.0</v>
      </c>
      <c r="L567" s="1" t="s">
        <v>1273</v>
      </c>
      <c r="M567" s="1">
        <v>9.0</v>
      </c>
    </row>
    <row r="568">
      <c r="A568" s="1">
        <v>82.0</v>
      </c>
      <c r="B568" s="1">
        <v>5.0</v>
      </c>
      <c r="C568" s="1">
        <v>0.799831056377633</v>
      </c>
      <c r="D568" s="1" t="s">
        <v>106</v>
      </c>
      <c r="E568" s="1" t="s">
        <v>107</v>
      </c>
      <c r="F568" s="1" t="s">
        <v>18</v>
      </c>
      <c r="G568" s="1" t="s">
        <v>1274</v>
      </c>
      <c r="H568" s="1">
        <v>2022.0</v>
      </c>
      <c r="I568" s="1" t="s">
        <v>12</v>
      </c>
      <c r="J568" s="1" t="s">
        <v>1272</v>
      </c>
      <c r="K568" s="1">
        <v>7.0</v>
      </c>
      <c r="L568" s="1" t="s">
        <v>1273</v>
      </c>
      <c r="M568" s="1">
        <v>0.0</v>
      </c>
    </row>
    <row r="569">
      <c r="A569" s="1">
        <v>158.0</v>
      </c>
      <c r="B569" s="1">
        <v>3.0</v>
      </c>
      <c r="C569" s="1">
        <v>0.799195299380264</v>
      </c>
      <c r="D569" s="1" t="s">
        <v>174</v>
      </c>
      <c r="E569" s="1" t="s">
        <v>173</v>
      </c>
      <c r="F569" s="1" t="s">
        <v>1274</v>
      </c>
      <c r="G569" s="2">
        <v>46213.0</v>
      </c>
      <c r="H569" s="1">
        <v>2015.0</v>
      </c>
      <c r="I569" s="1" t="s">
        <v>12</v>
      </c>
      <c r="J569" s="1" t="s">
        <v>1272</v>
      </c>
      <c r="K569" s="1">
        <v>5.0</v>
      </c>
      <c r="L569" s="1" t="s">
        <v>1273</v>
      </c>
      <c r="M569" s="1">
        <v>0.0</v>
      </c>
    </row>
    <row r="570">
      <c r="A570" s="1">
        <v>750.0</v>
      </c>
      <c r="B570" s="1">
        <v>3.0</v>
      </c>
      <c r="C570" s="1">
        <v>0.799128764190388</v>
      </c>
      <c r="D570" s="1" t="s">
        <v>686</v>
      </c>
      <c r="E570" s="1" t="s">
        <v>58</v>
      </c>
      <c r="F570" s="1" t="s">
        <v>1274</v>
      </c>
      <c r="G570" s="1" t="s">
        <v>42</v>
      </c>
      <c r="H570" s="1">
        <v>2024.0</v>
      </c>
      <c r="I570" s="1" t="s">
        <v>630</v>
      </c>
      <c r="J570" s="1" t="s">
        <v>1272</v>
      </c>
      <c r="K570" s="1">
        <v>5.0</v>
      </c>
      <c r="L570" s="1" t="s">
        <v>1273</v>
      </c>
      <c r="M570" s="1">
        <v>1.0</v>
      </c>
    </row>
    <row r="571">
      <c r="A571" s="1">
        <v>250.0</v>
      </c>
      <c r="B571" s="1">
        <v>9.0</v>
      </c>
      <c r="C571" s="1">
        <v>0.798633528997799</v>
      </c>
      <c r="D571" s="1" t="s">
        <v>243</v>
      </c>
      <c r="E571" s="1" t="s">
        <v>24</v>
      </c>
      <c r="F571" s="1" t="s">
        <v>25</v>
      </c>
      <c r="G571" s="1" t="s">
        <v>26</v>
      </c>
      <c r="H571" s="1">
        <v>2014.0</v>
      </c>
      <c r="I571" s="1" t="s">
        <v>240</v>
      </c>
      <c r="J571" s="1" t="s">
        <v>1272</v>
      </c>
      <c r="K571" s="1">
        <v>10.0</v>
      </c>
      <c r="L571" s="1" t="s">
        <v>1273</v>
      </c>
      <c r="M571" s="1">
        <v>5.0</v>
      </c>
    </row>
    <row r="572">
      <c r="A572" s="1">
        <v>993.0</v>
      </c>
      <c r="B572" s="1">
        <v>3.0</v>
      </c>
      <c r="C572" s="1">
        <v>0.798248055421668</v>
      </c>
      <c r="D572" s="1" t="s">
        <v>898</v>
      </c>
      <c r="E572" s="1" t="s">
        <v>41</v>
      </c>
      <c r="F572" s="1" t="s">
        <v>18</v>
      </c>
      <c r="G572" s="1" t="s">
        <v>42</v>
      </c>
      <c r="H572" s="1">
        <v>2024.0</v>
      </c>
      <c r="I572" s="1" t="s">
        <v>861</v>
      </c>
      <c r="J572" s="1" t="s">
        <v>1272</v>
      </c>
      <c r="K572" s="1">
        <v>5.0</v>
      </c>
      <c r="L572" s="1" t="s">
        <v>1273</v>
      </c>
      <c r="M572" s="1">
        <v>0.0</v>
      </c>
    </row>
    <row r="573">
      <c r="A573" s="1">
        <v>678.0</v>
      </c>
      <c r="B573" s="1">
        <v>2.0</v>
      </c>
      <c r="C573" s="1">
        <v>0.798247890366434</v>
      </c>
      <c r="D573" s="1" t="s">
        <v>617</v>
      </c>
      <c r="E573" s="1" t="s">
        <v>111</v>
      </c>
      <c r="F573" s="1" t="s">
        <v>1274</v>
      </c>
      <c r="G573" s="1" t="s">
        <v>11</v>
      </c>
      <c r="H573" s="1">
        <v>2014.0</v>
      </c>
      <c r="I573" s="1" t="s">
        <v>240</v>
      </c>
      <c r="J573" s="1" t="s">
        <v>1272</v>
      </c>
      <c r="K573" s="1">
        <v>5.0</v>
      </c>
      <c r="L573" s="1" t="s">
        <v>1273</v>
      </c>
      <c r="M573" s="1">
        <v>5.0</v>
      </c>
    </row>
    <row r="574">
      <c r="A574" s="1">
        <v>522.0</v>
      </c>
      <c r="B574" s="1">
        <v>4.0</v>
      </c>
      <c r="C574" s="1">
        <v>0.797256508283441</v>
      </c>
      <c r="D574" s="1" t="s">
        <v>483</v>
      </c>
      <c r="E574" s="1" t="s">
        <v>20</v>
      </c>
      <c r="F574" s="1" t="s">
        <v>18</v>
      </c>
      <c r="G574" s="1" t="s">
        <v>42</v>
      </c>
      <c r="H574" s="1">
        <v>2022.0</v>
      </c>
      <c r="I574" s="1" t="s">
        <v>240</v>
      </c>
      <c r="J574" s="1" t="s">
        <v>1272</v>
      </c>
      <c r="K574" s="1">
        <v>7.0</v>
      </c>
      <c r="L574" s="1" t="s">
        <v>1273</v>
      </c>
      <c r="M574" s="1">
        <v>2.0</v>
      </c>
    </row>
    <row r="575">
      <c r="A575" s="1">
        <v>689.0</v>
      </c>
      <c r="B575" s="1">
        <v>4.0</v>
      </c>
      <c r="C575" s="1">
        <v>0.797060596207078</v>
      </c>
      <c r="D575" s="1" t="s">
        <v>627</v>
      </c>
      <c r="E575" s="1" t="s">
        <v>50</v>
      </c>
      <c r="F575" s="1" t="s">
        <v>1274</v>
      </c>
      <c r="G575" s="1" t="s">
        <v>26</v>
      </c>
      <c r="H575" s="1">
        <v>2022.0</v>
      </c>
      <c r="I575" s="1" t="s">
        <v>240</v>
      </c>
      <c r="J575" s="1" t="s">
        <v>1272</v>
      </c>
      <c r="K575" s="1">
        <v>7.0</v>
      </c>
      <c r="L575" s="1" t="s">
        <v>1273</v>
      </c>
      <c r="M575" s="1">
        <v>4.0</v>
      </c>
    </row>
    <row r="576">
      <c r="A576" s="1">
        <v>342.0</v>
      </c>
      <c r="B576" s="1">
        <v>2.0</v>
      </c>
      <c r="C576" s="1">
        <v>0.796923210063407</v>
      </c>
      <c r="D576" s="1" t="s">
        <v>328</v>
      </c>
      <c r="E576" s="1" t="s">
        <v>45</v>
      </c>
      <c r="F576" s="1" t="s">
        <v>65</v>
      </c>
      <c r="G576" s="1" t="s">
        <v>1274</v>
      </c>
      <c r="H576" s="1">
        <v>2019.0</v>
      </c>
      <c r="I576" s="1" t="s">
        <v>240</v>
      </c>
      <c r="J576" s="1" t="s">
        <v>1272</v>
      </c>
      <c r="K576" s="1">
        <v>5.0</v>
      </c>
      <c r="L576" s="1" t="s">
        <v>1273</v>
      </c>
      <c r="M576" s="1">
        <v>5.0</v>
      </c>
    </row>
    <row r="577">
      <c r="A577" s="1">
        <v>994.0</v>
      </c>
      <c r="B577" s="1">
        <v>2.0</v>
      </c>
      <c r="C577" s="1">
        <v>0.796831752545922</v>
      </c>
      <c r="D577" s="1" t="s">
        <v>901</v>
      </c>
      <c r="E577" s="1" t="s">
        <v>17</v>
      </c>
      <c r="F577" s="1" t="s">
        <v>18</v>
      </c>
      <c r="G577" s="1">
        <v>11.0</v>
      </c>
      <c r="H577" s="1">
        <v>2023.0</v>
      </c>
      <c r="I577" s="1" t="s">
        <v>861</v>
      </c>
      <c r="J577" s="1" t="s">
        <v>1272</v>
      </c>
      <c r="K577" s="1">
        <v>7.0</v>
      </c>
      <c r="L577" s="1" t="s">
        <v>1273</v>
      </c>
      <c r="M577" s="1">
        <v>0.0</v>
      </c>
    </row>
    <row r="578">
      <c r="A578" s="1">
        <v>716.0</v>
      </c>
      <c r="B578" s="1">
        <v>3.0</v>
      </c>
      <c r="C578" s="1">
        <v>0.796677046353967</v>
      </c>
      <c r="D578" s="1" t="s">
        <v>654</v>
      </c>
      <c r="E578" s="1" t="s">
        <v>10</v>
      </c>
      <c r="F578" s="1" t="s">
        <v>18</v>
      </c>
      <c r="G578" s="1" t="s">
        <v>42</v>
      </c>
      <c r="H578" s="1">
        <v>2014.0</v>
      </c>
      <c r="I578" s="1" t="s">
        <v>630</v>
      </c>
      <c r="J578" s="1" t="s">
        <v>1272</v>
      </c>
      <c r="K578" s="1">
        <v>7.0</v>
      </c>
      <c r="L578" s="1" t="s">
        <v>1273</v>
      </c>
      <c r="M578" s="1">
        <v>-1.0</v>
      </c>
    </row>
    <row r="579">
      <c r="A579" s="1">
        <v>413.0</v>
      </c>
      <c r="B579" s="1">
        <v>2.0</v>
      </c>
      <c r="C579" s="1">
        <v>0.795926019986698</v>
      </c>
      <c r="D579" s="1" t="s">
        <v>389</v>
      </c>
      <c r="E579" s="1" t="s">
        <v>24</v>
      </c>
      <c r="F579" s="1" t="s">
        <v>18</v>
      </c>
      <c r="G579" s="1" t="s">
        <v>42</v>
      </c>
      <c r="H579" s="1">
        <v>2024.0</v>
      </c>
      <c r="I579" s="1" t="s">
        <v>240</v>
      </c>
      <c r="J579" s="1" t="s">
        <v>1272</v>
      </c>
      <c r="K579" s="1">
        <v>5.0</v>
      </c>
      <c r="L579" s="1" t="s">
        <v>1273</v>
      </c>
      <c r="M579" s="1">
        <v>-1.0</v>
      </c>
    </row>
    <row r="580">
      <c r="A580" s="1">
        <v>228.0</v>
      </c>
      <c r="B580" s="1">
        <v>2.0</v>
      </c>
      <c r="C580" s="1">
        <v>0.795717134454315</v>
      </c>
      <c r="D580" s="1" t="s">
        <v>225</v>
      </c>
      <c r="E580" s="1" t="s">
        <v>17</v>
      </c>
      <c r="F580" s="1" t="s">
        <v>165</v>
      </c>
      <c r="G580" s="1" t="s">
        <v>1274</v>
      </c>
      <c r="H580" s="1" t="s">
        <v>1274</v>
      </c>
      <c r="I580" s="1" t="s">
        <v>198</v>
      </c>
      <c r="J580" s="1" t="s">
        <v>1272</v>
      </c>
      <c r="K580" s="1">
        <v>7.0</v>
      </c>
      <c r="L580" s="1" t="s">
        <v>1273</v>
      </c>
      <c r="M580" s="1">
        <v>0.0</v>
      </c>
    </row>
    <row r="581">
      <c r="A581" s="1">
        <v>996.0</v>
      </c>
      <c r="B581" s="1">
        <v>5.0</v>
      </c>
      <c r="C581" s="1">
        <v>0.795598188292665</v>
      </c>
      <c r="D581" s="1" t="s">
        <v>903</v>
      </c>
      <c r="E581" s="1" t="s">
        <v>24</v>
      </c>
      <c r="F581" s="1" t="s">
        <v>18</v>
      </c>
      <c r="G581" s="1" t="s">
        <v>42</v>
      </c>
      <c r="H581" s="1">
        <v>2023.0</v>
      </c>
      <c r="I581" s="1" t="s">
        <v>861</v>
      </c>
      <c r="J581" s="1" t="s">
        <v>1272</v>
      </c>
      <c r="K581" s="1">
        <v>10.0</v>
      </c>
      <c r="L581" s="1" t="s">
        <v>1273</v>
      </c>
      <c r="M581" s="1">
        <v>-1.0</v>
      </c>
    </row>
    <row r="582">
      <c r="A582" s="1">
        <v>733.0</v>
      </c>
      <c r="B582" s="1">
        <v>3.0</v>
      </c>
      <c r="C582" s="1">
        <v>0.795589147580471</v>
      </c>
      <c r="D582" s="1" t="s">
        <v>671</v>
      </c>
      <c r="E582" s="1" t="s">
        <v>10</v>
      </c>
      <c r="F582" s="1" t="s">
        <v>18</v>
      </c>
      <c r="G582" s="1" t="s">
        <v>42</v>
      </c>
      <c r="H582" s="1">
        <v>2014.0</v>
      </c>
      <c r="I582" s="1" t="s">
        <v>630</v>
      </c>
      <c r="J582" s="1" t="s">
        <v>1272</v>
      </c>
      <c r="K582" s="1">
        <v>5.0</v>
      </c>
      <c r="L582" s="1" t="s">
        <v>1273</v>
      </c>
      <c r="M582" s="1">
        <v>11.0</v>
      </c>
    </row>
    <row r="583">
      <c r="A583" s="1">
        <v>917.0</v>
      </c>
      <c r="B583" s="1">
        <v>3.0</v>
      </c>
      <c r="C583" s="1">
        <v>0.794926550884359</v>
      </c>
      <c r="D583" s="1" t="s">
        <v>851</v>
      </c>
      <c r="E583" s="1" t="s">
        <v>173</v>
      </c>
      <c r="F583" s="1" t="s">
        <v>1274</v>
      </c>
      <c r="G583" s="1" t="s">
        <v>609</v>
      </c>
      <c r="H583" s="1">
        <v>2015.0</v>
      </c>
      <c r="I583" s="1" t="s">
        <v>630</v>
      </c>
      <c r="J583" s="1" t="s">
        <v>1272</v>
      </c>
      <c r="K583" s="1">
        <v>7.0</v>
      </c>
      <c r="L583" s="1" t="s">
        <v>1273</v>
      </c>
      <c r="M583" s="1">
        <v>1.0</v>
      </c>
    </row>
    <row r="584">
      <c r="A584" s="1">
        <v>1037.0</v>
      </c>
      <c r="B584" s="1">
        <v>3.0</v>
      </c>
      <c r="C584" s="1">
        <v>0.794502681645373</v>
      </c>
      <c r="D584" s="1" t="s">
        <v>942</v>
      </c>
      <c r="E584" s="1" t="s">
        <v>124</v>
      </c>
      <c r="F584" s="1" t="s">
        <v>178</v>
      </c>
      <c r="G584" s="1" t="s">
        <v>1274</v>
      </c>
      <c r="H584" s="1">
        <v>2012.0</v>
      </c>
      <c r="I584" s="1" t="s">
        <v>861</v>
      </c>
      <c r="J584" s="1" t="s">
        <v>1272</v>
      </c>
      <c r="K584" s="1">
        <v>5.0</v>
      </c>
      <c r="L584" s="1" t="s">
        <v>1273</v>
      </c>
      <c r="M584" s="1">
        <v>10.0</v>
      </c>
    </row>
    <row r="585">
      <c r="A585" s="1">
        <v>330.0</v>
      </c>
      <c r="B585" s="1">
        <v>2.0</v>
      </c>
      <c r="C585" s="1">
        <v>0.793400323809164</v>
      </c>
      <c r="D585" s="1" t="s">
        <v>317</v>
      </c>
      <c r="E585" s="1" t="s">
        <v>45</v>
      </c>
      <c r="F585" s="1" t="s">
        <v>65</v>
      </c>
      <c r="G585" s="1" t="s">
        <v>1274</v>
      </c>
      <c r="H585" s="1">
        <v>2019.0</v>
      </c>
      <c r="I585" s="1" t="s">
        <v>240</v>
      </c>
      <c r="J585" s="1" t="s">
        <v>1272</v>
      </c>
      <c r="K585" s="1">
        <v>7.0</v>
      </c>
      <c r="L585" s="1" t="s">
        <v>1273</v>
      </c>
      <c r="M585" s="1">
        <v>-1.0</v>
      </c>
    </row>
    <row r="586">
      <c r="A586" s="1">
        <v>129.0</v>
      </c>
      <c r="B586" s="1">
        <v>3.0</v>
      </c>
      <c r="C586" s="1">
        <v>0.793138266040349</v>
      </c>
      <c r="D586" s="1" t="s">
        <v>149</v>
      </c>
      <c r="E586" s="1" t="s">
        <v>111</v>
      </c>
      <c r="F586" s="1" t="s">
        <v>18</v>
      </c>
      <c r="G586" s="1" t="s">
        <v>42</v>
      </c>
      <c r="H586" s="1" t="s">
        <v>1274</v>
      </c>
      <c r="I586" s="1" t="s">
        <v>12</v>
      </c>
      <c r="J586" s="1" t="s">
        <v>1272</v>
      </c>
      <c r="K586" s="1">
        <v>5.0</v>
      </c>
      <c r="L586" s="1" t="s">
        <v>1273</v>
      </c>
      <c r="M586" s="1">
        <v>0.0</v>
      </c>
    </row>
    <row r="587">
      <c r="A587" s="1">
        <v>394.0</v>
      </c>
      <c r="B587" s="1">
        <v>2.0</v>
      </c>
      <c r="C587" s="1">
        <v>0.793037705304492</v>
      </c>
      <c r="D587" s="1" t="s">
        <v>371</v>
      </c>
      <c r="E587" s="1" t="s">
        <v>17</v>
      </c>
      <c r="F587" s="1" t="s">
        <v>18</v>
      </c>
      <c r="G587" s="1">
        <v>8.0</v>
      </c>
      <c r="H587" s="1">
        <v>2024.0</v>
      </c>
      <c r="I587" s="1" t="s">
        <v>240</v>
      </c>
      <c r="J587" s="1" t="s">
        <v>1272</v>
      </c>
      <c r="K587" s="1">
        <v>5.0</v>
      </c>
      <c r="L587" s="1" t="s">
        <v>1273</v>
      </c>
      <c r="M587" s="1">
        <v>-1.0</v>
      </c>
    </row>
    <row r="588">
      <c r="A588" s="1">
        <v>1114.0</v>
      </c>
      <c r="B588" s="1">
        <v>2.0</v>
      </c>
      <c r="C588" s="1">
        <v>0.792804801677925</v>
      </c>
      <c r="D588" s="1" t="s">
        <v>1001</v>
      </c>
      <c r="E588" s="1" t="s">
        <v>20</v>
      </c>
      <c r="F588" s="1" t="s">
        <v>18</v>
      </c>
      <c r="G588" s="1" t="s">
        <v>11</v>
      </c>
      <c r="H588" s="1">
        <v>2015.0</v>
      </c>
      <c r="I588" s="1" t="s">
        <v>861</v>
      </c>
      <c r="J588" s="1" t="s">
        <v>1272</v>
      </c>
      <c r="K588" s="1">
        <v>7.0</v>
      </c>
      <c r="L588" s="1" t="s">
        <v>1273</v>
      </c>
      <c r="M588" s="1">
        <v>0.0</v>
      </c>
    </row>
    <row r="589">
      <c r="A589" s="1">
        <v>799.0</v>
      </c>
      <c r="B589" s="1">
        <v>3.0</v>
      </c>
      <c r="C589" s="1">
        <v>0.792626579637206</v>
      </c>
      <c r="D589" s="1" t="s">
        <v>735</v>
      </c>
      <c r="E589" s="1" t="s">
        <v>173</v>
      </c>
      <c r="F589" s="1" t="s">
        <v>18</v>
      </c>
      <c r="G589" s="1" t="s">
        <v>42</v>
      </c>
      <c r="H589" s="1">
        <v>2022.0</v>
      </c>
      <c r="I589" s="1" t="s">
        <v>630</v>
      </c>
      <c r="J589" s="1" t="s">
        <v>1272</v>
      </c>
      <c r="K589" s="1">
        <v>7.0</v>
      </c>
      <c r="L589" s="1" t="s">
        <v>1273</v>
      </c>
      <c r="M589" s="1">
        <v>1.0</v>
      </c>
    </row>
    <row r="590">
      <c r="A590" s="1">
        <v>47.0</v>
      </c>
      <c r="B590" s="1">
        <v>9.0</v>
      </c>
      <c r="C590" s="1">
        <v>0.792307724381994</v>
      </c>
      <c r="D590" s="1" t="s">
        <v>71</v>
      </c>
      <c r="E590" s="1" t="s">
        <v>45</v>
      </c>
      <c r="F590" s="1" t="s">
        <v>65</v>
      </c>
      <c r="G590" s="1" t="s">
        <v>1274</v>
      </c>
      <c r="H590" s="1">
        <v>2019.0</v>
      </c>
      <c r="I590" s="1" t="s">
        <v>12</v>
      </c>
      <c r="J590" s="1" t="s">
        <v>1272</v>
      </c>
      <c r="K590" s="1">
        <v>10.0</v>
      </c>
      <c r="L590" s="1" t="s">
        <v>1273</v>
      </c>
      <c r="M590" s="1">
        <v>6.0</v>
      </c>
    </row>
    <row r="591">
      <c r="A591" s="1">
        <v>926.0</v>
      </c>
      <c r="B591" s="1">
        <v>3.0</v>
      </c>
      <c r="C591" s="1">
        <v>0.792219768768459</v>
      </c>
      <c r="D591" s="1" t="s">
        <v>796</v>
      </c>
      <c r="E591" s="1" t="s">
        <v>47</v>
      </c>
      <c r="F591" s="1" t="s">
        <v>197</v>
      </c>
      <c r="G591" s="1" t="s">
        <v>42</v>
      </c>
      <c r="H591" s="1">
        <v>2016.0</v>
      </c>
      <c r="I591" s="1" t="s">
        <v>630</v>
      </c>
      <c r="J591" s="1" t="s">
        <v>1272</v>
      </c>
      <c r="K591" s="1">
        <v>7.0</v>
      </c>
      <c r="L591" s="1" t="s">
        <v>1273</v>
      </c>
      <c r="M591" s="1">
        <v>1.0</v>
      </c>
    </row>
    <row r="592">
      <c r="A592" s="1">
        <v>71.0</v>
      </c>
      <c r="B592" s="1">
        <v>2.0</v>
      </c>
      <c r="C592" s="1">
        <v>0.791649125217567</v>
      </c>
      <c r="D592" s="1" t="s">
        <v>94</v>
      </c>
      <c r="E592" s="1" t="s">
        <v>17</v>
      </c>
      <c r="F592" s="1" t="s">
        <v>18</v>
      </c>
      <c r="G592" s="1">
        <v>11.0</v>
      </c>
      <c r="H592" s="1" t="s">
        <v>1274</v>
      </c>
      <c r="I592" s="1" t="s">
        <v>12</v>
      </c>
      <c r="J592" s="1" t="s">
        <v>1272</v>
      </c>
      <c r="K592" s="1">
        <v>10.0</v>
      </c>
      <c r="L592" s="1" t="s">
        <v>1273</v>
      </c>
      <c r="M592" s="1">
        <v>1.0</v>
      </c>
    </row>
    <row r="593">
      <c r="A593" s="1">
        <v>241.0</v>
      </c>
      <c r="B593" s="1">
        <v>7.0</v>
      </c>
      <c r="C593" s="1">
        <v>0.791507795590856</v>
      </c>
      <c r="D593" s="1" t="s">
        <v>235</v>
      </c>
      <c r="E593" s="1" t="s">
        <v>111</v>
      </c>
      <c r="F593" s="1" t="s">
        <v>1274</v>
      </c>
      <c r="G593" s="1" t="s">
        <v>11</v>
      </c>
      <c r="H593" s="1">
        <v>2021.0</v>
      </c>
      <c r="I593" s="1" t="s">
        <v>198</v>
      </c>
      <c r="J593" s="1" t="s">
        <v>1272</v>
      </c>
      <c r="K593" s="1">
        <v>10.0</v>
      </c>
      <c r="L593" s="1" t="s">
        <v>1273</v>
      </c>
      <c r="M593" s="1">
        <v>6.0</v>
      </c>
    </row>
    <row r="594">
      <c r="A594" s="1">
        <v>1050.0</v>
      </c>
      <c r="B594" s="1">
        <v>2.0</v>
      </c>
      <c r="C594" s="1">
        <v>0.790931113629953</v>
      </c>
      <c r="D594" s="1" t="s">
        <v>954</v>
      </c>
      <c r="E594" s="1" t="s">
        <v>20</v>
      </c>
      <c r="F594" s="1" t="s">
        <v>97</v>
      </c>
      <c r="G594" s="1" t="s">
        <v>11</v>
      </c>
      <c r="H594" s="1">
        <v>2020.0</v>
      </c>
      <c r="I594" s="1" t="s">
        <v>861</v>
      </c>
      <c r="J594" s="1" t="s">
        <v>1272</v>
      </c>
      <c r="K594" s="1">
        <v>7.0</v>
      </c>
      <c r="L594" s="1" t="s">
        <v>1273</v>
      </c>
      <c r="M594" s="1">
        <v>0.0</v>
      </c>
    </row>
    <row r="595">
      <c r="A595" s="1">
        <v>657.0</v>
      </c>
      <c r="B595" s="1">
        <v>2.0</v>
      </c>
      <c r="C595" s="1">
        <v>0.790755428729351</v>
      </c>
      <c r="D595" s="1" t="s">
        <v>597</v>
      </c>
      <c r="E595" s="1" t="s">
        <v>173</v>
      </c>
      <c r="F595" s="1" t="s">
        <v>18</v>
      </c>
      <c r="G595" s="1" t="s">
        <v>42</v>
      </c>
      <c r="H595" s="1">
        <v>2021.0</v>
      </c>
      <c r="I595" s="1" t="s">
        <v>240</v>
      </c>
      <c r="J595" s="1" t="s">
        <v>1272</v>
      </c>
      <c r="K595" s="1">
        <v>5.0</v>
      </c>
      <c r="L595" s="1" t="s">
        <v>1273</v>
      </c>
      <c r="M595" s="1">
        <v>0.0</v>
      </c>
    </row>
    <row r="596">
      <c r="A596" s="1">
        <v>373.0</v>
      </c>
      <c r="B596" s="1">
        <v>2.0</v>
      </c>
      <c r="C596" s="1">
        <v>0.790204577878033</v>
      </c>
      <c r="D596" s="1" t="s">
        <v>355</v>
      </c>
      <c r="E596" s="1" t="s">
        <v>58</v>
      </c>
      <c r="F596" s="1" t="s">
        <v>59</v>
      </c>
      <c r="G596" s="2">
        <v>46153.0</v>
      </c>
      <c r="H596" s="1">
        <v>2024.0</v>
      </c>
      <c r="I596" s="1" t="s">
        <v>240</v>
      </c>
      <c r="J596" s="1" t="s">
        <v>1272</v>
      </c>
      <c r="K596" s="1">
        <v>7.0</v>
      </c>
      <c r="L596" s="1" t="s">
        <v>1273</v>
      </c>
      <c r="M596" s="1">
        <v>0.0</v>
      </c>
    </row>
    <row r="597">
      <c r="A597" s="1">
        <v>103.0</v>
      </c>
      <c r="B597" s="1">
        <v>5.0</v>
      </c>
      <c r="C597" s="1">
        <v>0.790074625113936</v>
      </c>
      <c r="D597" s="1" t="s">
        <v>123</v>
      </c>
      <c r="E597" s="1" t="s">
        <v>124</v>
      </c>
      <c r="F597" s="1" t="s">
        <v>18</v>
      </c>
      <c r="G597" s="1" t="s">
        <v>1274</v>
      </c>
      <c r="H597" s="1">
        <v>2012.0</v>
      </c>
      <c r="I597" s="1" t="s">
        <v>12</v>
      </c>
      <c r="J597" s="1" t="s">
        <v>1272</v>
      </c>
      <c r="K597" s="1">
        <v>10.0</v>
      </c>
      <c r="L597" s="1" t="s">
        <v>1273</v>
      </c>
      <c r="M597" s="1">
        <v>0.0</v>
      </c>
    </row>
    <row r="598">
      <c r="A598" s="1">
        <v>420.0</v>
      </c>
      <c r="B598" s="1">
        <v>4.0</v>
      </c>
      <c r="C598" s="1">
        <v>0.789592447134627</v>
      </c>
      <c r="D598" s="1" t="s">
        <v>396</v>
      </c>
      <c r="E598" s="1" t="s">
        <v>24</v>
      </c>
      <c r="F598" s="1" t="s">
        <v>18</v>
      </c>
      <c r="G598" s="1" t="s">
        <v>42</v>
      </c>
      <c r="H598" s="1">
        <v>2024.0</v>
      </c>
      <c r="I598" s="1" t="s">
        <v>240</v>
      </c>
      <c r="J598" s="1" t="s">
        <v>1272</v>
      </c>
      <c r="K598" s="1">
        <v>7.0</v>
      </c>
      <c r="L598" s="1" t="s">
        <v>1273</v>
      </c>
      <c r="M598" s="1">
        <v>2.0</v>
      </c>
    </row>
    <row r="599">
      <c r="A599" s="1">
        <v>431.0</v>
      </c>
      <c r="B599" s="1">
        <v>2.0</v>
      </c>
      <c r="C599" s="1">
        <v>0.789552475827866</v>
      </c>
      <c r="D599" s="1" t="s">
        <v>403</v>
      </c>
      <c r="E599" s="1" t="s">
        <v>10</v>
      </c>
      <c r="F599" s="1" t="s">
        <v>142</v>
      </c>
      <c r="G599" s="1" t="s">
        <v>1274</v>
      </c>
      <c r="H599" s="1">
        <v>2011.0</v>
      </c>
      <c r="I599" s="1" t="s">
        <v>240</v>
      </c>
      <c r="J599" s="1" t="s">
        <v>1272</v>
      </c>
      <c r="K599" s="1">
        <v>5.0</v>
      </c>
      <c r="L599" s="1" t="s">
        <v>1273</v>
      </c>
      <c r="M599" s="1">
        <v>0.0</v>
      </c>
    </row>
    <row r="600">
      <c r="A600" s="1">
        <v>828.0</v>
      </c>
      <c r="B600" s="1">
        <v>3.0</v>
      </c>
      <c r="C600" s="1">
        <v>0.789234940539461</v>
      </c>
      <c r="D600" s="1" t="s">
        <v>764</v>
      </c>
      <c r="E600" s="1" t="s">
        <v>107</v>
      </c>
      <c r="F600" s="1" t="s">
        <v>18</v>
      </c>
      <c r="G600" s="1" t="s">
        <v>1274</v>
      </c>
      <c r="H600" s="1">
        <v>2024.0</v>
      </c>
      <c r="I600" s="1" t="s">
        <v>630</v>
      </c>
      <c r="J600" s="1" t="s">
        <v>1272</v>
      </c>
      <c r="K600" s="1">
        <v>7.0</v>
      </c>
      <c r="L600" s="1" t="s">
        <v>1273</v>
      </c>
      <c r="M600" s="1">
        <v>-1.0</v>
      </c>
    </row>
    <row r="601">
      <c r="A601" s="1">
        <v>95.0</v>
      </c>
      <c r="B601" s="1">
        <v>4.0</v>
      </c>
      <c r="C601" s="1">
        <v>0.788941757591875</v>
      </c>
      <c r="D601" s="1" t="s">
        <v>116</v>
      </c>
      <c r="E601" s="1" t="s">
        <v>41</v>
      </c>
      <c r="F601" s="1" t="s">
        <v>1274</v>
      </c>
      <c r="G601" s="1" t="s">
        <v>11</v>
      </c>
      <c r="H601" s="1" t="s">
        <v>1274</v>
      </c>
      <c r="I601" s="1" t="s">
        <v>12</v>
      </c>
      <c r="J601" s="1" t="s">
        <v>1272</v>
      </c>
      <c r="K601" s="1">
        <v>5.0</v>
      </c>
      <c r="L601" s="1" t="s">
        <v>1273</v>
      </c>
      <c r="M601" s="1">
        <v>0.0</v>
      </c>
    </row>
    <row r="602">
      <c r="A602" s="1">
        <v>554.0</v>
      </c>
      <c r="B602" s="1">
        <v>2.0</v>
      </c>
      <c r="C602" s="1">
        <v>0.788723740271658</v>
      </c>
      <c r="D602" s="1" t="s">
        <v>506</v>
      </c>
      <c r="E602" s="1" t="s">
        <v>107</v>
      </c>
      <c r="F602" s="1" t="s">
        <v>18</v>
      </c>
      <c r="G602" s="1" t="s">
        <v>1274</v>
      </c>
      <c r="H602" s="1">
        <v>2022.0</v>
      </c>
      <c r="I602" s="1" t="s">
        <v>240</v>
      </c>
      <c r="J602" s="1" t="s">
        <v>1272</v>
      </c>
      <c r="K602" s="1">
        <v>7.0</v>
      </c>
      <c r="L602" s="1" t="s">
        <v>1273</v>
      </c>
      <c r="M602" s="1">
        <v>5.0</v>
      </c>
    </row>
    <row r="603">
      <c r="A603" s="1">
        <v>1074.0</v>
      </c>
      <c r="B603" s="1">
        <v>2.0</v>
      </c>
      <c r="C603" s="1">
        <v>0.787141037628114</v>
      </c>
      <c r="D603" s="1" t="s">
        <v>978</v>
      </c>
      <c r="E603" s="1" t="s">
        <v>17</v>
      </c>
      <c r="F603" s="1" t="s">
        <v>18</v>
      </c>
      <c r="G603" s="1">
        <v>9.0</v>
      </c>
      <c r="H603" s="1">
        <v>2023.0</v>
      </c>
      <c r="I603" s="1" t="s">
        <v>861</v>
      </c>
      <c r="J603" s="1" t="s">
        <v>1272</v>
      </c>
      <c r="K603" s="1">
        <v>7.0</v>
      </c>
      <c r="L603" s="1" t="s">
        <v>1273</v>
      </c>
      <c r="M603" s="1">
        <v>0.0</v>
      </c>
    </row>
    <row r="604">
      <c r="A604" s="1">
        <v>908.0</v>
      </c>
      <c r="B604" s="1">
        <v>3.0</v>
      </c>
      <c r="C604" s="1">
        <v>0.786688683647721</v>
      </c>
      <c r="D604" s="1" t="s">
        <v>842</v>
      </c>
      <c r="E604" s="1" t="s">
        <v>173</v>
      </c>
      <c r="F604" s="1" t="s">
        <v>1274</v>
      </c>
      <c r="G604" s="1" t="s">
        <v>609</v>
      </c>
      <c r="H604" s="1">
        <v>2015.0</v>
      </c>
      <c r="I604" s="1" t="s">
        <v>630</v>
      </c>
      <c r="J604" s="1" t="s">
        <v>1272</v>
      </c>
      <c r="K604" s="1">
        <v>7.0</v>
      </c>
      <c r="L604" s="1" t="s">
        <v>1273</v>
      </c>
      <c r="M604" s="1">
        <v>1.0</v>
      </c>
    </row>
    <row r="605">
      <c r="A605" s="1">
        <v>562.0</v>
      </c>
      <c r="B605" s="1">
        <v>2.0</v>
      </c>
      <c r="C605" s="1">
        <v>0.786390420626212</v>
      </c>
      <c r="D605" s="1" t="s">
        <v>514</v>
      </c>
      <c r="E605" s="1" t="s">
        <v>107</v>
      </c>
      <c r="F605" s="1" t="s">
        <v>18</v>
      </c>
      <c r="G605" s="1" t="s">
        <v>1274</v>
      </c>
      <c r="H605" s="1">
        <v>2022.0</v>
      </c>
      <c r="I605" s="1" t="s">
        <v>240</v>
      </c>
      <c r="J605" s="1" t="s">
        <v>1272</v>
      </c>
      <c r="K605" s="1">
        <v>10.0</v>
      </c>
      <c r="L605" s="1" t="s">
        <v>1273</v>
      </c>
      <c r="M605" s="1">
        <v>0.0</v>
      </c>
    </row>
    <row r="606">
      <c r="A606" s="1">
        <v>1055.0</v>
      </c>
      <c r="B606" s="1">
        <v>2.0</v>
      </c>
      <c r="C606" s="1">
        <v>0.785740073975923</v>
      </c>
      <c r="D606" s="1" t="s">
        <v>959</v>
      </c>
      <c r="E606" s="1" t="s">
        <v>24</v>
      </c>
      <c r="F606" s="1" t="s">
        <v>197</v>
      </c>
      <c r="G606" s="1" t="s">
        <v>609</v>
      </c>
      <c r="H606" s="1">
        <v>2022.0</v>
      </c>
      <c r="I606" s="1" t="s">
        <v>861</v>
      </c>
      <c r="J606" s="1" t="s">
        <v>1272</v>
      </c>
      <c r="K606" s="1">
        <v>10.0</v>
      </c>
      <c r="L606" s="1" t="s">
        <v>1273</v>
      </c>
      <c r="M606" s="1">
        <v>7.0</v>
      </c>
    </row>
    <row r="607">
      <c r="A607" s="1">
        <v>56.0</v>
      </c>
      <c r="B607" s="1">
        <v>3.0</v>
      </c>
      <c r="C607" s="1">
        <v>0.78549877223657</v>
      </c>
      <c r="D607" s="1" t="s">
        <v>46</v>
      </c>
      <c r="E607" s="1" t="s">
        <v>47</v>
      </c>
      <c r="F607" s="1" t="s">
        <v>1274</v>
      </c>
      <c r="G607" s="1" t="s">
        <v>11</v>
      </c>
      <c r="H607" s="1">
        <v>2016.0</v>
      </c>
      <c r="I607" s="1" t="s">
        <v>12</v>
      </c>
      <c r="J607" s="1" t="s">
        <v>1272</v>
      </c>
      <c r="K607" s="1">
        <v>5.0</v>
      </c>
      <c r="L607" s="1" t="s">
        <v>1273</v>
      </c>
      <c r="M607" s="1">
        <v>0.0</v>
      </c>
    </row>
    <row r="608">
      <c r="A608" s="1">
        <v>925.0</v>
      </c>
      <c r="B608" s="1">
        <v>3.0</v>
      </c>
      <c r="C608" s="1">
        <v>0.784935354911662</v>
      </c>
      <c r="D608" s="1" t="s">
        <v>859</v>
      </c>
      <c r="E608" s="1" t="s">
        <v>173</v>
      </c>
      <c r="F608" s="1" t="s">
        <v>1274</v>
      </c>
      <c r="G608" s="1" t="s">
        <v>609</v>
      </c>
      <c r="H608" s="1">
        <v>2015.0</v>
      </c>
      <c r="I608" s="1" t="s">
        <v>630</v>
      </c>
      <c r="J608" s="1" t="s">
        <v>1272</v>
      </c>
      <c r="K608" s="1">
        <v>7.0</v>
      </c>
      <c r="L608" s="1" t="s">
        <v>1273</v>
      </c>
      <c r="M608" s="1">
        <v>1.0</v>
      </c>
    </row>
    <row r="609">
      <c r="A609" s="1">
        <v>375.0</v>
      </c>
      <c r="B609" s="1">
        <v>2.0</v>
      </c>
      <c r="C609" s="1">
        <v>0.784705488909538</v>
      </c>
      <c r="D609" s="1" t="s">
        <v>357</v>
      </c>
      <c r="E609" s="1" t="s">
        <v>58</v>
      </c>
      <c r="F609" s="1" t="s">
        <v>59</v>
      </c>
      <c r="G609" s="2">
        <v>46153.0</v>
      </c>
      <c r="H609" s="1">
        <v>2024.0</v>
      </c>
      <c r="I609" s="1" t="s">
        <v>240</v>
      </c>
      <c r="J609" s="1" t="s">
        <v>1272</v>
      </c>
      <c r="K609" s="1">
        <v>10.0</v>
      </c>
      <c r="L609" s="1" t="s">
        <v>1273</v>
      </c>
      <c r="M609" s="1">
        <v>0.0</v>
      </c>
    </row>
    <row r="610">
      <c r="A610" s="1">
        <v>684.0</v>
      </c>
      <c r="B610" s="1">
        <v>2.0</v>
      </c>
      <c r="C610" s="1">
        <v>0.78469280038732</v>
      </c>
      <c r="D610" s="1" t="s">
        <v>623</v>
      </c>
      <c r="E610" s="1" t="s">
        <v>111</v>
      </c>
      <c r="F610" s="1" t="s">
        <v>1274</v>
      </c>
      <c r="G610" s="1" t="s">
        <v>11</v>
      </c>
      <c r="H610" s="1">
        <v>2014.0</v>
      </c>
      <c r="I610" s="1" t="s">
        <v>240</v>
      </c>
      <c r="J610" s="1" t="s">
        <v>1272</v>
      </c>
      <c r="K610" s="1">
        <v>5.0</v>
      </c>
      <c r="L610" s="1" t="s">
        <v>1273</v>
      </c>
      <c r="M610" s="1">
        <v>4.0</v>
      </c>
    </row>
    <row r="611">
      <c r="A611" s="1">
        <v>490.0</v>
      </c>
      <c r="B611" s="1">
        <v>2.0</v>
      </c>
      <c r="C611" s="1">
        <v>0.78418403972114</v>
      </c>
      <c r="D611" s="1" t="s">
        <v>451</v>
      </c>
      <c r="E611" s="1" t="s">
        <v>10</v>
      </c>
      <c r="F611" s="1" t="s">
        <v>97</v>
      </c>
      <c r="G611" s="1" t="s">
        <v>11</v>
      </c>
      <c r="H611" s="1">
        <v>2011.0</v>
      </c>
      <c r="I611" s="1" t="s">
        <v>240</v>
      </c>
      <c r="J611" s="1" t="s">
        <v>1272</v>
      </c>
      <c r="K611" s="1">
        <v>10.0</v>
      </c>
      <c r="L611" s="1" t="s">
        <v>1273</v>
      </c>
      <c r="M611" s="1">
        <v>-1.0</v>
      </c>
    </row>
    <row r="612">
      <c r="A612" s="1">
        <v>790.0</v>
      </c>
      <c r="B612" s="1">
        <v>3.0</v>
      </c>
      <c r="C612" s="1">
        <v>0.784181998964949</v>
      </c>
      <c r="D612" s="1" t="s">
        <v>726</v>
      </c>
      <c r="E612" s="1" t="s">
        <v>1274</v>
      </c>
      <c r="F612" s="1" t="s">
        <v>1274</v>
      </c>
      <c r="G612" s="1" t="s">
        <v>1274</v>
      </c>
      <c r="H612" s="1">
        <v>2006.0</v>
      </c>
      <c r="I612" s="1" t="s">
        <v>630</v>
      </c>
      <c r="J612" s="1" t="s">
        <v>1272</v>
      </c>
      <c r="K612" s="1">
        <v>7.0</v>
      </c>
      <c r="L612" s="1" t="s">
        <v>1273</v>
      </c>
      <c r="M612" s="1">
        <v>17.0</v>
      </c>
    </row>
    <row r="613">
      <c r="A613" s="1">
        <v>1010.0</v>
      </c>
      <c r="B613" s="1">
        <v>2.0</v>
      </c>
      <c r="C613" s="1">
        <v>0.783957308227887</v>
      </c>
      <c r="D613" s="1" t="s">
        <v>917</v>
      </c>
      <c r="E613" s="1" t="s">
        <v>111</v>
      </c>
      <c r="F613" s="1" t="s">
        <v>18</v>
      </c>
      <c r="G613" s="1" t="s">
        <v>42</v>
      </c>
      <c r="H613" s="1">
        <v>1998.0</v>
      </c>
      <c r="I613" s="1" t="s">
        <v>861</v>
      </c>
      <c r="J613" s="1" t="s">
        <v>1272</v>
      </c>
      <c r="K613" s="1">
        <v>5.0</v>
      </c>
      <c r="L613" s="1" t="s">
        <v>1273</v>
      </c>
      <c r="M613" s="1">
        <v>6.0</v>
      </c>
    </row>
    <row r="614">
      <c r="A614" s="1">
        <v>854.0</v>
      </c>
      <c r="B614" s="1">
        <v>3.0</v>
      </c>
      <c r="C614" s="1">
        <v>0.781331340395528</v>
      </c>
      <c r="D614" s="1" t="s">
        <v>790</v>
      </c>
      <c r="E614" s="1" t="s">
        <v>107</v>
      </c>
      <c r="F614" s="1" t="s">
        <v>18</v>
      </c>
      <c r="G614" s="1" t="s">
        <v>1274</v>
      </c>
      <c r="H614" s="1">
        <v>2024.0</v>
      </c>
      <c r="I614" s="1" t="s">
        <v>630</v>
      </c>
      <c r="J614" s="1" t="s">
        <v>1272</v>
      </c>
      <c r="K614" s="1">
        <v>7.0</v>
      </c>
      <c r="L614" s="1" t="s">
        <v>1273</v>
      </c>
      <c r="M614" s="1">
        <v>1.0</v>
      </c>
    </row>
    <row r="615">
      <c r="A615" s="1">
        <v>1011.0</v>
      </c>
      <c r="B615" s="1">
        <v>2.0</v>
      </c>
      <c r="C615" s="1">
        <v>0.780743793735918</v>
      </c>
      <c r="D615" s="1" t="s">
        <v>918</v>
      </c>
      <c r="E615" s="1" t="s">
        <v>111</v>
      </c>
      <c r="F615" s="1" t="s">
        <v>18</v>
      </c>
      <c r="G615" s="1" t="s">
        <v>42</v>
      </c>
      <c r="H615" s="1">
        <v>1998.0</v>
      </c>
      <c r="I615" s="1" t="s">
        <v>861</v>
      </c>
      <c r="J615" s="1" t="s">
        <v>1272</v>
      </c>
      <c r="K615" s="1">
        <v>5.0</v>
      </c>
      <c r="L615" s="1" t="s">
        <v>1273</v>
      </c>
      <c r="M615" s="1">
        <v>6.0</v>
      </c>
    </row>
    <row r="616">
      <c r="A616" s="1">
        <v>756.0</v>
      </c>
      <c r="B616" s="1">
        <v>3.0</v>
      </c>
      <c r="C616" s="1">
        <v>0.778928324312104</v>
      </c>
      <c r="D616" s="1" t="s">
        <v>692</v>
      </c>
      <c r="E616" s="1" t="s">
        <v>58</v>
      </c>
      <c r="F616" s="1" t="s">
        <v>1274</v>
      </c>
      <c r="G616" s="1" t="s">
        <v>42</v>
      </c>
      <c r="H616" s="1">
        <v>2024.0</v>
      </c>
      <c r="I616" s="1" t="s">
        <v>630</v>
      </c>
      <c r="J616" s="1" t="s">
        <v>1272</v>
      </c>
      <c r="K616" s="1">
        <v>5.0</v>
      </c>
      <c r="L616" s="1" t="s">
        <v>1273</v>
      </c>
      <c r="M616" s="1">
        <v>13.0</v>
      </c>
    </row>
    <row r="617">
      <c r="A617" s="1">
        <v>995.0</v>
      </c>
      <c r="B617" s="1">
        <v>7.0</v>
      </c>
      <c r="C617" s="1">
        <v>0.778534780841327</v>
      </c>
      <c r="D617" s="1" t="s">
        <v>902</v>
      </c>
      <c r="E617" s="1" t="s">
        <v>24</v>
      </c>
      <c r="F617" s="1" t="s">
        <v>18</v>
      </c>
      <c r="G617" s="1" t="s">
        <v>42</v>
      </c>
      <c r="H617" s="1">
        <v>2023.0</v>
      </c>
      <c r="I617" s="1" t="s">
        <v>861</v>
      </c>
      <c r="J617" s="1" t="s">
        <v>1272</v>
      </c>
      <c r="K617" s="1">
        <v>7.0</v>
      </c>
      <c r="L617" s="1" t="s">
        <v>1273</v>
      </c>
      <c r="M617" s="1">
        <v>9.0</v>
      </c>
    </row>
    <row r="618">
      <c r="A618" s="1">
        <v>382.0</v>
      </c>
      <c r="B618" s="1">
        <v>2.0</v>
      </c>
      <c r="C618" s="1">
        <v>0.775558583909705</v>
      </c>
      <c r="D618" s="1" t="s">
        <v>361</v>
      </c>
      <c r="E618" s="1" t="s">
        <v>124</v>
      </c>
      <c r="F618" s="1" t="s">
        <v>18</v>
      </c>
      <c r="G618" s="1" t="s">
        <v>1274</v>
      </c>
      <c r="H618" s="1">
        <v>2024.0</v>
      </c>
      <c r="I618" s="1" t="s">
        <v>240</v>
      </c>
      <c r="J618" s="1" t="s">
        <v>1272</v>
      </c>
      <c r="K618" s="1">
        <v>10.0</v>
      </c>
      <c r="L618" s="1" t="s">
        <v>1273</v>
      </c>
      <c r="M618" s="1">
        <v>0.0</v>
      </c>
    </row>
    <row r="619">
      <c r="A619" s="1">
        <v>965.0</v>
      </c>
      <c r="B619" s="1">
        <v>2.0</v>
      </c>
      <c r="C619" s="1">
        <v>0.775386198988478</v>
      </c>
      <c r="D619" s="1" t="s">
        <v>881</v>
      </c>
      <c r="E619" s="1" t="s">
        <v>111</v>
      </c>
      <c r="F619" s="1" t="s">
        <v>1274</v>
      </c>
      <c r="G619" s="1" t="s">
        <v>1274</v>
      </c>
      <c r="H619" s="1">
        <v>2011.0</v>
      </c>
      <c r="I619" s="1" t="s">
        <v>861</v>
      </c>
      <c r="J619" s="1" t="s">
        <v>1272</v>
      </c>
      <c r="K619" s="1">
        <v>5.0</v>
      </c>
      <c r="L619" s="1" t="s">
        <v>1273</v>
      </c>
      <c r="M619" s="1">
        <v>6.0</v>
      </c>
    </row>
    <row r="620">
      <c r="A620" s="1">
        <v>591.0</v>
      </c>
      <c r="B620" s="1">
        <v>4.0</v>
      </c>
      <c r="C620" s="1">
        <v>0.775318501270955</v>
      </c>
      <c r="D620" s="1" t="s">
        <v>543</v>
      </c>
      <c r="E620" s="1" t="s">
        <v>187</v>
      </c>
      <c r="F620" s="1" t="s">
        <v>1274</v>
      </c>
      <c r="G620" s="1" t="s">
        <v>1274</v>
      </c>
      <c r="H620" s="1" t="s">
        <v>1274</v>
      </c>
      <c r="I620" s="1" t="s">
        <v>240</v>
      </c>
      <c r="J620" s="1" t="s">
        <v>1272</v>
      </c>
      <c r="K620" s="1">
        <v>7.0</v>
      </c>
      <c r="L620" s="1" t="s">
        <v>1273</v>
      </c>
      <c r="M620" s="1">
        <v>-1.0</v>
      </c>
    </row>
    <row r="621">
      <c r="A621" s="1">
        <v>186.0</v>
      </c>
      <c r="B621" s="1">
        <v>5.0</v>
      </c>
      <c r="C621" s="1">
        <v>0.774975754618167</v>
      </c>
      <c r="D621" s="1" t="s">
        <v>200</v>
      </c>
      <c r="E621" s="1" t="s">
        <v>1274</v>
      </c>
      <c r="F621" s="1" t="s">
        <v>1274</v>
      </c>
      <c r="G621" s="1" t="s">
        <v>1274</v>
      </c>
      <c r="H621" s="1">
        <v>2005.0</v>
      </c>
      <c r="I621" s="1" t="s">
        <v>198</v>
      </c>
      <c r="J621" s="1" t="s">
        <v>1272</v>
      </c>
      <c r="K621" s="1">
        <v>10.0</v>
      </c>
      <c r="L621" s="1" t="s">
        <v>1273</v>
      </c>
      <c r="M621" s="1">
        <v>17.0</v>
      </c>
    </row>
    <row r="622">
      <c r="A622" s="1">
        <v>1072.0</v>
      </c>
      <c r="B622" s="1">
        <v>2.0</v>
      </c>
      <c r="C622" s="1">
        <v>0.774613886184634</v>
      </c>
      <c r="D622" s="1" t="s">
        <v>976</v>
      </c>
      <c r="E622" s="1" t="s">
        <v>111</v>
      </c>
      <c r="F622" s="1" t="s">
        <v>1274</v>
      </c>
      <c r="G622" s="1" t="s">
        <v>11</v>
      </c>
      <c r="H622" s="1">
        <v>2022.0</v>
      </c>
      <c r="I622" s="1" t="s">
        <v>861</v>
      </c>
      <c r="J622" s="1" t="s">
        <v>1272</v>
      </c>
      <c r="K622" s="1">
        <v>7.0</v>
      </c>
      <c r="L622" s="1" t="s">
        <v>1273</v>
      </c>
      <c r="M622" s="1">
        <v>-1.0</v>
      </c>
    </row>
    <row r="623">
      <c r="A623" s="1">
        <v>599.0</v>
      </c>
      <c r="B623" s="1">
        <v>2.0</v>
      </c>
      <c r="C623" s="1">
        <v>0.774409107140924</v>
      </c>
      <c r="D623" s="1" t="s">
        <v>551</v>
      </c>
      <c r="E623" s="1" t="s">
        <v>10</v>
      </c>
      <c r="F623" s="1" t="s">
        <v>18</v>
      </c>
      <c r="G623" s="1" t="s">
        <v>11</v>
      </c>
      <c r="H623" s="1">
        <v>2019.0</v>
      </c>
      <c r="I623" s="1" t="s">
        <v>240</v>
      </c>
      <c r="J623" s="1" t="s">
        <v>1272</v>
      </c>
      <c r="K623" s="1">
        <v>7.0</v>
      </c>
      <c r="L623" s="1" t="s">
        <v>1273</v>
      </c>
      <c r="M623" s="1">
        <v>5.0</v>
      </c>
    </row>
    <row r="624">
      <c r="A624" s="1">
        <v>313.0</v>
      </c>
      <c r="B624" s="1">
        <v>3.0</v>
      </c>
      <c r="C624" s="1">
        <v>0.77294699280548</v>
      </c>
      <c r="D624" s="1" t="s">
        <v>301</v>
      </c>
      <c r="E624" s="1" t="s">
        <v>24</v>
      </c>
      <c r="F624" s="1" t="s">
        <v>18</v>
      </c>
      <c r="G624" s="1" t="s">
        <v>42</v>
      </c>
      <c r="H624" s="1">
        <v>2024.0</v>
      </c>
      <c r="I624" s="1" t="s">
        <v>240</v>
      </c>
      <c r="J624" s="1" t="s">
        <v>1272</v>
      </c>
      <c r="K624" s="1">
        <v>5.0</v>
      </c>
      <c r="L624" s="1" t="s">
        <v>1273</v>
      </c>
      <c r="M624" s="1">
        <v>-1.0</v>
      </c>
    </row>
    <row r="625">
      <c r="A625" s="1">
        <v>407.0</v>
      </c>
      <c r="B625" s="1">
        <v>4.0</v>
      </c>
      <c r="C625" s="1">
        <v>0.772879749458097</v>
      </c>
      <c r="D625" s="1" t="s">
        <v>384</v>
      </c>
      <c r="E625" s="1" t="s">
        <v>50</v>
      </c>
      <c r="F625" s="1" t="s">
        <v>18</v>
      </c>
      <c r="G625" s="1" t="s">
        <v>382</v>
      </c>
      <c r="H625" s="1">
        <v>2022.0</v>
      </c>
      <c r="I625" s="1" t="s">
        <v>240</v>
      </c>
      <c r="J625" s="1" t="s">
        <v>1272</v>
      </c>
      <c r="K625" s="1">
        <v>7.0</v>
      </c>
      <c r="L625" s="1" t="s">
        <v>1273</v>
      </c>
      <c r="M625" s="1">
        <v>4.0</v>
      </c>
    </row>
    <row r="626">
      <c r="A626" s="1">
        <v>964.0</v>
      </c>
      <c r="B626" s="1">
        <v>2.0</v>
      </c>
      <c r="C626" s="1">
        <v>0.772756796024349</v>
      </c>
      <c r="D626" s="1" t="s">
        <v>880</v>
      </c>
      <c r="E626" s="1" t="s">
        <v>111</v>
      </c>
      <c r="F626" s="1" t="s">
        <v>1274</v>
      </c>
      <c r="G626" s="1" t="s">
        <v>1274</v>
      </c>
      <c r="H626" s="1">
        <v>2011.0</v>
      </c>
      <c r="I626" s="1" t="s">
        <v>861</v>
      </c>
      <c r="J626" s="1" t="s">
        <v>1272</v>
      </c>
      <c r="K626" s="1">
        <v>5.0</v>
      </c>
      <c r="L626" s="1" t="s">
        <v>1273</v>
      </c>
      <c r="M626" s="1">
        <v>6.0</v>
      </c>
    </row>
    <row r="627">
      <c r="A627" s="1">
        <v>288.0</v>
      </c>
      <c r="B627" s="1">
        <v>2.0</v>
      </c>
      <c r="C627" s="1">
        <v>0.772249323563076</v>
      </c>
      <c r="D627" s="1" t="s">
        <v>281</v>
      </c>
      <c r="E627" s="1" t="s">
        <v>107</v>
      </c>
      <c r="F627" s="1" t="s">
        <v>1274</v>
      </c>
      <c r="G627" s="1" t="s">
        <v>11</v>
      </c>
      <c r="H627" s="1">
        <v>2019.0</v>
      </c>
      <c r="I627" s="1" t="s">
        <v>240</v>
      </c>
      <c r="J627" s="1" t="s">
        <v>1272</v>
      </c>
      <c r="K627" s="1">
        <v>7.0</v>
      </c>
      <c r="L627" s="1" t="s">
        <v>1273</v>
      </c>
      <c r="M627" s="1">
        <v>0.0</v>
      </c>
    </row>
    <row r="628">
      <c r="A628" s="1">
        <v>242.0</v>
      </c>
      <c r="B628" s="1">
        <v>2.0</v>
      </c>
      <c r="C628" s="1">
        <v>0.771618524523415</v>
      </c>
      <c r="D628" s="1" t="s">
        <v>236</v>
      </c>
      <c r="E628" s="1" t="s">
        <v>41</v>
      </c>
      <c r="F628" s="1" t="s">
        <v>18</v>
      </c>
      <c r="G628" s="1" t="s">
        <v>42</v>
      </c>
      <c r="H628" s="1">
        <v>2024.0</v>
      </c>
      <c r="I628" s="1" t="s">
        <v>198</v>
      </c>
      <c r="J628" s="1" t="s">
        <v>1272</v>
      </c>
      <c r="K628" s="1">
        <v>7.0</v>
      </c>
      <c r="L628" s="1" t="s">
        <v>1273</v>
      </c>
      <c r="M628" s="1">
        <v>16.0</v>
      </c>
    </row>
    <row r="629">
      <c r="A629" s="1">
        <v>887.0</v>
      </c>
      <c r="B629" s="1">
        <v>3.0</v>
      </c>
      <c r="C629" s="1">
        <v>0.77021101981305</v>
      </c>
      <c r="D629" s="1" t="s">
        <v>820</v>
      </c>
      <c r="E629" s="1" t="s">
        <v>58</v>
      </c>
      <c r="F629" s="1" t="s">
        <v>1274</v>
      </c>
      <c r="G629" s="1" t="s">
        <v>11</v>
      </c>
      <c r="H629" s="1">
        <v>2024.0</v>
      </c>
      <c r="I629" s="1" t="s">
        <v>630</v>
      </c>
      <c r="J629" s="1" t="s">
        <v>1272</v>
      </c>
      <c r="K629" s="1">
        <v>5.0</v>
      </c>
      <c r="L629" s="1" t="s">
        <v>1273</v>
      </c>
      <c r="M629" s="1">
        <v>-1.0</v>
      </c>
    </row>
    <row r="630">
      <c r="A630" s="1">
        <v>600.0</v>
      </c>
      <c r="B630" s="1">
        <v>2.0</v>
      </c>
      <c r="C630" s="1">
        <v>0.769561595330814</v>
      </c>
      <c r="D630" s="1" t="s">
        <v>552</v>
      </c>
      <c r="E630" s="1" t="s">
        <v>10</v>
      </c>
      <c r="F630" s="1" t="s">
        <v>18</v>
      </c>
      <c r="G630" s="1" t="s">
        <v>11</v>
      </c>
      <c r="H630" s="1">
        <v>2019.0</v>
      </c>
      <c r="I630" s="1" t="s">
        <v>240</v>
      </c>
      <c r="J630" s="1" t="s">
        <v>1272</v>
      </c>
      <c r="K630" s="1">
        <v>7.0</v>
      </c>
      <c r="L630" s="1" t="s">
        <v>1273</v>
      </c>
      <c r="M630" s="1">
        <v>5.0</v>
      </c>
    </row>
    <row r="631">
      <c r="A631" s="1">
        <v>805.0</v>
      </c>
      <c r="B631" s="1">
        <v>3.0</v>
      </c>
      <c r="C631" s="1">
        <v>0.768989912735086</v>
      </c>
      <c r="D631" s="1" t="s">
        <v>741</v>
      </c>
      <c r="E631" s="1" t="s">
        <v>173</v>
      </c>
      <c r="F631" s="1" t="s">
        <v>18</v>
      </c>
      <c r="G631" s="1" t="s">
        <v>42</v>
      </c>
      <c r="H631" s="1">
        <v>2022.0</v>
      </c>
      <c r="I631" s="1" t="s">
        <v>630</v>
      </c>
      <c r="J631" s="1" t="s">
        <v>1272</v>
      </c>
      <c r="K631" s="1">
        <v>5.0</v>
      </c>
      <c r="L631" s="1" t="s">
        <v>1273</v>
      </c>
      <c r="M631" s="1">
        <v>1.0</v>
      </c>
    </row>
    <row r="632">
      <c r="A632" s="1">
        <v>525.0</v>
      </c>
      <c r="B632" s="1">
        <v>4.0</v>
      </c>
      <c r="C632" s="1">
        <v>0.767865131508963</v>
      </c>
      <c r="D632" s="1" t="s">
        <v>486</v>
      </c>
      <c r="E632" s="1" t="s">
        <v>17</v>
      </c>
      <c r="F632" s="1" t="s">
        <v>18</v>
      </c>
      <c r="G632" s="1">
        <v>12.0</v>
      </c>
      <c r="H632" s="1">
        <v>2024.0</v>
      </c>
      <c r="I632" s="1" t="s">
        <v>240</v>
      </c>
      <c r="J632" s="1" t="s">
        <v>1272</v>
      </c>
      <c r="K632" s="1">
        <v>7.0</v>
      </c>
      <c r="L632" s="1" t="s">
        <v>1273</v>
      </c>
      <c r="M632" s="1">
        <v>2.0</v>
      </c>
    </row>
    <row r="633">
      <c r="A633" s="1">
        <v>46.0</v>
      </c>
      <c r="B633" s="1">
        <v>6.0</v>
      </c>
      <c r="C633" s="1">
        <v>0.767071423099059</v>
      </c>
      <c r="D633" s="1" t="s">
        <v>70</v>
      </c>
      <c r="E633" s="1" t="s">
        <v>45</v>
      </c>
      <c r="F633" s="1" t="s">
        <v>65</v>
      </c>
      <c r="G633" s="1" t="s">
        <v>1274</v>
      </c>
      <c r="H633" s="1">
        <v>2019.0</v>
      </c>
      <c r="I633" s="1" t="s">
        <v>12</v>
      </c>
      <c r="J633" s="1" t="s">
        <v>1272</v>
      </c>
      <c r="K633" s="1">
        <v>7.0</v>
      </c>
      <c r="L633" s="1" t="s">
        <v>1273</v>
      </c>
      <c r="M633" s="1">
        <v>6.0</v>
      </c>
    </row>
    <row r="634">
      <c r="A634" s="1">
        <v>754.0</v>
      </c>
      <c r="B634" s="1">
        <v>3.0</v>
      </c>
      <c r="C634" s="1">
        <v>0.76703991742409</v>
      </c>
      <c r="D634" s="1" t="s">
        <v>690</v>
      </c>
      <c r="E634" s="1" t="s">
        <v>58</v>
      </c>
      <c r="F634" s="1" t="s">
        <v>1274</v>
      </c>
      <c r="G634" s="1" t="s">
        <v>42</v>
      </c>
      <c r="H634" s="1">
        <v>2024.0</v>
      </c>
      <c r="I634" s="1" t="s">
        <v>630</v>
      </c>
      <c r="J634" s="1" t="s">
        <v>1272</v>
      </c>
      <c r="K634" s="1">
        <v>5.0</v>
      </c>
      <c r="L634" s="1" t="s">
        <v>1273</v>
      </c>
      <c r="M634" s="1">
        <v>-1.0</v>
      </c>
    </row>
    <row r="635">
      <c r="A635" s="1">
        <v>1040.0</v>
      </c>
      <c r="B635" s="1">
        <v>2.0</v>
      </c>
      <c r="C635" s="1">
        <v>0.766287258460738</v>
      </c>
      <c r="D635" s="1" t="s">
        <v>944</v>
      </c>
      <c r="E635" s="1" t="s">
        <v>111</v>
      </c>
      <c r="F635" s="1" t="s">
        <v>1274</v>
      </c>
      <c r="G635" s="1" t="s">
        <v>11</v>
      </c>
      <c r="H635" s="1">
        <v>2021.0</v>
      </c>
      <c r="I635" s="1" t="s">
        <v>861</v>
      </c>
      <c r="J635" s="1" t="s">
        <v>1272</v>
      </c>
      <c r="K635" s="1">
        <v>7.0</v>
      </c>
      <c r="L635" s="1" t="s">
        <v>1273</v>
      </c>
      <c r="M635" s="1">
        <v>-1.0</v>
      </c>
    </row>
    <row r="636">
      <c r="A636" s="1">
        <v>377.0</v>
      </c>
      <c r="B636" s="1">
        <v>2.0</v>
      </c>
      <c r="C636" s="1">
        <v>0.766250086630099</v>
      </c>
      <c r="D636" s="1" t="s">
        <v>267</v>
      </c>
      <c r="E636" s="1" t="s">
        <v>124</v>
      </c>
      <c r="F636" s="1" t="s">
        <v>18</v>
      </c>
      <c r="G636" s="1" t="s">
        <v>1274</v>
      </c>
      <c r="H636" s="1">
        <v>2024.0</v>
      </c>
      <c r="I636" s="1" t="s">
        <v>240</v>
      </c>
      <c r="J636" s="1" t="s">
        <v>1272</v>
      </c>
      <c r="K636" s="1">
        <v>7.0</v>
      </c>
      <c r="L636" s="1" t="s">
        <v>1273</v>
      </c>
      <c r="M636" s="1">
        <v>5.0</v>
      </c>
    </row>
    <row r="637">
      <c r="A637" s="1">
        <v>1046.0</v>
      </c>
      <c r="B637" s="1">
        <v>2.0</v>
      </c>
      <c r="C637" s="1">
        <v>0.765631205727707</v>
      </c>
      <c r="D637" s="1" t="s">
        <v>950</v>
      </c>
      <c r="E637" s="1" t="s">
        <v>124</v>
      </c>
      <c r="F637" s="1" t="s">
        <v>178</v>
      </c>
      <c r="G637" s="1" t="s">
        <v>1274</v>
      </c>
      <c r="H637" s="1">
        <v>2012.0</v>
      </c>
      <c r="I637" s="1" t="s">
        <v>861</v>
      </c>
      <c r="J637" s="1" t="s">
        <v>1272</v>
      </c>
      <c r="K637" s="1">
        <v>10.0</v>
      </c>
      <c r="L637" s="1" t="s">
        <v>1273</v>
      </c>
      <c r="M637" s="1">
        <v>0.0</v>
      </c>
    </row>
    <row r="638">
      <c r="A638" s="1">
        <v>979.0</v>
      </c>
      <c r="B638" s="1">
        <v>2.0</v>
      </c>
      <c r="C638" s="1">
        <v>0.765367014144009</v>
      </c>
      <c r="D638" s="1" t="s">
        <v>888</v>
      </c>
      <c r="E638" s="1" t="s">
        <v>17</v>
      </c>
      <c r="F638" s="1" t="s">
        <v>18</v>
      </c>
      <c r="G638" s="1" t="s">
        <v>1274</v>
      </c>
      <c r="H638" s="1" t="s">
        <v>1274</v>
      </c>
      <c r="I638" s="1" t="s">
        <v>861</v>
      </c>
      <c r="J638" s="1" t="s">
        <v>1272</v>
      </c>
      <c r="K638" s="1">
        <v>7.0</v>
      </c>
      <c r="L638" s="1" t="s">
        <v>1273</v>
      </c>
      <c r="M638" s="1">
        <v>0.0</v>
      </c>
    </row>
    <row r="639">
      <c r="A639" s="1">
        <v>1028.0</v>
      </c>
      <c r="B639" s="1">
        <v>2.0</v>
      </c>
      <c r="C639" s="1">
        <v>0.764113378471701</v>
      </c>
      <c r="D639" s="1" t="s">
        <v>933</v>
      </c>
      <c r="E639" s="1" t="s">
        <v>124</v>
      </c>
      <c r="F639" s="1" t="s">
        <v>178</v>
      </c>
      <c r="G639" s="1" t="s">
        <v>1274</v>
      </c>
      <c r="H639" s="1">
        <v>2012.0</v>
      </c>
      <c r="I639" s="1" t="s">
        <v>861</v>
      </c>
      <c r="J639" s="1" t="s">
        <v>1272</v>
      </c>
      <c r="K639" s="1">
        <v>5.0</v>
      </c>
      <c r="L639" s="1" t="s">
        <v>1273</v>
      </c>
      <c r="M639" s="1">
        <v>7.0</v>
      </c>
    </row>
    <row r="640">
      <c r="A640" s="1">
        <v>94.0</v>
      </c>
      <c r="B640" s="1">
        <v>2.0</v>
      </c>
      <c r="C640" s="1">
        <v>0.763963629066764</v>
      </c>
      <c r="D640" s="1" t="s">
        <v>115</v>
      </c>
      <c r="E640" s="1" t="s">
        <v>111</v>
      </c>
      <c r="F640" s="1" t="s">
        <v>1274</v>
      </c>
      <c r="G640" s="1" t="s">
        <v>11</v>
      </c>
      <c r="H640" s="1">
        <v>2021.0</v>
      </c>
      <c r="I640" s="1" t="s">
        <v>12</v>
      </c>
      <c r="J640" s="1" t="s">
        <v>1272</v>
      </c>
      <c r="K640" s="1">
        <v>10.0</v>
      </c>
      <c r="L640" s="1" t="s">
        <v>1273</v>
      </c>
      <c r="M640" s="1">
        <v>17.0</v>
      </c>
    </row>
    <row r="641">
      <c r="A641" s="1">
        <v>1026.0</v>
      </c>
      <c r="B641" s="1">
        <v>9.0</v>
      </c>
      <c r="C641" s="1">
        <v>0.76318774636401</v>
      </c>
      <c r="D641" s="1" t="s">
        <v>931</v>
      </c>
      <c r="E641" s="1" t="s">
        <v>124</v>
      </c>
      <c r="F641" s="1" t="s">
        <v>178</v>
      </c>
      <c r="G641" s="1" t="s">
        <v>1274</v>
      </c>
      <c r="H641" s="1">
        <v>2012.0</v>
      </c>
      <c r="I641" s="1" t="s">
        <v>861</v>
      </c>
      <c r="J641" s="1" t="s">
        <v>1272</v>
      </c>
      <c r="K641" s="1">
        <v>10.0</v>
      </c>
      <c r="L641" s="1" t="s">
        <v>1273</v>
      </c>
      <c r="M641" s="1">
        <v>10.0</v>
      </c>
    </row>
    <row r="642">
      <c r="A642" s="1">
        <v>168.0</v>
      </c>
      <c r="B642" s="1">
        <v>3.0</v>
      </c>
      <c r="C642" s="1">
        <v>0.762946317274308</v>
      </c>
      <c r="D642" s="1" t="s">
        <v>183</v>
      </c>
      <c r="E642" s="1" t="s">
        <v>24</v>
      </c>
      <c r="F642" s="1" t="s">
        <v>18</v>
      </c>
      <c r="G642" s="1" t="s">
        <v>42</v>
      </c>
      <c r="H642" s="1">
        <v>2020.0</v>
      </c>
      <c r="I642" s="1" t="s">
        <v>12</v>
      </c>
      <c r="J642" s="1" t="s">
        <v>1272</v>
      </c>
      <c r="K642" s="1">
        <v>5.0</v>
      </c>
      <c r="L642" s="1" t="s">
        <v>1273</v>
      </c>
      <c r="M642" s="1">
        <v>1.0</v>
      </c>
    </row>
    <row r="643">
      <c r="A643" s="1">
        <v>663.0</v>
      </c>
      <c r="B643" s="1">
        <v>2.0</v>
      </c>
      <c r="C643" s="1">
        <v>0.762841337154318</v>
      </c>
      <c r="D643" s="1" t="s">
        <v>603</v>
      </c>
      <c r="E643" s="1" t="s">
        <v>173</v>
      </c>
      <c r="F643" s="1" t="s">
        <v>18</v>
      </c>
      <c r="G643" s="1" t="s">
        <v>42</v>
      </c>
      <c r="H643" s="1">
        <v>2021.0</v>
      </c>
      <c r="I643" s="1" t="s">
        <v>240</v>
      </c>
      <c r="J643" s="1" t="s">
        <v>1272</v>
      </c>
      <c r="K643" s="1">
        <v>10.0</v>
      </c>
      <c r="L643" s="1" t="s">
        <v>1273</v>
      </c>
      <c r="M643" s="1">
        <v>-1.0</v>
      </c>
    </row>
    <row r="644">
      <c r="A644" s="1">
        <v>68.0</v>
      </c>
      <c r="B644" s="1">
        <v>2.0</v>
      </c>
      <c r="C644" s="1">
        <v>0.762728508810071</v>
      </c>
      <c r="D644" s="1" t="s">
        <v>91</v>
      </c>
      <c r="E644" s="1" t="s">
        <v>45</v>
      </c>
      <c r="F644" s="1" t="s">
        <v>18</v>
      </c>
      <c r="G644" s="1" t="s">
        <v>1274</v>
      </c>
      <c r="H644" s="1">
        <v>2019.0</v>
      </c>
      <c r="I644" s="1" t="s">
        <v>12</v>
      </c>
      <c r="J644" s="1" t="s">
        <v>1272</v>
      </c>
      <c r="K644" s="1">
        <v>10.0</v>
      </c>
      <c r="L644" s="1" t="s">
        <v>1273</v>
      </c>
      <c r="M644" s="1">
        <v>-1.0</v>
      </c>
    </row>
    <row r="645">
      <c r="A645" s="1">
        <v>796.0</v>
      </c>
      <c r="B645" s="1">
        <v>3.0</v>
      </c>
      <c r="C645" s="1">
        <v>0.762393098496459</v>
      </c>
      <c r="D645" s="1" t="s">
        <v>732</v>
      </c>
      <c r="E645" s="1" t="s">
        <v>173</v>
      </c>
      <c r="F645" s="1" t="s">
        <v>18</v>
      </c>
      <c r="G645" s="1" t="s">
        <v>42</v>
      </c>
      <c r="H645" s="1">
        <v>2022.0</v>
      </c>
      <c r="I645" s="1" t="s">
        <v>630</v>
      </c>
      <c r="J645" s="1" t="s">
        <v>1272</v>
      </c>
      <c r="K645" s="1">
        <v>7.0</v>
      </c>
      <c r="L645" s="1" t="s">
        <v>1273</v>
      </c>
      <c r="M645" s="1">
        <v>-1.0</v>
      </c>
    </row>
    <row r="646">
      <c r="A646" s="1">
        <v>826.0</v>
      </c>
      <c r="B646" s="1">
        <v>3.0</v>
      </c>
      <c r="C646" s="1">
        <v>0.761497194923088</v>
      </c>
      <c r="D646" s="1" t="s">
        <v>762</v>
      </c>
      <c r="E646" s="1" t="s">
        <v>107</v>
      </c>
      <c r="F646" s="1" t="s">
        <v>18</v>
      </c>
      <c r="G646" s="1" t="s">
        <v>1274</v>
      </c>
      <c r="H646" s="1">
        <v>2024.0</v>
      </c>
      <c r="I646" s="1" t="s">
        <v>630</v>
      </c>
      <c r="J646" s="1" t="s">
        <v>1272</v>
      </c>
      <c r="K646" s="1">
        <v>5.0</v>
      </c>
      <c r="L646" s="1" t="s">
        <v>1273</v>
      </c>
      <c r="M646" s="1">
        <v>1.0</v>
      </c>
    </row>
    <row r="647">
      <c r="A647" s="1">
        <v>400.0</v>
      </c>
      <c r="B647" s="1">
        <v>2.0</v>
      </c>
      <c r="C647" s="1">
        <v>0.759831280950362</v>
      </c>
      <c r="D647" s="1" t="s">
        <v>377</v>
      </c>
      <c r="E647" s="1" t="s">
        <v>17</v>
      </c>
      <c r="F647" s="1" t="s">
        <v>18</v>
      </c>
      <c r="G647" s="1">
        <v>8.0</v>
      </c>
      <c r="H647" s="1">
        <v>2024.0</v>
      </c>
      <c r="I647" s="1" t="s">
        <v>240</v>
      </c>
      <c r="J647" s="1" t="s">
        <v>1272</v>
      </c>
      <c r="K647" s="1">
        <v>7.0</v>
      </c>
      <c r="L647" s="1" t="s">
        <v>1273</v>
      </c>
      <c r="M647" s="1">
        <v>5.0</v>
      </c>
    </row>
    <row r="648">
      <c r="A648" s="1">
        <v>1073.0</v>
      </c>
      <c r="B648" s="1">
        <v>1.0</v>
      </c>
      <c r="C648" s="1">
        <v>0.759635291180232</v>
      </c>
      <c r="D648" s="1" t="s">
        <v>977</v>
      </c>
      <c r="E648" s="1" t="s">
        <v>111</v>
      </c>
      <c r="F648" s="1" t="s">
        <v>1274</v>
      </c>
      <c r="G648" s="1" t="s">
        <v>11</v>
      </c>
      <c r="H648" s="1">
        <v>2022.0</v>
      </c>
      <c r="I648" s="1" t="s">
        <v>861</v>
      </c>
      <c r="J648" s="1" t="s">
        <v>1272</v>
      </c>
      <c r="K648" s="1">
        <v>5.0</v>
      </c>
      <c r="L648" s="1" t="s">
        <v>1273</v>
      </c>
      <c r="M648" s="1">
        <v>-1.0</v>
      </c>
    </row>
    <row r="649">
      <c r="A649" s="1">
        <v>1048.0</v>
      </c>
      <c r="B649" s="1">
        <v>2.0</v>
      </c>
      <c r="C649" s="1">
        <v>0.758383643066413</v>
      </c>
      <c r="D649" s="1" t="s">
        <v>952</v>
      </c>
      <c r="E649" s="1" t="s">
        <v>20</v>
      </c>
      <c r="F649" s="1" t="s">
        <v>97</v>
      </c>
      <c r="G649" s="1" t="s">
        <v>11</v>
      </c>
      <c r="H649" s="1">
        <v>2020.0</v>
      </c>
      <c r="I649" s="1" t="s">
        <v>861</v>
      </c>
      <c r="J649" s="1" t="s">
        <v>1272</v>
      </c>
      <c r="K649" s="1">
        <v>7.0</v>
      </c>
      <c r="L649" s="1" t="s">
        <v>1273</v>
      </c>
      <c r="M649" s="1">
        <v>0.0</v>
      </c>
    </row>
    <row r="650">
      <c r="A650" s="1">
        <v>713.0</v>
      </c>
      <c r="B650" s="1">
        <v>3.0</v>
      </c>
      <c r="C650" s="1">
        <v>0.756277632321031</v>
      </c>
      <c r="D650" s="1" t="s">
        <v>651</v>
      </c>
      <c r="E650" s="1" t="s">
        <v>10</v>
      </c>
      <c r="F650" s="1" t="s">
        <v>18</v>
      </c>
      <c r="G650" s="1" t="s">
        <v>42</v>
      </c>
      <c r="H650" s="1">
        <v>2014.0</v>
      </c>
      <c r="I650" s="1" t="s">
        <v>630</v>
      </c>
      <c r="J650" s="1" t="s">
        <v>1272</v>
      </c>
      <c r="K650" s="1">
        <v>7.0</v>
      </c>
      <c r="L650" s="1" t="s">
        <v>1273</v>
      </c>
      <c r="M650" s="1">
        <v>-1.0</v>
      </c>
    </row>
    <row r="651">
      <c r="A651" s="1">
        <v>1035.0</v>
      </c>
      <c r="B651" s="1">
        <v>7.0</v>
      </c>
      <c r="C651" s="1">
        <v>0.755559627138191</v>
      </c>
      <c r="D651" s="1" t="s">
        <v>940</v>
      </c>
      <c r="E651" s="1" t="s">
        <v>124</v>
      </c>
      <c r="F651" s="1" t="s">
        <v>178</v>
      </c>
      <c r="G651" s="1" t="s">
        <v>1274</v>
      </c>
      <c r="H651" s="1">
        <v>2012.0</v>
      </c>
      <c r="I651" s="1" t="s">
        <v>861</v>
      </c>
      <c r="J651" s="1" t="s">
        <v>1272</v>
      </c>
      <c r="K651" s="1">
        <v>10.0</v>
      </c>
      <c r="L651" s="1" t="s">
        <v>1273</v>
      </c>
      <c r="M651" s="1">
        <v>10.0</v>
      </c>
    </row>
    <row r="652">
      <c r="A652" s="1">
        <v>961.0</v>
      </c>
      <c r="B652" s="1">
        <v>2.0</v>
      </c>
      <c r="C652" s="1">
        <v>0.75461316857267</v>
      </c>
      <c r="D652" s="1" t="s">
        <v>877</v>
      </c>
      <c r="E652" s="1" t="s">
        <v>17</v>
      </c>
      <c r="F652" s="1" t="s">
        <v>18</v>
      </c>
      <c r="G652" s="1">
        <v>11.0</v>
      </c>
      <c r="H652" s="1">
        <v>2023.0</v>
      </c>
      <c r="I652" s="1" t="s">
        <v>861</v>
      </c>
      <c r="J652" s="1" t="s">
        <v>1272</v>
      </c>
      <c r="K652" s="1">
        <v>7.0</v>
      </c>
      <c r="L652" s="1" t="s">
        <v>1273</v>
      </c>
      <c r="M652" s="1">
        <v>0.0</v>
      </c>
    </row>
    <row r="653">
      <c r="A653" s="1">
        <v>1069.0</v>
      </c>
      <c r="B653" s="1">
        <v>2.0</v>
      </c>
      <c r="C653" s="1">
        <v>0.75340025394426</v>
      </c>
      <c r="D653" s="1" t="s">
        <v>973</v>
      </c>
      <c r="E653" s="1" t="s">
        <v>24</v>
      </c>
      <c r="F653" s="1" t="s">
        <v>197</v>
      </c>
      <c r="G653" s="1" t="s">
        <v>609</v>
      </c>
      <c r="H653" s="1">
        <v>2015.0</v>
      </c>
      <c r="I653" s="1" t="s">
        <v>861</v>
      </c>
      <c r="J653" s="1" t="s">
        <v>1272</v>
      </c>
      <c r="K653" s="1">
        <v>7.0</v>
      </c>
      <c r="L653" s="1" t="s">
        <v>1273</v>
      </c>
      <c r="M653" s="1">
        <v>7.0</v>
      </c>
    </row>
    <row r="654">
      <c r="A654" s="1">
        <v>1049.0</v>
      </c>
      <c r="B654" s="1">
        <v>2.0</v>
      </c>
      <c r="C654" s="1">
        <v>0.753011033282665</v>
      </c>
      <c r="D654" s="1" t="s">
        <v>953</v>
      </c>
      <c r="E654" s="1" t="s">
        <v>20</v>
      </c>
      <c r="F654" s="1" t="s">
        <v>97</v>
      </c>
      <c r="G654" s="1" t="s">
        <v>11</v>
      </c>
      <c r="H654" s="1">
        <v>2020.0</v>
      </c>
      <c r="I654" s="1" t="s">
        <v>861</v>
      </c>
      <c r="J654" s="1" t="s">
        <v>1272</v>
      </c>
      <c r="K654" s="1">
        <v>7.0</v>
      </c>
      <c r="L654" s="1" t="s">
        <v>1273</v>
      </c>
      <c r="M654" s="1">
        <v>0.0</v>
      </c>
    </row>
    <row r="655">
      <c r="A655" s="1">
        <v>673.0</v>
      </c>
      <c r="B655" s="1">
        <v>2.0</v>
      </c>
      <c r="C655" s="1">
        <v>0.751981757883092</v>
      </c>
      <c r="D655" s="1" t="s">
        <v>614</v>
      </c>
      <c r="E655" s="1" t="s">
        <v>41</v>
      </c>
      <c r="F655" s="1" t="s">
        <v>18</v>
      </c>
      <c r="G655" s="1" t="s">
        <v>42</v>
      </c>
      <c r="H655" s="1">
        <v>2024.0</v>
      </c>
      <c r="I655" s="1" t="s">
        <v>240</v>
      </c>
      <c r="J655" s="1" t="s">
        <v>1272</v>
      </c>
      <c r="K655" s="1">
        <v>5.0</v>
      </c>
      <c r="L655" s="1" t="s">
        <v>1273</v>
      </c>
      <c r="M655" s="1">
        <v>-1.0</v>
      </c>
    </row>
    <row r="656">
      <c r="A656" s="1">
        <v>548.0</v>
      </c>
      <c r="B656" s="1">
        <v>2.0</v>
      </c>
      <c r="C656" s="1">
        <v>0.751666669166988</v>
      </c>
      <c r="D656" s="1" t="s">
        <v>498</v>
      </c>
      <c r="E656" s="1" t="s">
        <v>124</v>
      </c>
      <c r="F656" s="1" t="s">
        <v>178</v>
      </c>
      <c r="G656" s="1" t="s">
        <v>26</v>
      </c>
      <c r="H656" s="1">
        <v>2015.0</v>
      </c>
      <c r="I656" s="1" t="s">
        <v>240</v>
      </c>
      <c r="J656" s="1" t="s">
        <v>1272</v>
      </c>
      <c r="K656" s="1">
        <v>10.0</v>
      </c>
      <c r="L656" s="1" t="s">
        <v>1273</v>
      </c>
      <c r="M656" s="1">
        <v>0.0</v>
      </c>
    </row>
    <row r="657">
      <c r="A657" s="1">
        <v>610.0</v>
      </c>
      <c r="B657" s="1">
        <v>2.0</v>
      </c>
      <c r="C657" s="1">
        <v>0.751244869430996</v>
      </c>
      <c r="D657" s="1" t="s">
        <v>562</v>
      </c>
      <c r="E657" s="1" t="s">
        <v>102</v>
      </c>
      <c r="F657" s="1" t="s">
        <v>1274</v>
      </c>
      <c r="G657" s="1" t="s">
        <v>11</v>
      </c>
      <c r="H657" s="1">
        <v>2010.0</v>
      </c>
      <c r="I657" s="1" t="s">
        <v>240</v>
      </c>
      <c r="J657" s="1" t="s">
        <v>1272</v>
      </c>
      <c r="K657" s="1">
        <v>5.0</v>
      </c>
      <c r="L657" s="1" t="s">
        <v>1273</v>
      </c>
      <c r="M657" s="1">
        <v>-1.0</v>
      </c>
    </row>
    <row r="658">
      <c r="A658" s="1">
        <v>115.0</v>
      </c>
      <c r="B658" s="1">
        <v>2.0</v>
      </c>
      <c r="C658" s="1">
        <v>0.75089952130572</v>
      </c>
      <c r="D658" s="1" t="s">
        <v>137</v>
      </c>
      <c r="E658" s="1" t="s">
        <v>50</v>
      </c>
      <c r="F658" s="1" t="s">
        <v>1274</v>
      </c>
      <c r="G658" s="2">
        <v>46213.0</v>
      </c>
      <c r="H658" s="1">
        <v>2002.0</v>
      </c>
      <c r="I658" s="1" t="s">
        <v>12</v>
      </c>
      <c r="J658" s="1" t="s">
        <v>1272</v>
      </c>
      <c r="K658" s="1">
        <v>5.0</v>
      </c>
      <c r="L658" s="1" t="s">
        <v>1273</v>
      </c>
      <c r="M658" s="1">
        <v>0.0</v>
      </c>
    </row>
    <row r="659">
      <c r="A659" s="1">
        <v>711.0</v>
      </c>
      <c r="B659" s="1">
        <v>3.0</v>
      </c>
      <c r="C659" s="1">
        <v>0.750452404946889</v>
      </c>
      <c r="D659" s="1" t="s">
        <v>649</v>
      </c>
      <c r="E659" s="1" t="s">
        <v>102</v>
      </c>
      <c r="F659" s="1" t="s">
        <v>18</v>
      </c>
      <c r="G659" s="1" t="s">
        <v>42</v>
      </c>
      <c r="H659" s="1">
        <v>2009.0</v>
      </c>
      <c r="I659" s="1" t="s">
        <v>630</v>
      </c>
      <c r="J659" s="1" t="s">
        <v>1272</v>
      </c>
      <c r="K659" s="1">
        <v>5.0</v>
      </c>
      <c r="L659" s="1" t="s">
        <v>1273</v>
      </c>
      <c r="M659" s="1">
        <v>-1.0</v>
      </c>
    </row>
    <row r="660">
      <c r="A660" s="1">
        <v>107.0</v>
      </c>
      <c r="B660" s="1">
        <v>2.0</v>
      </c>
      <c r="C660" s="1">
        <v>0.750190997206361</v>
      </c>
      <c r="D660" s="1" t="s">
        <v>129</v>
      </c>
      <c r="E660" s="1" t="s">
        <v>50</v>
      </c>
      <c r="F660" s="1" t="s">
        <v>1274</v>
      </c>
      <c r="G660" s="2">
        <v>46213.0</v>
      </c>
      <c r="H660" s="1">
        <v>2002.0</v>
      </c>
      <c r="I660" s="1" t="s">
        <v>12</v>
      </c>
      <c r="J660" s="1" t="s">
        <v>1272</v>
      </c>
      <c r="K660" s="1">
        <v>7.0</v>
      </c>
      <c r="L660" s="1" t="s">
        <v>1273</v>
      </c>
      <c r="M660" s="1">
        <v>-1.0</v>
      </c>
    </row>
    <row r="661">
      <c r="A661" s="1">
        <v>553.0</v>
      </c>
      <c r="B661" s="1">
        <v>2.0</v>
      </c>
      <c r="C661" s="1">
        <v>0.750182156148545</v>
      </c>
      <c r="D661" s="1" t="s">
        <v>505</v>
      </c>
      <c r="E661" s="1" t="s">
        <v>107</v>
      </c>
      <c r="F661" s="1" t="s">
        <v>18</v>
      </c>
      <c r="G661" s="1" t="s">
        <v>1274</v>
      </c>
      <c r="H661" s="1">
        <v>2022.0</v>
      </c>
      <c r="I661" s="1" t="s">
        <v>240</v>
      </c>
      <c r="J661" s="1" t="s">
        <v>1272</v>
      </c>
      <c r="K661" s="1">
        <v>10.0</v>
      </c>
      <c r="L661" s="1" t="s">
        <v>1273</v>
      </c>
      <c r="M661" s="1">
        <v>-1.0</v>
      </c>
    </row>
    <row r="662">
      <c r="A662" s="1">
        <v>614.0</v>
      </c>
      <c r="B662" s="1">
        <v>4.0</v>
      </c>
      <c r="C662" s="1">
        <v>0.749886281451867</v>
      </c>
      <c r="D662" s="1" t="s">
        <v>566</v>
      </c>
      <c r="E662" s="1" t="s">
        <v>10</v>
      </c>
      <c r="F662" s="1" t="s">
        <v>118</v>
      </c>
      <c r="G662" s="1" t="s">
        <v>1274</v>
      </c>
      <c r="H662" s="1">
        <v>2011.0</v>
      </c>
      <c r="I662" s="1" t="s">
        <v>240</v>
      </c>
      <c r="J662" s="1" t="s">
        <v>1272</v>
      </c>
      <c r="K662" s="1">
        <v>7.0</v>
      </c>
      <c r="L662" s="1" t="s">
        <v>1273</v>
      </c>
      <c r="M662" s="1">
        <v>0.0</v>
      </c>
    </row>
    <row r="663">
      <c r="A663" s="1">
        <v>725.0</v>
      </c>
      <c r="B663" s="1">
        <v>3.0</v>
      </c>
      <c r="C663" s="1">
        <v>0.748516738774289</v>
      </c>
      <c r="D663" s="1" t="s">
        <v>663</v>
      </c>
      <c r="E663" s="1" t="s">
        <v>10</v>
      </c>
      <c r="F663" s="1" t="s">
        <v>18</v>
      </c>
      <c r="G663" s="1" t="s">
        <v>42</v>
      </c>
      <c r="H663" s="1">
        <v>2014.0</v>
      </c>
      <c r="I663" s="1" t="s">
        <v>630</v>
      </c>
      <c r="J663" s="1" t="s">
        <v>1272</v>
      </c>
      <c r="K663" s="1">
        <v>5.0</v>
      </c>
      <c r="L663" s="1" t="s">
        <v>1273</v>
      </c>
      <c r="M663" s="1">
        <v>11.0</v>
      </c>
    </row>
    <row r="664">
      <c r="A664" s="1">
        <v>912.0</v>
      </c>
      <c r="B664" s="1">
        <v>3.0</v>
      </c>
      <c r="C664" s="1">
        <v>0.748067962006696</v>
      </c>
      <c r="D664" s="1" t="s">
        <v>846</v>
      </c>
      <c r="E664" s="1" t="s">
        <v>173</v>
      </c>
      <c r="F664" s="1" t="s">
        <v>1274</v>
      </c>
      <c r="G664" s="1" t="s">
        <v>609</v>
      </c>
      <c r="H664" s="1">
        <v>2015.0</v>
      </c>
      <c r="I664" s="1" t="s">
        <v>630</v>
      </c>
      <c r="J664" s="1" t="s">
        <v>1272</v>
      </c>
      <c r="K664" s="1">
        <v>7.0</v>
      </c>
      <c r="L664" s="1" t="s">
        <v>1273</v>
      </c>
      <c r="M664" s="1">
        <v>1.0</v>
      </c>
    </row>
    <row r="665">
      <c r="A665" s="1">
        <v>137.0</v>
      </c>
      <c r="B665" s="1">
        <v>2.0</v>
      </c>
      <c r="C665" s="1">
        <v>0.747795750733569</v>
      </c>
      <c r="D665" s="1" t="s">
        <v>154</v>
      </c>
      <c r="E665" s="1" t="s">
        <v>111</v>
      </c>
      <c r="F665" s="1" t="s">
        <v>1274</v>
      </c>
      <c r="G665" s="1" t="s">
        <v>42</v>
      </c>
      <c r="H665" s="1">
        <v>1983.0</v>
      </c>
      <c r="I665" s="1" t="s">
        <v>12</v>
      </c>
      <c r="J665" s="1" t="s">
        <v>1272</v>
      </c>
      <c r="K665" s="1">
        <v>7.0</v>
      </c>
      <c r="L665" s="1" t="s">
        <v>1273</v>
      </c>
      <c r="M665" s="1">
        <v>-1.0</v>
      </c>
    </row>
    <row r="666">
      <c r="A666" s="1">
        <v>1056.0</v>
      </c>
      <c r="B666" s="1">
        <v>2.0</v>
      </c>
      <c r="C666" s="1">
        <v>0.747559043618941</v>
      </c>
      <c r="D666" s="1" t="s">
        <v>960</v>
      </c>
      <c r="E666" s="1" t="s">
        <v>24</v>
      </c>
      <c r="F666" s="1" t="s">
        <v>197</v>
      </c>
      <c r="G666" s="1" t="s">
        <v>609</v>
      </c>
      <c r="H666" s="1">
        <v>2022.0</v>
      </c>
      <c r="I666" s="1" t="s">
        <v>861</v>
      </c>
      <c r="J666" s="1" t="s">
        <v>1272</v>
      </c>
      <c r="K666" s="1">
        <v>7.0</v>
      </c>
      <c r="L666" s="1" t="s">
        <v>1273</v>
      </c>
      <c r="M666" s="1">
        <v>-1.0</v>
      </c>
    </row>
    <row r="667">
      <c r="A667" s="1">
        <v>930.0</v>
      </c>
      <c r="B667" s="1">
        <v>3.0</v>
      </c>
      <c r="C667" s="1">
        <v>0.74745544773163</v>
      </c>
      <c r="D667" s="1" t="s">
        <v>800</v>
      </c>
      <c r="E667" s="1" t="s">
        <v>47</v>
      </c>
      <c r="F667" s="1" t="s">
        <v>197</v>
      </c>
      <c r="G667" s="1" t="s">
        <v>42</v>
      </c>
      <c r="H667" s="1">
        <v>2016.0</v>
      </c>
      <c r="I667" s="1" t="s">
        <v>630</v>
      </c>
      <c r="J667" s="1" t="s">
        <v>1272</v>
      </c>
      <c r="K667" s="1">
        <v>7.0</v>
      </c>
      <c r="L667" s="1" t="s">
        <v>1273</v>
      </c>
      <c r="M667" s="1">
        <v>-1.0</v>
      </c>
    </row>
    <row r="668">
      <c r="A668" s="1">
        <v>615.0</v>
      </c>
      <c r="B668" s="1">
        <v>2.0</v>
      </c>
      <c r="C668" s="1">
        <v>0.747236993102102</v>
      </c>
      <c r="D668" s="1" t="s">
        <v>567</v>
      </c>
      <c r="E668" s="1" t="s">
        <v>10</v>
      </c>
      <c r="F668" s="1" t="s">
        <v>118</v>
      </c>
      <c r="G668" s="1" t="s">
        <v>1274</v>
      </c>
      <c r="H668" s="1">
        <v>2011.0</v>
      </c>
      <c r="I668" s="1" t="s">
        <v>240</v>
      </c>
      <c r="J668" s="1" t="s">
        <v>1272</v>
      </c>
      <c r="K668" s="1">
        <v>5.0</v>
      </c>
      <c r="L668" s="1" t="s">
        <v>1273</v>
      </c>
      <c r="M668" s="1">
        <v>5.0</v>
      </c>
    </row>
    <row r="669">
      <c r="A669" s="1">
        <v>1052.0</v>
      </c>
      <c r="B669" s="1">
        <v>2.0</v>
      </c>
      <c r="C669" s="1">
        <v>0.746342199445018</v>
      </c>
      <c r="D669" s="1" t="s">
        <v>956</v>
      </c>
      <c r="E669" s="1" t="s">
        <v>20</v>
      </c>
      <c r="F669" s="1" t="s">
        <v>97</v>
      </c>
      <c r="G669" s="1" t="s">
        <v>11</v>
      </c>
      <c r="H669" s="1">
        <v>2020.0</v>
      </c>
      <c r="I669" s="1" t="s">
        <v>861</v>
      </c>
      <c r="J669" s="1" t="s">
        <v>1272</v>
      </c>
      <c r="K669" s="1">
        <v>5.0</v>
      </c>
      <c r="L669" s="1" t="s">
        <v>1273</v>
      </c>
      <c r="M669" s="1">
        <v>0.0</v>
      </c>
    </row>
    <row r="670">
      <c r="A670" s="1">
        <v>412.0</v>
      </c>
      <c r="B670" s="1">
        <v>2.0</v>
      </c>
      <c r="C670" s="1">
        <v>0.74612524855348</v>
      </c>
      <c r="D670" s="1" t="s">
        <v>388</v>
      </c>
      <c r="E670" s="1" t="s">
        <v>24</v>
      </c>
      <c r="F670" s="1" t="s">
        <v>18</v>
      </c>
      <c r="G670" s="1" t="s">
        <v>42</v>
      </c>
      <c r="H670" s="1">
        <v>2024.0</v>
      </c>
      <c r="I670" s="1" t="s">
        <v>240</v>
      </c>
      <c r="J670" s="1" t="s">
        <v>1272</v>
      </c>
      <c r="K670" s="1">
        <v>10.0</v>
      </c>
      <c r="L670" s="1" t="s">
        <v>1273</v>
      </c>
      <c r="M670" s="1">
        <v>4.0</v>
      </c>
    </row>
    <row r="671">
      <c r="A671" s="1">
        <v>680.0</v>
      </c>
      <c r="B671" s="1">
        <v>2.0</v>
      </c>
      <c r="C671" s="1">
        <v>0.745331407158961</v>
      </c>
      <c r="D671" s="1" t="s">
        <v>619</v>
      </c>
      <c r="E671" s="1" t="s">
        <v>111</v>
      </c>
      <c r="F671" s="1" t="s">
        <v>1274</v>
      </c>
      <c r="G671" s="1" t="s">
        <v>11</v>
      </c>
      <c r="H671" s="1">
        <v>2014.0</v>
      </c>
      <c r="I671" s="1" t="s">
        <v>240</v>
      </c>
      <c r="J671" s="1" t="s">
        <v>1272</v>
      </c>
      <c r="K671" s="1">
        <v>10.0</v>
      </c>
      <c r="L671" s="1" t="s">
        <v>1273</v>
      </c>
      <c r="M671" s="1">
        <v>4.0</v>
      </c>
    </row>
    <row r="672">
      <c r="A672" s="1">
        <v>1042.0</v>
      </c>
      <c r="B672" s="1">
        <v>2.0</v>
      </c>
      <c r="C672" s="1">
        <v>0.744967407037405</v>
      </c>
      <c r="D672" s="1" t="s">
        <v>946</v>
      </c>
      <c r="E672" s="1" t="s">
        <v>111</v>
      </c>
      <c r="F672" s="1" t="s">
        <v>1274</v>
      </c>
      <c r="G672" s="1" t="s">
        <v>11</v>
      </c>
      <c r="H672" s="1">
        <v>2021.0</v>
      </c>
      <c r="I672" s="1" t="s">
        <v>861</v>
      </c>
      <c r="J672" s="1" t="s">
        <v>1272</v>
      </c>
      <c r="K672" s="1">
        <v>7.0</v>
      </c>
      <c r="L672" s="1" t="s">
        <v>1273</v>
      </c>
      <c r="M672" s="1">
        <v>6.0</v>
      </c>
    </row>
    <row r="673">
      <c r="A673" s="1">
        <v>312.0</v>
      </c>
      <c r="B673" s="1">
        <v>2.0</v>
      </c>
      <c r="C673" s="1">
        <v>0.744776963213684</v>
      </c>
      <c r="D673" s="1" t="s">
        <v>300</v>
      </c>
      <c r="E673" s="1" t="s">
        <v>24</v>
      </c>
      <c r="F673" s="1" t="s">
        <v>18</v>
      </c>
      <c r="G673" s="1" t="s">
        <v>42</v>
      </c>
      <c r="H673" s="1">
        <v>2024.0</v>
      </c>
      <c r="I673" s="1" t="s">
        <v>240</v>
      </c>
      <c r="J673" s="1" t="s">
        <v>1272</v>
      </c>
      <c r="K673" s="1">
        <v>10.0</v>
      </c>
      <c r="L673" s="1" t="s">
        <v>1273</v>
      </c>
      <c r="M673" s="1">
        <v>-1.0</v>
      </c>
    </row>
    <row r="674">
      <c r="A674" s="1">
        <v>520.0</v>
      </c>
      <c r="B674" s="1">
        <v>2.0</v>
      </c>
      <c r="C674" s="1">
        <v>0.744771299308389</v>
      </c>
      <c r="D674" s="1" t="s">
        <v>481</v>
      </c>
      <c r="E674" s="1" t="s">
        <v>20</v>
      </c>
      <c r="F674" s="1" t="s">
        <v>18</v>
      </c>
      <c r="G674" s="1" t="s">
        <v>42</v>
      </c>
      <c r="H674" s="1">
        <v>2022.0</v>
      </c>
      <c r="I674" s="1" t="s">
        <v>240</v>
      </c>
      <c r="J674" s="1" t="s">
        <v>1272</v>
      </c>
      <c r="K674" s="1">
        <v>5.0</v>
      </c>
      <c r="L674" s="1" t="s">
        <v>1273</v>
      </c>
      <c r="M674" s="1">
        <v>2.0</v>
      </c>
    </row>
    <row r="675">
      <c r="A675" s="1">
        <v>781.0</v>
      </c>
      <c r="B675" s="1">
        <v>3.0</v>
      </c>
      <c r="C675" s="1">
        <v>0.744574399860034</v>
      </c>
      <c r="D675" s="1" t="s">
        <v>717</v>
      </c>
      <c r="E675" s="1" t="s">
        <v>1274</v>
      </c>
      <c r="F675" s="1" t="s">
        <v>1274</v>
      </c>
      <c r="G675" s="1" t="s">
        <v>1274</v>
      </c>
      <c r="H675" s="1">
        <v>2006.0</v>
      </c>
      <c r="I675" s="1" t="s">
        <v>630</v>
      </c>
      <c r="J675" s="1" t="s">
        <v>1272</v>
      </c>
      <c r="K675" s="1">
        <v>7.0</v>
      </c>
      <c r="L675" s="1" t="s">
        <v>1273</v>
      </c>
      <c r="M675" s="1">
        <v>1.0</v>
      </c>
    </row>
    <row r="676">
      <c r="A676" s="1">
        <v>1092.0</v>
      </c>
      <c r="B676" s="1">
        <v>2.0</v>
      </c>
      <c r="C676" s="1">
        <v>0.744556227679735</v>
      </c>
      <c r="D676" s="1" t="s">
        <v>992</v>
      </c>
      <c r="E676" s="1" t="s">
        <v>124</v>
      </c>
      <c r="F676" s="1" t="s">
        <v>178</v>
      </c>
      <c r="G676" s="1" t="s">
        <v>1274</v>
      </c>
      <c r="H676" s="1">
        <v>2013.0</v>
      </c>
      <c r="I676" s="1" t="s">
        <v>861</v>
      </c>
      <c r="J676" s="1" t="s">
        <v>1272</v>
      </c>
      <c r="K676" s="1">
        <v>5.0</v>
      </c>
      <c r="L676" s="1" t="s">
        <v>1273</v>
      </c>
      <c r="M676" s="1">
        <v>0.0</v>
      </c>
    </row>
    <row r="677">
      <c r="A677" s="1">
        <v>990.0</v>
      </c>
      <c r="B677" s="1">
        <v>2.0</v>
      </c>
      <c r="C677" s="1">
        <v>0.744159243858691</v>
      </c>
      <c r="D677" s="1" t="s">
        <v>899</v>
      </c>
      <c r="E677" s="1" t="s">
        <v>41</v>
      </c>
      <c r="F677" s="1" t="s">
        <v>18</v>
      </c>
      <c r="G677" s="1" t="s">
        <v>42</v>
      </c>
      <c r="H677" s="1">
        <v>2024.0</v>
      </c>
      <c r="I677" s="1" t="s">
        <v>861</v>
      </c>
      <c r="J677" s="1" t="s">
        <v>1272</v>
      </c>
      <c r="K677" s="1">
        <v>7.0</v>
      </c>
      <c r="L677" s="1" t="s">
        <v>1273</v>
      </c>
      <c r="M677" s="1">
        <v>-1.0</v>
      </c>
    </row>
    <row r="678">
      <c r="A678" s="1">
        <v>986.0</v>
      </c>
      <c r="B678" s="1">
        <v>2.0</v>
      </c>
      <c r="C678" s="1">
        <v>0.744159243858691</v>
      </c>
      <c r="D678" s="1" t="s">
        <v>895</v>
      </c>
      <c r="E678" s="1" t="s">
        <v>41</v>
      </c>
      <c r="F678" s="1" t="s">
        <v>18</v>
      </c>
      <c r="G678" s="1" t="s">
        <v>42</v>
      </c>
      <c r="H678" s="1">
        <v>2024.0</v>
      </c>
      <c r="I678" s="1" t="s">
        <v>861</v>
      </c>
      <c r="J678" s="1" t="s">
        <v>1272</v>
      </c>
      <c r="K678" s="1">
        <v>7.0</v>
      </c>
      <c r="L678" s="1" t="s">
        <v>1273</v>
      </c>
      <c r="M678" s="1">
        <v>-1.0</v>
      </c>
    </row>
    <row r="679">
      <c r="A679" s="1">
        <v>1029.0</v>
      </c>
      <c r="B679" s="1">
        <v>5.0</v>
      </c>
      <c r="C679" s="1">
        <v>0.744118986741293</v>
      </c>
      <c r="D679" s="1" t="s">
        <v>934</v>
      </c>
      <c r="E679" s="1" t="s">
        <v>124</v>
      </c>
      <c r="F679" s="1" t="s">
        <v>178</v>
      </c>
      <c r="G679" s="1" t="s">
        <v>1274</v>
      </c>
      <c r="H679" s="1">
        <v>2012.0</v>
      </c>
      <c r="I679" s="1" t="s">
        <v>861</v>
      </c>
      <c r="J679" s="1" t="s">
        <v>1272</v>
      </c>
      <c r="K679" s="1">
        <v>7.0</v>
      </c>
      <c r="L679" s="1" t="s">
        <v>1273</v>
      </c>
      <c r="M679" s="1">
        <v>7.0</v>
      </c>
    </row>
    <row r="680">
      <c r="A680" s="1">
        <v>497.0</v>
      </c>
      <c r="B680" s="1">
        <v>2.0</v>
      </c>
      <c r="C680" s="1">
        <v>0.743033572048937</v>
      </c>
      <c r="D680" s="1" t="s">
        <v>458</v>
      </c>
      <c r="E680" s="1" t="s">
        <v>111</v>
      </c>
      <c r="F680" s="1" t="s">
        <v>1274</v>
      </c>
      <c r="G680" s="1" t="s">
        <v>42</v>
      </c>
      <c r="H680" s="1">
        <v>2022.0</v>
      </c>
      <c r="I680" s="1" t="s">
        <v>240</v>
      </c>
      <c r="J680" s="1" t="s">
        <v>1272</v>
      </c>
      <c r="K680" s="1">
        <v>5.0</v>
      </c>
      <c r="L680" s="1" t="s">
        <v>1273</v>
      </c>
      <c r="M680" s="1">
        <v>3.0</v>
      </c>
    </row>
    <row r="681">
      <c r="A681" s="1">
        <v>1038.0</v>
      </c>
      <c r="B681" s="1">
        <v>3.0</v>
      </c>
      <c r="C681" s="1">
        <v>0.742300419556229</v>
      </c>
      <c r="D681" s="1" t="s">
        <v>943</v>
      </c>
      <c r="E681" s="1" t="s">
        <v>124</v>
      </c>
      <c r="F681" s="1" t="s">
        <v>178</v>
      </c>
      <c r="G681" s="1" t="s">
        <v>1274</v>
      </c>
      <c r="H681" s="1">
        <v>2012.0</v>
      </c>
      <c r="I681" s="1" t="s">
        <v>861</v>
      </c>
      <c r="J681" s="1" t="s">
        <v>1272</v>
      </c>
      <c r="K681" s="1">
        <v>5.0</v>
      </c>
      <c r="L681" s="1" t="s">
        <v>1273</v>
      </c>
      <c r="M681" s="1">
        <v>10.0</v>
      </c>
    </row>
    <row r="682">
      <c r="A682" s="1">
        <v>853.0</v>
      </c>
      <c r="B682" s="1">
        <v>3.0</v>
      </c>
      <c r="C682" s="1">
        <v>0.739431411220949</v>
      </c>
      <c r="D682" s="1" t="s">
        <v>789</v>
      </c>
      <c r="E682" s="1" t="s">
        <v>107</v>
      </c>
      <c r="F682" s="1" t="s">
        <v>18</v>
      </c>
      <c r="G682" s="1" t="s">
        <v>1274</v>
      </c>
      <c r="H682" s="1">
        <v>2024.0</v>
      </c>
      <c r="I682" s="1" t="s">
        <v>630</v>
      </c>
      <c r="J682" s="1" t="s">
        <v>1272</v>
      </c>
      <c r="K682" s="1">
        <v>7.0</v>
      </c>
      <c r="L682" s="1" t="s">
        <v>1273</v>
      </c>
      <c r="M682" s="1">
        <v>-1.0</v>
      </c>
    </row>
    <row r="683">
      <c r="A683" s="1">
        <v>802.0</v>
      </c>
      <c r="B683" s="1">
        <v>3.0</v>
      </c>
      <c r="C683" s="1">
        <v>0.739045500086894</v>
      </c>
      <c r="D683" s="1" t="s">
        <v>738</v>
      </c>
      <c r="E683" s="1" t="s">
        <v>173</v>
      </c>
      <c r="F683" s="1" t="s">
        <v>18</v>
      </c>
      <c r="G683" s="1" t="s">
        <v>42</v>
      </c>
      <c r="H683" s="1">
        <v>2022.0</v>
      </c>
      <c r="I683" s="1" t="s">
        <v>630</v>
      </c>
      <c r="J683" s="1" t="s">
        <v>1272</v>
      </c>
      <c r="K683" s="1">
        <v>7.0</v>
      </c>
      <c r="L683" s="1" t="s">
        <v>1273</v>
      </c>
      <c r="M683" s="1">
        <v>-1.0</v>
      </c>
    </row>
    <row r="684">
      <c r="A684" s="1">
        <v>726.0</v>
      </c>
      <c r="B684" s="1">
        <v>3.0</v>
      </c>
      <c r="C684" s="1">
        <v>0.738761015503886</v>
      </c>
      <c r="D684" s="1" t="s">
        <v>664</v>
      </c>
      <c r="E684" s="1" t="s">
        <v>10</v>
      </c>
      <c r="F684" s="1" t="s">
        <v>18</v>
      </c>
      <c r="G684" s="1" t="s">
        <v>42</v>
      </c>
      <c r="H684" s="1">
        <v>2014.0</v>
      </c>
      <c r="I684" s="1" t="s">
        <v>630</v>
      </c>
      <c r="J684" s="1" t="s">
        <v>1272</v>
      </c>
      <c r="K684" s="1">
        <v>5.0</v>
      </c>
      <c r="L684" s="1" t="s">
        <v>1273</v>
      </c>
      <c r="M684" s="1">
        <v>11.0</v>
      </c>
    </row>
    <row r="685">
      <c r="A685" s="1">
        <v>1064.0</v>
      </c>
      <c r="B685" s="1">
        <v>2.0</v>
      </c>
      <c r="C685" s="1">
        <v>0.736775165154172</v>
      </c>
      <c r="D685" s="1" t="s">
        <v>968</v>
      </c>
      <c r="E685" s="1" t="s">
        <v>1274</v>
      </c>
      <c r="F685" s="1" t="s">
        <v>1274</v>
      </c>
      <c r="G685" s="1" t="s">
        <v>1274</v>
      </c>
      <c r="H685" s="1">
        <v>2005.0</v>
      </c>
      <c r="I685" s="1" t="s">
        <v>861</v>
      </c>
      <c r="J685" s="1" t="s">
        <v>1272</v>
      </c>
      <c r="K685" s="1">
        <v>7.0</v>
      </c>
      <c r="L685" s="1" t="s">
        <v>1273</v>
      </c>
      <c r="M685" s="1">
        <v>0.0</v>
      </c>
    </row>
    <row r="686">
      <c r="A686" s="1">
        <v>517.0</v>
      </c>
      <c r="B686" s="1">
        <v>2.0</v>
      </c>
      <c r="C686" s="1">
        <v>0.736020876830103</v>
      </c>
      <c r="D686" s="1" t="s">
        <v>478</v>
      </c>
      <c r="E686" s="1" t="s">
        <v>111</v>
      </c>
      <c r="F686" s="1" t="s">
        <v>1274</v>
      </c>
      <c r="G686" s="1" t="s">
        <v>1274</v>
      </c>
      <c r="H686" s="1">
        <v>2014.0</v>
      </c>
      <c r="I686" s="1" t="s">
        <v>240</v>
      </c>
      <c r="J686" s="1" t="s">
        <v>1272</v>
      </c>
      <c r="K686" s="1">
        <v>5.0</v>
      </c>
      <c r="L686" s="1" t="s">
        <v>1273</v>
      </c>
      <c r="M686" s="1">
        <v>-1.0</v>
      </c>
    </row>
    <row r="687">
      <c r="A687" s="1">
        <v>795.0</v>
      </c>
      <c r="B687" s="1">
        <v>3.0</v>
      </c>
      <c r="C687" s="1">
        <v>0.735659261420558</v>
      </c>
      <c r="D687" s="1" t="s">
        <v>731</v>
      </c>
      <c r="E687" s="1" t="s">
        <v>173</v>
      </c>
      <c r="F687" s="1" t="s">
        <v>18</v>
      </c>
      <c r="G687" s="1" t="s">
        <v>42</v>
      </c>
      <c r="H687" s="1">
        <v>2022.0</v>
      </c>
      <c r="I687" s="1" t="s">
        <v>630</v>
      </c>
      <c r="J687" s="1" t="s">
        <v>1272</v>
      </c>
      <c r="K687" s="1">
        <v>7.0</v>
      </c>
      <c r="L687" s="1" t="s">
        <v>1273</v>
      </c>
      <c r="M687" s="1">
        <v>1.0</v>
      </c>
    </row>
    <row r="688">
      <c r="A688" s="1">
        <v>91.0</v>
      </c>
      <c r="B688" s="1">
        <v>2.0</v>
      </c>
      <c r="C688" s="1">
        <v>0.73468954006426</v>
      </c>
      <c r="D688" s="1" t="s">
        <v>112</v>
      </c>
      <c r="E688" s="1" t="s">
        <v>111</v>
      </c>
      <c r="F688" s="1" t="s">
        <v>1274</v>
      </c>
      <c r="G688" s="1" t="s">
        <v>11</v>
      </c>
      <c r="H688" s="1">
        <v>2021.0</v>
      </c>
      <c r="I688" s="1" t="s">
        <v>12</v>
      </c>
      <c r="J688" s="1" t="s">
        <v>1272</v>
      </c>
      <c r="K688" s="1">
        <v>7.0</v>
      </c>
      <c r="L688" s="1" t="s">
        <v>1273</v>
      </c>
      <c r="M688" s="1">
        <v>7.0</v>
      </c>
    </row>
    <row r="689">
      <c r="A689" s="1">
        <v>1019.0</v>
      </c>
      <c r="B689" s="1">
        <v>7.0</v>
      </c>
      <c r="C689" s="1">
        <v>0.733557215693775</v>
      </c>
      <c r="D689" s="1" t="s">
        <v>924</v>
      </c>
      <c r="E689" s="1" t="s">
        <v>24</v>
      </c>
      <c r="F689" s="1" t="s">
        <v>18</v>
      </c>
      <c r="G689" s="1" t="s">
        <v>42</v>
      </c>
      <c r="H689" s="1">
        <v>2023.0</v>
      </c>
      <c r="I689" s="1" t="s">
        <v>861</v>
      </c>
      <c r="J689" s="1" t="s">
        <v>1272</v>
      </c>
      <c r="K689" s="1">
        <v>7.0</v>
      </c>
      <c r="L689" s="1" t="s">
        <v>1273</v>
      </c>
      <c r="M689" s="1">
        <v>9.0</v>
      </c>
    </row>
    <row r="690">
      <c r="A690" s="1">
        <v>160.0</v>
      </c>
      <c r="B690" s="1">
        <v>2.0</v>
      </c>
      <c r="C690" s="1">
        <v>0.73341064780617</v>
      </c>
      <c r="D690" s="1" t="s">
        <v>176</v>
      </c>
      <c r="E690" s="1" t="s">
        <v>173</v>
      </c>
      <c r="F690" s="1" t="s">
        <v>1274</v>
      </c>
      <c r="G690" s="2">
        <v>46213.0</v>
      </c>
      <c r="H690" s="1">
        <v>2015.0</v>
      </c>
      <c r="I690" s="1" t="s">
        <v>12</v>
      </c>
      <c r="J690" s="1" t="s">
        <v>1272</v>
      </c>
      <c r="K690" s="1">
        <v>10.0</v>
      </c>
      <c r="L690" s="1" t="s">
        <v>1273</v>
      </c>
      <c r="M690" s="1">
        <v>-1.0</v>
      </c>
    </row>
    <row r="691">
      <c r="A691" s="1">
        <v>1047.0</v>
      </c>
      <c r="B691" s="1">
        <v>4.0</v>
      </c>
      <c r="C691" s="1">
        <v>0.733169044075169</v>
      </c>
      <c r="D691" s="1" t="s">
        <v>951</v>
      </c>
      <c r="E691" s="1" t="s">
        <v>20</v>
      </c>
      <c r="F691" s="1" t="s">
        <v>97</v>
      </c>
      <c r="G691" s="1" t="s">
        <v>11</v>
      </c>
      <c r="H691" s="1">
        <v>2020.0</v>
      </c>
      <c r="I691" s="1" t="s">
        <v>861</v>
      </c>
      <c r="J691" s="1" t="s">
        <v>1272</v>
      </c>
      <c r="K691" s="1">
        <v>5.0</v>
      </c>
      <c r="L691" s="1" t="s">
        <v>1273</v>
      </c>
      <c r="M691" s="1">
        <v>-1.0</v>
      </c>
    </row>
    <row r="692">
      <c r="A692" s="1">
        <v>173.0</v>
      </c>
      <c r="B692" s="1">
        <v>2.0</v>
      </c>
      <c r="C692" s="1">
        <v>0.732549643380085</v>
      </c>
      <c r="D692" s="1" t="s">
        <v>189</v>
      </c>
      <c r="E692" s="1" t="s">
        <v>187</v>
      </c>
      <c r="F692" s="1" t="s">
        <v>1274</v>
      </c>
      <c r="G692" s="1" t="s">
        <v>1274</v>
      </c>
      <c r="H692" s="1">
        <v>2016.0</v>
      </c>
      <c r="I692" s="1" t="s">
        <v>12</v>
      </c>
      <c r="J692" s="1" t="s">
        <v>1272</v>
      </c>
      <c r="K692" s="1">
        <v>5.0</v>
      </c>
      <c r="L692" s="1" t="s">
        <v>1273</v>
      </c>
      <c r="M692" s="1">
        <v>-1.0</v>
      </c>
    </row>
    <row r="693">
      <c r="A693" s="1">
        <v>811.0</v>
      </c>
      <c r="B693" s="1">
        <v>3.0</v>
      </c>
      <c r="C693" s="1">
        <v>0.73142573841387</v>
      </c>
      <c r="D693" s="1" t="s">
        <v>747</v>
      </c>
      <c r="E693" s="1" t="s">
        <v>107</v>
      </c>
      <c r="F693" s="1" t="s">
        <v>18</v>
      </c>
      <c r="G693" s="1" t="s">
        <v>1274</v>
      </c>
      <c r="H693" s="1">
        <v>2024.0</v>
      </c>
      <c r="I693" s="1" t="s">
        <v>630</v>
      </c>
      <c r="J693" s="1" t="s">
        <v>1272</v>
      </c>
      <c r="K693" s="1">
        <v>7.0</v>
      </c>
      <c r="L693" s="1" t="s">
        <v>1273</v>
      </c>
      <c r="M693" s="1">
        <v>-1.0</v>
      </c>
    </row>
    <row r="694">
      <c r="A694" s="1">
        <v>203.0</v>
      </c>
      <c r="B694" s="1">
        <v>2.0</v>
      </c>
      <c r="C694" s="1">
        <v>0.731359439154475</v>
      </c>
      <c r="D694" s="1" t="s">
        <v>211</v>
      </c>
      <c r="E694" s="1" t="s">
        <v>20</v>
      </c>
      <c r="F694" s="1" t="s">
        <v>18</v>
      </c>
      <c r="G694" s="1" t="s">
        <v>11</v>
      </c>
      <c r="H694" s="1">
        <v>2015.0</v>
      </c>
      <c r="I694" s="1" t="s">
        <v>198</v>
      </c>
      <c r="J694" s="1" t="s">
        <v>1272</v>
      </c>
      <c r="K694" s="1">
        <v>7.0</v>
      </c>
      <c r="L694" s="1" t="s">
        <v>1273</v>
      </c>
      <c r="M694" s="1">
        <v>16.0</v>
      </c>
    </row>
    <row r="695">
      <c r="A695" s="1">
        <v>437.0</v>
      </c>
      <c r="B695" s="1">
        <v>2.0</v>
      </c>
      <c r="C695" s="1">
        <v>0.73012396666325</v>
      </c>
      <c r="D695" s="1" t="s">
        <v>407</v>
      </c>
      <c r="E695" s="1" t="s">
        <v>58</v>
      </c>
      <c r="F695" s="1" t="s">
        <v>18</v>
      </c>
      <c r="G695" s="1" t="s">
        <v>11</v>
      </c>
      <c r="H695" s="1">
        <v>2024.0</v>
      </c>
      <c r="I695" s="1" t="s">
        <v>240</v>
      </c>
      <c r="J695" s="1" t="s">
        <v>1272</v>
      </c>
      <c r="K695" s="1">
        <v>10.0</v>
      </c>
      <c r="L695" s="1" t="s">
        <v>1273</v>
      </c>
      <c r="M695" s="1">
        <v>0.0</v>
      </c>
    </row>
    <row r="696">
      <c r="A696" s="1">
        <v>1081.0</v>
      </c>
      <c r="B696" s="1">
        <v>3.0</v>
      </c>
      <c r="C696" s="1">
        <v>0.729974956053092</v>
      </c>
      <c r="D696" s="1" t="s">
        <v>985</v>
      </c>
      <c r="E696" s="1" t="s">
        <v>17</v>
      </c>
      <c r="F696" s="1" t="s">
        <v>18</v>
      </c>
      <c r="G696" s="1">
        <v>8.0</v>
      </c>
      <c r="H696" s="1">
        <v>2023.0</v>
      </c>
      <c r="I696" s="1" t="s">
        <v>861</v>
      </c>
      <c r="J696" s="1" t="s">
        <v>1272</v>
      </c>
      <c r="K696" s="1">
        <v>5.0</v>
      </c>
      <c r="L696" s="1" t="s">
        <v>1273</v>
      </c>
      <c r="M696" s="1">
        <v>0.0</v>
      </c>
    </row>
    <row r="697">
      <c r="A697" s="1">
        <v>618.0</v>
      </c>
      <c r="B697" s="1">
        <v>2.0</v>
      </c>
      <c r="C697" s="1">
        <v>0.728772301827972</v>
      </c>
      <c r="D697" s="1" t="s">
        <v>570</v>
      </c>
      <c r="E697" s="1" t="s">
        <v>45</v>
      </c>
      <c r="F697" s="1" t="s">
        <v>18</v>
      </c>
      <c r="G697" s="1" t="s">
        <v>1274</v>
      </c>
      <c r="H697" s="1">
        <v>2022.0</v>
      </c>
      <c r="I697" s="1" t="s">
        <v>240</v>
      </c>
      <c r="J697" s="1" t="s">
        <v>1272</v>
      </c>
      <c r="K697" s="1">
        <v>5.0</v>
      </c>
      <c r="L697" s="1" t="s">
        <v>1273</v>
      </c>
      <c r="M697" s="1">
        <v>0.0</v>
      </c>
    </row>
    <row r="698">
      <c r="A698" s="1">
        <v>1119.0</v>
      </c>
      <c r="B698" s="1">
        <v>3.0</v>
      </c>
      <c r="C698" s="1">
        <v>0.728369942643909</v>
      </c>
      <c r="D698" s="1" t="s">
        <v>1006</v>
      </c>
      <c r="E698" s="1" t="s">
        <v>107</v>
      </c>
      <c r="F698" s="1" t="s">
        <v>214</v>
      </c>
      <c r="G698" s="1" t="s">
        <v>1274</v>
      </c>
      <c r="H698" s="1">
        <v>2019.0</v>
      </c>
      <c r="I698" s="1" t="s">
        <v>861</v>
      </c>
      <c r="J698" s="1" t="s">
        <v>1272</v>
      </c>
      <c r="K698" s="1">
        <v>5.0</v>
      </c>
      <c r="L698" s="1" t="s">
        <v>1273</v>
      </c>
      <c r="M698" s="1">
        <v>0.0</v>
      </c>
    </row>
    <row r="699">
      <c r="A699" s="1">
        <v>130.0</v>
      </c>
      <c r="B699" s="1">
        <v>3.0</v>
      </c>
      <c r="C699" s="1">
        <v>0.727810905572995</v>
      </c>
      <c r="D699" s="1" t="s">
        <v>150</v>
      </c>
      <c r="E699" s="1" t="s">
        <v>111</v>
      </c>
      <c r="F699" s="1" t="s">
        <v>18</v>
      </c>
      <c r="G699" s="1" t="s">
        <v>42</v>
      </c>
      <c r="H699" s="1" t="s">
        <v>1274</v>
      </c>
      <c r="I699" s="1" t="s">
        <v>12</v>
      </c>
      <c r="J699" s="1" t="s">
        <v>1272</v>
      </c>
      <c r="K699" s="1">
        <v>5.0</v>
      </c>
      <c r="L699" s="1" t="s">
        <v>1273</v>
      </c>
      <c r="M699" s="1">
        <v>0.0</v>
      </c>
    </row>
    <row r="700">
      <c r="A700" s="1">
        <v>108.0</v>
      </c>
      <c r="B700" s="1">
        <v>9.0</v>
      </c>
      <c r="C700" s="1">
        <v>0.727521405057833</v>
      </c>
      <c r="D700" s="1" t="s">
        <v>130</v>
      </c>
      <c r="E700" s="1" t="s">
        <v>50</v>
      </c>
      <c r="F700" s="1" t="s">
        <v>1274</v>
      </c>
      <c r="G700" s="2">
        <v>46213.0</v>
      </c>
      <c r="H700" s="1">
        <v>2002.0</v>
      </c>
      <c r="I700" s="1" t="s">
        <v>12</v>
      </c>
      <c r="J700" s="1" t="s">
        <v>1272</v>
      </c>
      <c r="K700" s="1">
        <v>10.0</v>
      </c>
      <c r="L700" s="1" t="s">
        <v>1273</v>
      </c>
      <c r="M700" s="1">
        <v>0.0</v>
      </c>
    </row>
    <row r="701">
      <c r="A701" s="1">
        <v>260.0</v>
      </c>
      <c r="B701" s="1">
        <v>4.0</v>
      </c>
      <c r="C701" s="1">
        <v>0.726588347619171</v>
      </c>
      <c r="D701" s="1" t="s">
        <v>253</v>
      </c>
      <c r="E701" s="1" t="s">
        <v>17</v>
      </c>
      <c r="F701" s="1" t="s">
        <v>118</v>
      </c>
      <c r="G701" s="1" t="s">
        <v>1274</v>
      </c>
      <c r="H701" s="1">
        <v>2023.0</v>
      </c>
      <c r="I701" s="1" t="s">
        <v>240</v>
      </c>
      <c r="J701" s="1" t="s">
        <v>1272</v>
      </c>
      <c r="K701" s="1">
        <v>7.0</v>
      </c>
      <c r="L701" s="1" t="s">
        <v>1273</v>
      </c>
      <c r="M701" s="1">
        <v>4.0</v>
      </c>
    </row>
    <row r="702">
      <c r="A702" s="1">
        <v>903.0</v>
      </c>
      <c r="B702" s="1">
        <v>3.0</v>
      </c>
      <c r="C702" s="1">
        <v>0.72479734827358</v>
      </c>
      <c r="D702" s="1" t="s">
        <v>837</v>
      </c>
      <c r="E702" s="1" t="s">
        <v>173</v>
      </c>
      <c r="F702" s="1" t="s">
        <v>1274</v>
      </c>
      <c r="G702" s="1" t="s">
        <v>609</v>
      </c>
      <c r="H702" s="1">
        <v>2015.0</v>
      </c>
      <c r="I702" s="1" t="s">
        <v>630</v>
      </c>
      <c r="J702" s="1" t="s">
        <v>1272</v>
      </c>
      <c r="K702" s="1">
        <v>7.0</v>
      </c>
      <c r="L702" s="1" t="s">
        <v>1273</v>
      </c>
      <c r="M702" s="1">
        <v>1.0</v>
      </c>
    </row>
    <row r="703">
      <c r="A703" s="1">
        <v>205.0</v>
      </c>
      <c r="B703" s="1">
        <v>6.0</v>
      </c>
      <c r="C703" s="1">
        <v>0.722612846643765</v>
      </c>
      <c r="D703" s="1" t="s">
        <v>213</v>
      </c>
      <c r="E703" s="1" t="s">
        <v>107</v>
      </c>
      <c r="F703" s="1" t="s">
        <v>214</v>
      </c>
      <c r="G703" s="1" t="s">
        <v>1274</v>
      </c>
      <c r="H703" s="1">
        <v>2019.0</v>
      </c>
      <c r="I703" s="1" t="s">
        <v>198</v>
      </c>
      <c r="J703" s="1" t="s">
        <v>1272</v>
      </c>
      <c r="K703" s="1">
        <v>10.0</v>
      </c>
      <c r="L703" s="1" t="s">
        <v>1273</v>
      </c>
      <c r="M703" s="1">
        <v>-1.0</v>
      </c>
    </row>
    <row r="704">
      <c r="A704" s="1">
        <v>950.0</v>
      </c>
      <c r="B704" s="1">
        <v>2.0</v>
      </c>
      <c r="C704" s="1">
        <v>0.721995159302973</v>
      </c>
      <c r="D704" s="1" t="s">
        <v>870</v>
      </c>
      <c r="E704" s="1" t="s">
        <v>58</v>
      </c>
      <c r="F704" s="1" t="s">
        <v>18</v>
      </c>
      <c r="G704" s="1" t="s">
        <v>42</v>
      </c>
      <c r="H704" s="1">
        <v>2024.0</v>
      </c>
      <c r="I704" s="1" t="s">
        <v>861</v>
      </c>
      <c r="J704" s="1" t="s">
        <v>1272</v>
      </c>
      <c r="K704" s="1">
        <v>7.0</v>
      </c>
      <c r="L704" s="1" t="s">
        <v>1273</v>
      </c>
      <c r="M704" s="1">
        <v>-1.0</v>
      </c>
    </row>
    <row r="705">
      <c r="A705" s="1">
        <v>532.0</v>
      </c>
      <c r="B705" s="1">
        <v>2.0</v>
      </c>
      <c r="C705" s="1">
        <v>0.721403469348769</v>
      </c>
      <c r="D705" s="1" t="s">
        <v>493</v>
      </c>
      <c r="E705" s="1" t="s">
        <v>124</v>
      </c>
      <c r="F705" s="1" t="s">
        <v>18</v>
      </c>
      <c r="G705" s="1" t="s">
        <v>26</v>
      </c>
      <c r="H705" s="1">
        <v>2015.0</v>
      </c>
      <c r="I705" s="1" t="s">
        <v>240</v>
      </c>
      <c r="J705" s="1" t="s">
        <v>1272</v>
      </c>
      <c r="K705" s="1">
        <v>7.0</v>
      </c>
      <c r="L705" s="1" t="s">
        <v>1273</v>
      </c>
      <c r="M705" s="1">
        <v>0.0</v>
      </c>
    </row>
    <row r="706">
      <c r="A706" s="1">
        <v>430.0</v>
      </c>
      <c r="B706" s="1">
        <v>2.0</v>
      </c>
      <c r="C706" s="1">
        <v>0.7212053999696</v>
      </c>
      <c r="D706" s="1" t="s">
        <v>402</v>
      </c>
      <c r="E706" s="1" t="s">
        <v>24</v>
      </c>
      <c r="F706" s="1" t="s">
        <v>18</v>
      </c>
      <c r="G706" s="1" t="s">
        <v>42</v>
      </c>
      <c r="H706" s="1">
        <v>2024.0</v>
      </c>
      <c r="I706" s="1" t="s">
        <v>240</v>
      </c>
      <c r="J706" s="1" t="s">
        <v>1272</v>
      </c>
      <c r="K706" s="1">
        <v>7.0</v>
      </c>
      <c r="L706" s="1" t="s">
        <v>1273</v>
      </c>
      <c r="M706" s="1">
        <v>3.0</v>
      </c>
    </row>
    <row r="707">
      <c r="A707" s="1">
        <v>827.0</v>
      </c>
      <c r="B707" s="1">
        <v>3.0</v>
      </c>
      <c r="C707" s="1">
        <v>0.721183988015364</v>
      </c>
      <c r="D707" s="1" t="s">
        <v>763</v>
      </c>
      <c r="E707" s="1" t="s">
        <v>107</v>
      </c>
      <c r="F707" s="1" t="s">
        <v>18</v>
      </c>
      <c r="G707" s="1" t="s">
        <v>1274</v>
      </c>
      <c r="H707" s="1">
        <v>2024.0</v>
      </c>
      <c r="I707" s="1" t="s">
        <v>630</v>
      </c>
      <c r="J707" s="1" t="s">
        <v>1272</v>
      </c>
      <c r="K707" s="1">
        <v>7.0</v>
      </c>
      <c r="L707" s="1" t="s">
        <v>1273</v>
      </c>
      <c r="M707" s="1">
        <v>-1.0</v>
      </c>
    </row>
    <row r="708">
      <c r="A708" s="1">
        <v>807.0</v>
      </c>
      <c r="B708" s="1">
        <v>3.0</v>
      </c>
      <c r="C708" s="1">
        <v>0.721182991028278</v>
      </c>
      <c r="D708" s="1" t="s">
        <v>743</v>
      </c>
      <c r="E708" s="1" t="s">
        <v>173</v>
      </c>
      <c r="F708" s="1" t="s">
        <v>18</v>
      </c>
      <c r="G708" s="1" t="s">
        <v>42</v>
      </c>
      <c r="H708" s="1">
        <v>2022.0</v>
      </c>
      <c r="I708" s="1" t="s">
        <v>630</v>
      </c>
      <c r="J708" s="1" t="s">
        <v>1272</v>
      </c>
      <c r="K708" s="1">
        <v>7.0</v>
      </c>
      <c r="L708" s="1" t="s">
        <v>1273</v>
      </c>
      <c r="M708" s="1">
        <v>1.0</v>
      </c>
    </row>
    <row r="709">
      <c r="A709" s="1">
        <v>419.0</v>
      </c>
      <c r="B709" s="1">
        <v>4.0</v>
      </c>
      <c r="C709" s="1">
        <v>0.720903932332011</v>
      </c>
      <c r="D709" s="1" t="s">
        <v>395</v>
      </c>
      <c r="E709" s="1" t="s">
        <v>24</v>
      </c>
      <c r="F709" s="1" t="s">
        <v>18</v>
      </c>
      <c r="G709" s="1" t="s">
        <v>42</v>
      </c>
      <c r="H709" s="1">
        <v>2024.0</v>
      </c>
      <c r="I709" s="1" t="s">
        <v>240</v>
      </c>
      <c r="J709" s="1" t="s">
        <v>1272</v>
      </c>
      <c r="K709" s="1">
        <v>7.0</v>
      </c>
      <c r="L709" s="1" t="s">
        <v>1273</v>
      </c>
      <c r="M709" s="1">
        <v>4.0</v>
      </c>
    </row>
    <row r="710">
      <c r="A710" s="1">
        <v>55.0</v>
      </c>
      <c r="B710" s="1">
        <v>2.0</v>
      </c>
      <c r="C710" s="1">
        <v>0.720207905755637</v>
      </c>
      <c r="D710" s="1" t="s">
        <v>79</v>
      </c>
      <c r="E710" s="1" t="s">
        <v>45</v>
      </c>
      <c r="F710" s="1" t="s">
        <v>65</v>
      </c>
      <c r="G710" s="1" t="s">
        <v>1274</v>
      </c>
      <c r="H710" s="1">
        <v>2019.0</v>
      </c>
      <c r="I710" s="1" t="s">
        <v>12</v>
      </c>
      <c r="J710" s="1" t="s">
        <v>1272</v>
      </c>
      <c r="K710" s="1">
        <v>5.0</v>
      </c>
      <c r="L710" s="1" t="s">
        <v>1273</v>
      </c>
      <c r="M710" s="1">
        <v>6.0</v>
      </c>
    </row>
    <row r="711">
      <c r="A711" s="1">
        <v>814.0</v>
      </c>
      <c r="B711" s="1">
        <v>3.0</v>
      </c>
      <c r="C711" s="1">
        <v>0.72011430051876</v>
      </c>
      <c r="D711" s="1" t="s">
        <v>750</v>
      </c>
      <c r="E711" s="1" t="s">
        <v>107</v>
      </c>
      <c r="F711" s="1" t="s">
        <v>18</v>
      </c>
      <c r="G711" s="1" t="s">
        <v>1274</v>
      </c>
      <c r="H711" s="1">
        <v>2024.0</v>
      </c>
      <c r="I711" s="1" t="s">
        <v>630</v>
      </c>
      <c r="J711" s="1" t="s">
        <v>1272</v>
      </c>
      <c r="K711" s="1">
        <v>5.0</v>
      </c>
      <c r="L711" s="1" t="s">
        <v>1273</v>
      </c>
      <c r="M711" s="1">
        <v>-1.0</v>
      </c>
    </row>
    <row r="712">
      <c r="A712" s="1">
        <v>172.0</v>
      </c>
      <c r="B712" s="1">
        <v>3.0</v>
      </c>
      <c r="C712" s="1">
        <v>0.719877023788422</v>
      </c>
      <c r="D712" s="1" t="s">
        <v>188</v>
      </c>
      <c r="E712" s="1" t="s">
        <v>187</v>
      </c>
      <c r="F712" s="1" t="s">
        <v>1274</v>
      </c>
      <c r="G712" s="1" t="s">
        <v>1274</v>
      </c>
      <c r="H712" s="1">
        <v>2016.0</v>
      </c>
      <c r="I712" s="1" t="s">
        <v>12</v>
      </c>
      <c r="J712" s="1" t="s">
        <v>1272</v>
      </c>
      <c r="K712" s="1">
        <v>7.0</v>
      </c>
      <c r="L712" s="1" t="s">
        <v>1273</v>
      </c>
      <c r="M712" s="1">
        <v>0.0</v>
      </c>
    </row>
    <row r="713">
      <c r="A713" s="1">
        <v>617.0</v>
      </c>
      <c r="B713" s="1">
        <v>2.0</v>
      </c>
      <c r="C713" s="1">
        <v>0.719414034431643</v>
      </c>
      <c r="D713" s="1" t="s">
        <v>569</v>
      </c>
      <c r="E713" s="1" t="s">
        <v>45</v>
      </c>
      <c r="F713" s="1" t="s">
        <v>18</v>
      </c>
      <c r="G713" s="1" t="s">
        <v>1274</v>
      </c>
      <c r="H713" s="1">
        <v>2022.0</v>
      </c>
      <c r="I713" s="1" t="s">
        <v>240</v>
      </c>
      <c r="J713" s="1" t="s">
        <v>1272</v>
      </c>
      <c r="K713" s="1">
        <v>10.0</v>
      </c>
      <c r="L713" s="1" t="s">
        <v>1273</v>
      </c>
      <c r="M713" s="1">
        <v>6.0</v>
      </c>
    </row>
    <row r="714">
      <c r="A714" s="1">
        <v>1036.0</v>
      </c>
      <c r="B714" s="1">
        <v>7.0</v>
      </c>
      <c r="C714" s="1">
        <v>0.717852503025972</v>
      </c>
      <c r="D714" s="1" t="s">
        <v>941</v>
      </c>
      <c r="E714" s="1" t="s">
        <v>124</v>
      </c>
      <c r="F714" s="1" t="s">
        <v>178</v>
      </c>
      <c r="G714" s="1" t="s">
        <v>1274</v>
      </c>
      <c r="H714" s="1">
        <v>2012.0</v>
      </c>
      <c r="I714" s="1" t="s">
        <v>861</v>
      </c>
      <c r="J714" s="1" t="s">
        <v>1272</v>
      </c>
      <c r="K714" s="1">
        <v>10.0</v>
      </c>
      <c r="L714" s="1" t="s">
        <v>1273</v>
      </c>
      <c r="M714" s="1">
        <v>10.0</v>
      </c>
    </row>
    <row r="715">
      <c r="A715" s="1">
        <v>982.0</v>
      </c>
      <c r="B715" s="1">
        <v>2.0</v>
      </c>
      <c r="C715" s="1">
        <v>0.716526831812586</v>
      </c>
      <c r="D715" s="1" t="s">
        <v>891</v>
      </c>
      <c r="E715" s="1" t="s">
        <v>24</v>
      </c>
      <c r="F715" s="1" t="s">
        <v>197</v>
      </c>
      <c r="G715" s="1" t="s">
        <v>126</v>
      </c>
      <c r="H715" s="1">
        <v>2014.0</v>
      </c>
      <c r="I715" s="1" t="s">
        <v>861</v>
      </c>
      <c r="J715" s="1" t="s">
        <v>1272</v>
      </c>
      <c r="K715" s="1">
        <v>7.0</v>
      </c>
      <c r="L715" s="1" t="s">
        <v>1273</v>
      </c>
      <c r="M715" s="1">
        <v>-1.0</v>
      </c>
    </row>
    <row r="716">
      <c r="A716" s="1">
        <v>374.0</v>
      </c>
      <c r="B716" s="1">
        <v>2.0</v>
      </c>
      <c r="C716" s="1">
        <v>0.71642060296472</v>
      </c>
      <c r="D716" s="1" t="s">
        <v>356</v>
      </c>
      <c r="E716" s="1" t="s">
        <v>58</v>
      </c>
      <c r="F716" s="1" t="s">
        <v>59</v>
      </c>
      <c r="G716" s="2">
        <v>46153.0</v>
      </c>
      <c r="H716" s="1">
        <v>2024.0</v>
      </c>
      <c r="I716" s="1" t="s">
        <v>240</v>
      </c>
      <c r="J716" s="1" t="s">
        <v>1272</v>
      </c>
      <c r="K716" s="1">
        <v>7.0</v>
      </c>
      <c r="L716" s="1" t="s">
        <v>1273</v>
      </c>
      <c r="M716" s="1">
        <v>0.0</v>
      </c>
    </row>
    <row r="717">
      <c r="A717" s="1">
        <v>833.0</v>
      </c>
      <c r="B717" s="1">
        <v>2.0</v>
      </c>
      <c r="C717" s="1">
        <v>0.716166025661015</v>
      </c>
      <c r="D717" s="1" t="s">
        <v>769</v>
      </c>
      <c r="E717" s="1" t="s">
        <v>107</v>
      </c>
      <c r="F717" s="1" t="s">
        <v>18</v>
      </c>
      <c r="G717" s="1" t="s">
        <v>1274</v>
      </c>
      <c r="H717" s="1">
        <v>2024.0</v>
      </c>
      <c r="I717" s="1" t="s">
        <v>630</v>
      </c>
      <c r="J717" s="1" t="s">
        <v>1272</v>
      </c>
      <c r="K717" s="1">
        <v>7.0</v>
      </c>
      <c r="L717" s="1" t="s">
        <v>1273</v>
      </c>
      <c r="M717" s="1">
        <v>-1.0</v>
      </c>
    </row>
    <row r="718">
      <c r="A718" s="1">
        <v>782.0</v>
      </c>
      <c r="B718" s="1">
        <v>3.0</v>
      </c>
      <c r="C718" s="1">
        <v>0.715381065464527</v>
      </c>
      <c r="D718" s="1" t="s">
        <v>718</v>
      </c>
      <c r="E718" s="1" t="s">
        <v>1274</v>
      </c>
      <c r="F718" s="1" t="s">
        <v>1274</v>
      </c>
      <c r="G718" s="1" t="s">
        <v>1274</v>
      </c>
      <c r="H718" s="1">
        <v>2006.0</v>
      </c>
      <c r="I718" s="1" t="s">
        <v>630</v>
      </c>
      <c r="J718" s="1" t="s">
        <v>1272</v>
      </c>
      <c r="K718" s="1">
        <v>7.0</v>
      </c>
      <c r="L718" s="1" t="s">
        <v>1273</v>
      </c>
      <c r="M718" s="1">
        <v>1.0</v>
      </c>
    </row>
    <row r="719">
      <c r="A719" s="1">
        <v>832.0</v>
      </c>
      <c r="B719" s="1">
        <v>2.0</v>
      </c>
      <c r="C719" s="1">
        <v>0.714190335686752</v>
      </c>
      <c r="D719" s="1" t="s">
        <v>768</v>
      </c>
      <c r="E719" s="1" t="s">
        <v>107</v>
      </c>
      <c r="F719" s="1" t="s">
        <v>18</v>
      </c>
      <c r="G719" s="1" t="s">
        <v>1274</v>
      </c>
      <c r="H719" s="1">
        <v>2024.0</v>
      </c>
      <c r="I719" s="1" t="s">
        <v>630</v>
      </c>
      <c r="J719" s="1" t="s">
        <v>1272</v>
      </c>
      <c r="K719" s="1">
        <v>7.0</v>
      </c>
      <c r="L719" s="1" t="s">
        <v>1273</v>
      </c>
      <c r="M719" s="1">
        <v>-1.0</v>
      </c>
    </row>
    <row r="720">
      <c r="A720" s="1">
        <v>571.0</v>
      </c>
      <c r="B720" s="1">
        <v>2.0</v>
      </c>
      <c r="C720" s="1">
        <v>0.713512189324667</v>
      </c>
      <c r="D720" s="1" t="s">
        <v>523</v>
      </c>
      <c r="E720" s="1" t="s">
        <v>24</v>
      </c>
      <c r="F720" s="1" t="s">
        <v>18</v>
      </c>
      <c r="G720" s="1">
        <v>9.0</v>
      </c>
      <c r="H720" s="1">
        <v>2014.0</v>
      </c>
      <c r="I720" s="1" t="s">
        <v>240</v>
      </c>
      <c r="J720" s="1" t="s">
        <v>1272</v>
      </c>
      <c r="K720" s="1">
        <v>7.0</v>
      </c>
      <c r="L720" s="1" t="s">
        <v>1273</v>
      </c>
      <c r="M720" s="1">
        <v>8.0</v>
      </c>
    </row>
    <row r="721">
      <c r="A721" s="1">
        <v>311.0</v>
      </c>
      <c r="B721" s="1">
        <v>2.0</v>
      </c>
      <c r="C721" s="1">
        <v>0.713274231492966</v>
      </c>
      <c r="D721" s="1" t="s">
        <v>299</v>
      </c>
      <c r="E721" s="1" t="s">
        <v>24</v>
      </c>
      <c r="F721" s="1" t="s">
        <v>18</v>
      </c>
      <c r="G721" s="1" t="s">
        <v>42</v>
      </c>
      <c r="H721" s="1">
        <v>2024.0</v>
      </c>
      <c r="I721" s="1" t="s">
        <v>240</v>
      </c>
      <c r="J721" s="1" t="s">
        <v>1272</v>
      </c>
      <c r="K721" s="1">
        <v>10.0</v>
      </c>
      <c r="L721" s="1" t="s">
        <v>1273</v>
      </c>
      <c r="M721" s="1">
        <v>-1.0</v>
      </c>
    </row>
    <row r="722">
      <c r="A722" s="1">
        <v>761.0</v>
      </c>
      <c r="B722" s="1">
        <v>3.0</v>
      </c>
      <c r="C722" s="1">
        <v>0.712482511330628</v>
      </c>
      <c r="D722" s="1" t="s">
        <v>697</v>
      </c>
      <c r="E722" s="1" t="s">
        <v>58</v>
      </c>
      <c r="F722" s="1" t="s">
        <v>1274</v>
      </c>
      <c r="G722" s="1" t="s">
        <v>42</v>
      </c>
      <c r="H722" s="1">
        <v>2024.0</v>
      </c>
      <c r="I722" s="1" t="s">
        <v>630</v>
      </c>
      <c r="J722" s="1" t="s">
        <v>1272</v>
      </c>
      <c r="K722" s="1">
        <v>5.0</v>
      </c>
      <c r="L722" s="1" t="s">
        <v>1273</v>
      </c>
      <c r="M722" s="1">
        <v>7.0</v>
      </c>
    </row>
    <row r="723">
      <c r="A723" s="1">
        <v>1078.0</v>
      </c>
      <c r="B723" s="1">
        <v>2.0</v>
      </c>
      <c r="C723" s="1">
        <v>0.712200953527089</v>
      </c>
      <c r="D723" s="1" t="s">
        <v>982</v>
      </c>
      <c r="E723" s="1" t="s">
        <v>17</v>
      </c>
      <c r="F723" s="1" t="s">
        <v>18</v>
      </c>
      <c r="G723" s="1">
        <v>8.0</v>
      </c>
      <c r="H723" s="1">
        <v>2023.0</v>
      </c>
      <c r="I723" s="1" t="s">
        <v>861</v>
      </c>
      <c r="J723" s="1" t="s">
        <v>1272</v>
      </c>
      <c r="K723" s="1">
        <v>7.0</v>
      </c>
      <c r="L723" s="1" t="s">
        <v>1273</v>
      </c>
      <c r="M723" s="1">
        <v>6.0</v>
      </c>
    </row>
    <row r="724">
      <c r="A724" s="1">
        <v>259.0</v>
      </c>
      <c r="B724" s="1">
        <v>2.0</v>
      </c>
      <c r="C724" s="1">
        <v>0.711809430331655</v>
      </c>
      <c r="D724" s="1" t="s">
        <v>252</v>
      </c>
      <c r="E724" s="1" t="s">
        <v>17</v>
      </c>
      <c r="F724" s="1" t="s">
        <v>118</v>
      </c>
      <c r="G724" s="1" t="s">
        <v>1274</v>
      </c>
      <c r="H724" s="1">
        <v>2023.0</v>
      </c>
      <c r="I724" s="1" t="s">
        <v>240</v>
      </c>
      <c r="J724" s="1" t="s">
        <v>1272</v>
      </c>
      <c r="K724" s="1">
        <v>7.0</v>
      </c>
      <c r="L724" s="1" t="s">
        <v>1273</v>
      </c>
      <c r="M724" s="1">
        <v>-1.0</v>
      </c>
    </row>
    <row r="725">
      <c r="A725" s="1">
        <v>174.0</v>
      </c>
      <c r="B725" s="1">
        <v>2.0</v>
      </c>
      <c r="C725" s="1">
        <v>0.711246888804264</v>
      </c>
      <c r="D725" s="1" t="s">
        <v>190</v>
      </c>
      <c r="E725" s="1" t="s">
        <v>187</v>
      </c>
      <c r="F725" s="1" t="s">
        <v>1274</v>
      </c>
      <c r="G725" s="1" t="s">
        <v>1274</v>
      </c>
      <c r="H725" s="1">
        <v>2016.0</v>
      </c>
      <c r="I725" s="1" t="s">
        <v>12</v>
      </c>
      <c r="J725" s="1" t="s">
        <v>1272</v>
      </c>
      <c r="K725" s="1">
        <v>5.0</v>
      </c>
      <c r="L725" s="1" t="s">
        <v>1273</v>
      </c>
      <c r="M725" s="1">
        <v>0.0</v>
      </c>
    </row>
    <row r="726">
      <c r="A726" s="1">
        <v>204.0</v>
      </c>
      <c r="B726" s="1">
        <v>2.0</v>
      </c>
      <c r="C726" s="1">
        <v>0.711016559359152</v>
      </c>
      <c r="D726" s="1" t="s">
        <v>212</v>
      </c>
      <c r="E726" s="1" t="s">
        <v>20</v>
      </c>
      <c r="F726" s="1" t="s">
        <v>18</v>
      </c>
      <c r="G726" s="1" t="s">
        <v>11</v>
      </c>
      <c r="H726" s="1">
        <v>2015.0</v>
      </c>
      <c r="I726" s="1" t="s">
        <v>198</v>
      </c>
      <c r="J726" s="1" t="s">
        <v>1272</v>
      </c>
      <c r="K726" s="1">
        <v>10.0</v>
      </c>
      <c r="L726" s="1" t="s">
        <v>1273</v>
      </c>
      <c r="M726" s="1">
        <v>-1.0</v>
      </c>
    </row>
    <row r="727">
      <c r="A727" s="1">
        <v>886.0</v>
      </c>
      <c r="B727" s="1">
        <v>2.0</v>
      </c>
      <c r="C727" s="1">
        <v>0.710810534642814</v>
      </c>
      <c r="D727" s="1" t="s">
        <v>819</v>
      </c>
      <c r="E727" s="1" t="s">
        <v>58</v>
      </c>
      <c r="F727" s="1" t="s">
        <v>1274</v>
      </c>
      <c r="G727" s="1" t="s">
        <v>11</v>
      </c>
      <c r="H727" s="1">
        <v>2024.0</v>
      </c>
      <c r="I727" s="1" t="s">
        <v>630</v>
      </c>
      <c r="J727" s="1" t="s">
        <v>1272</v>
      </c>
      <c r="K727" s="1">
        <v>7.0</v>
      </c>
      <c r="L727" s="1" t="s">
        <v>1273</v>
      </c>
      <c r="M727" s="1">
        <v>7.0</v>
      </c>
    </row>
    <row r="728">
      <c r="A728" s="1">
        <v>229.0</v>
      </c>
      <c r="B728" s="1">
        <v>2.0</v>
      </c>
      <c r="C728" s="1">
        <v>0.710633416481502</v>
      </c>
      <c r="D728" s="1" t="s">
        <v>226</v>
      </c>
      <c r="E728" s="1" t="s">
        <v>17</v>
      </c>
      <c r="F728" s="1" t="s">
        <v>165</v>
      </c>
      <c r="G728" s="1" t="s">
        <v>1274</v>
      </c>
      <c r="H728" s="1" t="s">
        <v>1274</v>
      </c>
      <c r="I728" s="1" t="s">
        <v>198</v>
      </c>
      <c r="J728" s="1" t="s">
        <v>1272</v>
      </c>
      <c r="K728" s="1">
        <v>5.0</v>
      </c>
      <c r="L728" s="1" t="s">
        <v>1273</v>
      </c>
      <c r="M728" s="1">
        <v>-1.0</v>
      </c>
    </row>
    <row r="729">
      <c r="A729" s="1">
        <v>281.0</v>
      </c>
      <c r="B729" s="1">
        <v>2.0</v>
      </c>
      <c r="C729" s="1">
        <v>0.710616539805197</v>
      </c>
      <c r="D729" s="1" t="s">
        <v>274</v>
      </c>
      <c r="E729" s="1" t="s">
        <v>107</v>
      </c>
      <c r="F729" s="1" t="s">
        <v>1274</v>
      </c>
      <c r="G729" s="1" t="s">
        <v>11</v>
      </c>
      <c r="H729" s="1">
        <v>2019.0</v>
      </c>
      <c r="I729" s="1" t="s">
        <v>240</v>
      </c>
      <c r="J729" s="1" t="s">
        <v>1272</v>
      </c>
      <c r="K729" s="1">
        <v>5.0</v>
      </c>
      <c r="L729" s="1" t="s">
        <v>1273</v>
      </c>
      <c r="M729" s="1">
        <v>0.0</v>
      </c>
    </row>
    <row r="730">
      <c r="A730" s="1">
        <v>890.0</v>
      </c>
      <c r="B730" s="1">
        <v>3.0</v>
      </c>
      <c r="C730" s="1">
        <v>0.7098615394142</v>
      </c>
      <c r="D730" s="1" t="s">
        <v>823</v>
      </c>
      <c r="E730" s="1" t="s">
        <v>58</v>
      </c>
      <c r="F730" s="1" t="s">
        <v>1274</v>
      </c>
      <c r="G730" s="1" t="s">
        <v>11</v>
      </c>
      <c r="H730" s="1">
        <v>2024.0</v>
      </c>
      <c r="I730" s="1" t="s">
        <v>630</v>
      </c>
      <c r="J730" s="1" t="s">
        <v>1272</v>
      </c>
      <c r="K730" s="1">
        <v>5.0</v>
      </c>
      <c r="L730" s="1" t="s">
        <v>1273</v>
      </c>
      <c r="M730" s="1">
        <v>7.0</v>
      </c>
    </row>
    <row r="731">
      <c r="A731" s="1">
        <v>486.0</v>
      </c>
      <c r="B731" s="1">
        <v>9.0</v>
      </c>
      <c r="C731" s="1">
        <v>0.709843752366077</v>
      </c>
      <c r="D731" s="1" t="s">
        <v>447</v>
      </c>
      <c r="E731" s="1" t="s">
        <v>10</v>
      </c>
      <c r="F731" s="1" t="s">
        <v>97</v>
      </c>
      <c r="G731" s="1" t="s">
        <v>11</v>
      </c>
      <c r="H731" s="1">
        <v>2011.0</v>
      </c>
      <c r="I731" s="1" t="s">
        <v>240</v>
      </c>
      <c r="J731" s="1" t="s">
        <v>1272</v>
      </c>
      <c r="K731" s="1">
        <v>10.0</v>
      </c>
      <c r="L731" s="1" t="s">
        <v>1273</v>
      </c>
      <c r="M731" s="1">
        <v>3.0</v>
      </c>
    </row>
    <row r="732">
      <c r="A732" s="1">
        <v>536.0</v>
      </c>
      <c r="B732" s="1">
        <v>2.0</v>
      </c>
      <c r="C732" s="1">
        <v>0.709782793649589</v>
      </c>
      <c r="D732" s="1" t="s">
        <v>497</v>
      </c>
      <c r="E732" s="1" t="s">
        <v>124</v>
      </c>
      <c r="F732" s="1" t="s">
        <v>18</v>
      </c>
      <c r="G732" s="1" t="s">
        <v>26</v>
      </c>
      <c r="H732" s="1">
        <v>2015.0</v>
      </c>
      <c r="I732" s="1" t="s">
        <v>240</v>
      </c>
      <c r="J732" s="1" t="s">
        <v>1272</v>
      </c>
      <c r="K732" s="1">
        <v>10.0</v>
      </c>
      <c r="L732" s="1" t="s">
        <v>1273</v>
      </c>
      <c r="M732" s="1">
        <v>0.0</v>
      </c>
    </row>
    <row r="733">
      <c r="A733" s="1">
        <v>696.0</v>
      </c>
      <c r="B733" s="1">
        <v>3.0</v>
      </c>
      <c r="C733" s="1">
        <v>0.707696410993614</v>
      </c>
      <c r="D733" s="1" t="s">
        <v>634</v>
      </c>
      <c r="E733" s="1" t="s">
        <v>102</v>
      </c>
      <c r="F733" s="1" t="s">
        <v>18</v>
      </c>
      <c r="G733" s="1" t="s">
        <v>42</v>
      </c>
      <c r="H733" s="1">
        <v>2009.0</v>
      </c>
      <c r="I733" s="1" t="s">
        <v>630</v>
      </c>
      <c r="J733" s="1" t="s">
        <v>1272</v>
      </c>
      <c r="K733" s="1">
        <v>5.0</v>
      </c>
      <c r="L733" s="1" t="s">
        <v>1273</v>
      </c>
      <c r="M733" s="1">
        <v>-1.0</v>
      </c>
    </row>
    <row r="734">
      <c r="A734" s="1">
        <v>694.0</v>
      </c>
      <c r="B734" s="1">
        <v>3.0</v>
      </c>
      <c r="C734" s="1">
        <v>0.706145515118819</v>
      </c>
      <c r="D734" s="1" t="s">
        <v>632</v>
      </c>
      <c r="E734" s="1" t="s">
        <v>102</v>
      </c>
      <c r="F734" s="1" t="s">
        <v>18</v>
      </c>
      <c r="G734" s="1" t="s">
        <v>42</v>
      </c>
      <c r="H734" s="1">
        <v>2009.0</v>
      </c>
      <c r="I734" s="1" t="s">
        <v>630</v>
      </c>
      <c r="J734" s="1" t="s">
        <v>1272</v>
      </c>
      <c r="K734" s="1">
        <v>5.0</v>
      </c>
      <c r="L734" s="1" t="s">
        <v>1273</v>
      </c>
      <c r="M734" s="1">
        <v>1.0</v>
      </c>
    </row>
    <row r="735">
      <c r="A735" s="1">
        <v>729.0</v>
      </c>
      <c r="B735" s="1">
        <v>3.0</v>
      </c>
      <c r="C735" s="1">
        <v>0.704720090767036</v>
      </c>
      <c r="D735" s="1" t="s">
        <v>667</v>
      </c>
      <c r="E735" s="1" t="s">
        <v>10</v>
      </c>
      <c r="F735" s="1" t="s">
        <v>18</v>
      </c>
      <c r="G735" s="1" t="s">
        <v>42</v>
      </c>
      <c r="H735" s="1">
        <v>2014.0</v>
      </c>
      <c r="I735" s="1" t="s">
        <v>630</v>
      </c>
      <c r="J735" s="1" t="s">
        <v>1272</v>
      </c>
      <c r="K735" s="1">
        <v>7.0</v>
      </c>
      <c r="L735" s="1" t="s">
        <v>1273</v>
      </c>
      <c r="M735" s="1">
        <v>1.0</v>
      </c>
    </row>
    <row r="736">
      <c r="A736" s="1">
        <v>915.0</v>
      </c>
      <c r="B736" s="1">
        <v>3.0</v>
      </c>
      <c r="C736" s="1">
        <v>0.703866836134257</v>
      </c>
      <c r="D736" s="1" t="s">
        <v>849</v>
      </c>
      <c r="E736" s="1" t="s">
        <v>173</v>
      </c>
      <c r="F736" s="1" t="s">
        <v>1274</v>
      </c>
      <c r="G736" s="1" t="s">
        <v>609</v>
      </c>
      <c r="H736" s="1">
        <v>2015.0</v>
      </c>
      <c r="I736" s="1" t="s">
        <v>630</v>
      </c>
      <c r="J736" s="1" t="s">
        <v>1272</v>
      </c>
      <c r="K736" s="1">
        <v>5.0</v>
      </c>
      <c r="L736" s="1" t="s">
        <v>1273</v>
      </c>
      <c r="M736" s="1">
        <v>-1.0</v>
      </c>
    </row>
    <row r="737">
      <c r="A737" s="1">
        <v>157.0</v>
      </c>
      <c r="B737" s="1">
        <v>2.0</v>
      </c>
      <c r="C737" s="1">
        <v>0.703389261636296</v>
      </c>
      <c r="D737" s="1" t="s">
        <v>172</v>
      </c>
      <c r="E737" s="1" t="s">
        <v>173</v>
      </c>
      <c r="F737" s="1" t="s">
        <v>1274</v>
      </c>
      <c r="G737" s="2">
        <v>46213.0</v>
      </c>
      <c r="H737" s="1">
        <v>2015.0</v>
      </c>
      <c r="I737" s="1" t="s">
        <v>12</v>
      </c>
      <c r="J737" s="1" t="s">
        <v>1272</v>
      </c>
      <c r="K737" s="1">
        <v>10.0</v>
      </c>
      <c r="L737" s="1" t="s">
        <v>1273</v>
      </c>
      <c r="M737" s="1">
        <v>-1.0</v>
      </c>
    </row>
    <row r="738">
      <c r="A738" s="1">
        <v>306.0</v>
      </c>
      <c r="B738" s="1">
        <v>4.0</v>
      </c>
      <c r="C738" s="1">
        <v>0.703161629958521</v>
      </c>
      <c r="D738" s="1" t="s">
        <v>294</v>
      </c>
      <c r="E738" s="1" t="s">
        <v>24</v>
      </c>
      <c r="F738" s="1" t="s">
        <v>18</v>
      </c>
      <c r="G738" s="1" t="s">
        <v>42</v>
      </c>
      <c r="H738" s="1">
        <v>2024.0</v>
      </c>
      <c r="I738" s="1" t="s">
        <v>240</v>
      </c>
      <c r="J738" s="1" t="s">
        <v>1272</v>
      </c>
      <c r="K738" s="1">
        <v>7.0</v>
      </c>
      <c r="L738" s="1" t="s">
        <v>1273</v>
      </c>
      <c r="M738" s="1">
        <v>2.0</v>
      </c>
    </row>
    <row r="739">
      <c r="A739" s="1">
        <v>704.0</v>
      </c>
      <c r="B739" s="1">
        <v>3.0</v>
      </c>
      <c r="C739" s="1">
        <v>0.700163092769976</v>
      </c>
      <c r="D739" s="1" t="s">
        <v>642</v>
      </c>
      <c r="E739" s="1" t="s">
        <v>102</v>
      </c>
      <c r="F739" s="1" t="s">
        <v>18</v>
      </c>
      <c r="G739" s="1" t="s">
        <v>42</v>
      </c>
      <c r="H739" s="1">
        <v>2009.0</v>
      </c>
      <c r="I739" s="1" t="s">
        <v>630</v>
      </c>
      <c r="J739" s="1" t="s">
        <v>1272</v>
      </c>
      <c r="K739" s="1">
        <v>7.0</v>
      </c>
      <c r="L739" s="1" t="s">
        <v>1273</v>
      </c>
      <c r="M739" s="1">
        <v>1.0</v>
      </c>
    </row>
    <row r="740">
      <c r="A740" s="1">
        <v>584.0</v>
      </c>
      <c r="B740" s="1">
        <v>4.0</v>
      </c>
      <c r="C740" s="1">
        <v>0.700022290365473</v>
      </c>
      <c r="D740" s="1" t="s">
        <v>536</v>
      </c>
      <c r="E740" s="1" t="s">
        <v>187</v>
      </c>
      <c r="F740" s="1" t="s">
        <v>1274</v>
      </c>
      <c r="G740" s="1" t="s">
        <v>1274</v>
      </c>
      <c r="H740" s="1" t="s">
        <v>1274</v>
      </c>
      <c r="I740" s="1" t="s">
        <v>240</v>
      </c>
      <c r="J740" s="1" t="s">
        <v>1272</v>
      </c>
      <c r="K740" s="1">
        <v>7.0</v>
      </c>
      <c r="L740" s="1" t="s">
        <v>1273</v>
      </c>
      <c r="M740" s="1">
        <v>2.0</v>
      </c>
    </row>
    <row r="741">
      <c r="A741" s="1">
        <v>266.0</v>
      </c>
      <c r="B741" s="1">
        <v>2.0</v>
      </c>
      <c r="C741" s="1">
        <v>0.699818031786711</v>
      </c>
      <c r="D741" s="1" t="s">
        <v>259</v>
      </c>
      <c r="E741" s="1" t="s">
        <v>17</v>
      </c>
      <c r="F741" s="1" t="s">
        <v>118</v>
      </c>
      <c r="G741" s="1" t="s">
        <v>1274</v>
      </c>
      <c r="H741" s="1">
        <v>2023.0</v>
      </c>
      <c r="I741" s="1" t="s">
        <v>240</v>
      </c>
      <c r="J741" s="1" t="s">
        <v>1272</v>
      </c>
      <c r="K741" s="1">
        <v>5.0</v>
      </c>
      <c r="L741" s="1" t="s">
        <v>1273</v>
      </c>
      <c r="M741" s="1">
        <v>-1.0</v>
      </c>
    </row>
    <row r="742">
      <c r="A742" s="1">
        <v>843.0</v>
      </c>
      <c r="B742" s="1">
        <v>3.0</v>
      </c>
      <c r="C742" s="1">
        <v>0.69943079236704</v>
      </c>
      <c r="D742" s="1" t="s">
        <v>779</v>
      </c>
      <c r="E742" s="1" t="s">
        <v>107</v>
      </c>
      <c r="F742" s="1" t="s">
        <v>18</v>
      </c>
      <c r="G742" s="1" t="s">
        <v>1274</v>
      </c>
      <c r="H742" s="1">
        <v>2024.0</v>
      </c>
      <c r="I742" s="1" t="s">
        <v>630</v>
      </c>
      <c r="J742" s="1" t="s">
        <v>1272</v>
      </c>
      <c r="K742" s="1">
        <v>7.0</v>
      </c>
      <c r="L742" s="1" t="s">
        <v>1273</v>
      </c>
      <c r="M742" s="1">
        <v>1.0</v>
      </c>
    </row>
    <row r="743">
      <c r="A743" s="1">
        <v>611.0</v>
      </c>
      <c r="B743" s="1">
        <v>2.0</v>
      </c>
      <c r="C743" s="1">
        <v>0.699113957518788</v>
      </c>
      <c r="D743" s="1" t="s">
        <v>563</v>
      </c>
      <c r="E743" s="1" t="s">
        <v>102</v>
      </c>
      <c r="F743" s="1" t="s">
        <v>1274</v>
      </c>
      <c r="G743" s="1" t="s">
        <v>11</v>
      </c>
      <c r="H743" s="1">
        <v>2010.0</v>
      </c>
      <c r="I743" s="1" t="s">
        <v>240</v>
      </c>
      <c r="J743" s="1" t="s">
        <v>1272</v>
      </c>
      <c r="K743" s="1">
        <v>5.0</v>
      </c>
      <c r="L743" s="1" t="s">
        <v>1273</v>
      </c>
      <c r="M743" s="1">
        <v>-1.0</v>
      </c>
    </row>
    <row r="744">
      <c r="A744" s="1">
        <v>699.0</v>
      </c>
      <c r="B744" s="1">
        <v>3.0</v>
      </c>
      <c r="C744" s="1">
        <v>0.697794184942102</v>
      </c>
      <c r="D744" s="1" t="s">
        <v>637</v>
      </c>
      <c r="E744" s="1" t="s">
        <v>102</v>
      </c>
      <c r="F744" s="1" t="s">
        <v>18</v>
      </c>
      <c r="G744" s="1" t="s">
        <v>42</v>
      </c>
      <c r="H744" s="1">
        <v>2009.0</v>
      </c>
      <c r="I744" s="1" t="s">
        <v>630</v>
      </c>
      <c r="J744" s="1" t="s">
        <v>1272</v>
      </c>
      <c r="K744" s="1">
        <v>7.0</v>
      </c>
      <c r="L744" s="1" t="s">
        <v>1273</v>
      </c>
      <c r="M744" s="1">
        <v>1.0</v>
      </c>
    </row>
    <row r="745">
      <c r="A745" s="1">
        <v>1059.0</v>
      </c>
      <c r="B745" s="1">
        <v>2.0</v>
      </c>
      <c r="C745" s="1">
        <v>0.697392070143696</v>
      </c>
      <c r="D745" s="1" t="s">
        <v>963</v>
      </c>
      <c r="E745" s="1" t="s">
        <v>1274</v>
      </c>
      <c r="F745" s="1" t="s">
        <v>1274</v>
      </c>
      <c r="G745" s="1" t="s">
        <v>1274</v>
      </c>
      <c r="H745" s="1">
        <v>2005.0</v>
      </c>
      <c r="I745" s="1" t="s">
        <v>861</v>
      </c>
      <c r="J745" s="1" t="s">
        <v>1272</v>
      </c>
      <c r="K745" s="1">
        <v>7.0</v>
      </c>
      <c r="L745" s="1" t="s">
        <v>1273</v>
      </c>
      <c r="M745" s="1">
        <v>-1.0</v>
      </c>
    </row>
    <row r="746">
      <c r="A746" s="1">
        <v>154.0</v>
      </c>
      <c r="B746" s="1">
        <v>10.0</v>
      </c>
      <c r="C746" s="1">
        <v>0.696250347266141</v>
      </c>
      <c r="D746" s="1" t="s">
        <v>169</v>
      </c>
      <c r="E746" s="1" t="s">
        <v>58</v>
      </c>
      <c r="F746" s="1" t="s">
        <v>1274</v>
      </c>
      <c r="G746" s="1" t="s">
        <v>167</v>
      </c>
      <c r="H746" s="1">
        <v>2022.0</v>
      </c>
      <c r="I746" s="1" t="s">
        <v>12</v>
      </c>
      <c r="J746" s="1" t="s">
        <v>1272</v>
      </c>
      <c r="K746" s="1">
        <v>10.0</v>
      </c>
      <c r="L746" s="1" t="s">
        <v>1273</v>
      </c>
      <c r="M746" s="1">
        <v>-1.0</v>
      </c>
    </row>
    <row r="747">
      <c r="A747" s="1">
        <v>1015.0</v>
      </c>
      <c r="B747" s="1">
        <v>3.0</v>
      </c>
      <c r="C747" s="1">
        <v>0.695916208956736</v>
      </c>
      <c r="D747" s="1" t="s">
        <v>922</v>
      </c>
      <c r="E747" s="1" t="s">
        <v>58</v>
      </c>
      <c r="F747" s="1" t="s">
        <v>18</v>
      </c>
      <c r="G747" s="1" t="s">
        <v>42</v>
      </c>
      <c r="H747" s="1">
        <v>2024.0</v>
      </c>
      <c r="I747" s="1" t="s">
        <v>861</v>
      </c>
      <c r="J747" s="1" t="s">
        <v>1272</v>
      </c>
      <c r="K747" s="1">
        <v>5.0</v>
      </c>
      <c r="L747" s="1" t="s">
        <v>1273</v>
      </c>
      <c r="M747" s="1">
        <v>0.0</v>
      </c>
    </row>
    <row r="748">
      <c r="A748" s="1">
        <v>161.0</v>
      </c>
      <c r="B748" s="1">
        <v>3.0</v>
      </c>
      <c r="C748" s="1">
        <v>0.695341293148005</v>
      </c>
      <c r="D748" s="1" t="s">
        <v>177</v>
      </c>
      <c r="E748" s="1" t="s">
        <v>173</v>
      </c>
      <c r="F748" s="1" t="s">
        <v>1274</v>
      </c>
      <c r="G748" s="2">
        <v>46213.0</v>
      </c>
      <c r="H748" s="1">
        <v>2015.0</v>
      </c>
      <c r="I748" s="1" t="s">
        <v>12</v>
      </c>
      <c r="J748" s="1" t="s">
        <v>1272</v>
      </c>
      <c r="K748" s="1">
        <v>5.0</v>
      </c>
      <c r="L748" s="1" t="s">
        <v>1273</v>
      </c>
      <c r="M748" s="1">
        <v>16.0</v>
      </c>
    </row>
    <row r="749">
      <c r="A749" s="1">
        <v>346.0</v>
      </c>
      <c r="B749" s="1">
        <v>2.0</v>
      </c>
      <c r="C749" s="1">
        <v>0.69415780478929</v>
      </c>
      <c r="D749" s="1" t="s">
        <v>332</v>
      </c>
      <c r="E749" s="1" t="s">
        <v>45</v>
      </c>
      <c r="F749" s="1" t="s">
        <v>65</v>
      </c>
      <c r="G749" s="1" t="s">
        <v>1274</v>
      </c>
      <c r="H749" s="1">
        <v>2019.0</v>
      </c>
      <c r="I749" s="1" t="s">
        <v>240</v>
      </c>
      <c r="J749" s="1" t="s">
        <v>1272</v>
      </c>
      <c r="K749" s="1">
        <v>5.0</v>
      </c>
      <c r="L749" s="1" t="s">
        <v>1273</v>
      </c>
      <c r="M749" s="1">
        <v>0.0</v>
      </c>
    </row>
    <row r="750">
      <c r="A750" s="1">
        <v>751.0</v>
      </c>
      <c r="B750" s="1">
        <v>3.0</v>
      </c>
      <c r="C750" s="1">
        <v>0.694019032352809</v>
      </c>
      <c r="D750" s="1" t="s">
        <v>687</v>
      </c>
      <c r="E750" s="1" t="s">
        <v>58</v>
      </c>
      <c r="F750" s="1" t="s">
        <v>1274</v>
      </c>
      <c r="G750" s="1" t="s">
        <v>42</v>
      </c>
      <c r="H750" s="1">
        <v>2024.0</v>
      </c>
      <c r="I750" s="1" t="s">
        <v>630</v>
      </c>
      <c r="J750" s="1" t="s">
        <v>1272</v>
      </c>
      <c r="K750" s="1">
        <v>5.0</v>
      </c>
      <c r="L750" s="1" t="s">
        <v>1273</v>
      </c>
      <c r="M750" s="1">
        <v>6.0</v>
      </c>
    </row>
    <row r="751">
      <c r="A751" s="1">
        <v>831.0</v>
      </c>
      <c r="B751" s="1">
        <v>9.0</v>
      </c>
      <c r="C751" s="1">
        <v>0.692507090856689</v>
      </c>
      <c r="D751" s="1" t="s">
        <v>767</v>
      </c>
      <c r="E751" s="1" t="s">
        <v>107</v>
      </c>
      <c r="F751" s="1" t="s">
        <v>18</v>
      </c>
      <c r="G751" s="1" t="s">
        <v>1274</v>
      </c>
      <c r="H751" s="1">
        <v>2024.0</v>
      </c>
      <c r="I751" s="1" t="s">
        <v>630</v>
      </c>
      <c r="J751" s="1" t="s">
        <v>1272</v>
      </c>
      <c r="K751" s="1">
        <v>10.0</v>
      </c>
      <c r="L751" s="1" t="s">
        <v>1273</v>
      </c>
      <c r="M751" s="1">
        <v>-1.0</v>
      </c>
    </row>
    <row r="752">
      <c r="A752" s="1">
        <v>1144.0</v>
      </c>
      <c r="B752" s="1">
        <v>2.0</v>
      </c>
      <c r="C752" s="1">
        <v>0.68997110686796</v>
      </c>
      <c r="D752" s="1" t="s">
        <v>1028</v>
      </c>
      <c r="E752" s="1" t="s">
        <v>17</v>
      </c>
      <c r="F752" s="1" t="s">
        <v>118</v>
      </c>
      <c r="G752" s="1" t="s">
        <v>1274</v>
      </c>
      <c r="H752" s="1">
        <v>2023.0</v>
      </c>
      <c r="I752" s="1" t="s">
        <v>861</v>
      </c>
      <c r="J752" s="1" t="s">
        <v>1272</v>
      </c>
      <c r="K752" s="1">
        <v>10.0</v>
      </c>
      <c r="L752" s="1" t="s">
        <v>1273</v>
      </c>
      <c r="M752" s="1">
        <v>9.0</v>
      </c>
    </row>
    <row r="753">
      <c r="A753" s="1">
        <v>138.0</v>
      </c>
      <c r="B753" s="1">
        <v>7.0</v>
      </c>
      <c r="C753" s="1">
        <v>0.688729410142947</v>
      </c>
      <c r="D753" s="1" t="s">
        <v>155</v>
      </c>
      <c r="E753" s="1" t="s">
        <v>111</v>
      </c>
      <c r="F753" s="1" t="s">
        <v>1274</v>
      </c>
      <c r="G753" s="1" t="s">
        <v>42</v>
      </c>
      <c r="H753" s="1">
        <v>1983.0</v>
      </c>
      <c r="I753" s="1" t="s">
        <v>12</v>
      </c>
      <c r="J753" s="1" t="s">
        <v>1272</v>
      </c>
      <c r="K753" s="1">
        <v>10.0</v>
      </c>
      <c r="L753" s="1" t="s">
        <v>1273</v>
      </c>
      <c r="M753" s="1">
        <v>0.0</v>
      </c>
    </row>
    <row r="754">
      <c r="A754" s="1">
        <v>251.0</v>
      </c>
      <c r="B754" s="1">
        <v>2.0</v>
      </c>
      <c r="C754" s="1">
        <v>0.688526013667808</v>
      </c>
      <c r="D754" s="1" t="s">
        <v>244</v>
      </c>
      <c r="E754" s="1" t="s">
        <v>24</v>
      </c>
      <c r="F754" s="1" t="s">
        <v>25</v>
      </c>
      <c r="G754" s="1" t="s">
        <v>26</v>
      </c>
      <c r="H754" s="1">
        <v>2014.0</v>
      </c>
      <c r="I754" s="1" t="s">
        <v>240</v>
      </c>
      <c r="J754" s="1" t="s">
        <v>1272</v>
      </c>
      <c r="K754" s="1">
        <v>7.0</v>
      </c>
      <c r="L754" s="1" t="s">
        <v>1273</v>
      </c>
      <c r="M754" s="1">
        <v>5.0</v>
      </c>
    </row>
    <row r="755">
      <c r="A755" s="1">
        <v>879.0</v>
      </c>
      <c r="B755" s="1">
        <v>3.0</v>
      </c>
      <c r="C755" s="1">
        <v>0.686332628448875</v>
      </c>
      <c r="D755" s="1" t="s">
        <v>812</v>
      </c>
      <c r="E755" s="1" t="s">
        <v>58</v>
      </c>
      <c r="F755" s="1" t="s">
        <v>1274</v>
      </c>
      <c r="G755" s="1" t="s">
        <v>11</v>
      </c>
      <c r="H755" s="1">
        <v>2024.0</v>
      </c>
      <c r="I755" s="1" t="s">
        <v>630</v>
      </c>
      <c r="J755" s="1" t="s">
        <v>1272</v>
      </c>
      <c r="K755" s="1">
        <v>7.0</v>
      </c>
      <c r="L755" s="1" t="s">
        <v>1273</v>
      </c>
      <c r="M755" s="1">
        <v>1.0</v>
      </c>
    </row>
    <row r="756">
      <c r="A756" s="1">
        <v>505.0</v>
      </c>
      <c r="B756" s="1">
        <v>2.0</v>
      </c>
      <c r="C756" s="1">
        <v>0.686256272467811</v>
      </c>
      <c r="D756" s="1" t="s">
        <v>466</v>
      </c>
      <c r="E756" s="1" t="s">
        <v>111</v>
      </c>
      <c r="F756" s="1" t="s">
        <v>1274</v>
      </c>
      <c r="G756" s="1" t="s">
        <v>42</v>
      </c>
      <c r="H756" s="1">
        <v>2022.0</v>
      </c>
      <c r="I756" s="1" t="s">
        <v>240</v>
      </c>
      <c r="J756" s="1" t="s">
        <v>1272</v>
      </c>
      <c r="K756" s="1">
        <v>10.0</v>
      </c>
      <c r="L756" s="1" t="s">
        <v>1273</v>
      </c>
      <c r="M756" s="1">
        <v>12.0</v>
      </c>
    </row>
    <row r="757">
      <c r="A757" s="1">
        <v>918.0</v>
      </c>
      <c r="B757" s="1">
        <v>3.0</v>
      </c>
      <c r="C757" s="1">
        <v>0.685569684449697</v>
      </c>
      <c r="D757" s="1" t="s">
        <v>852</v>
      </c>
      <c r="E757" s="1" t="s">
        <v>173</v>
      </c>
      <c r="F757" s="1" t="s">
        <v>1274</v>
      </c>
      <c r="G757" s="1" t="s">
        <v>609</v>
      </c>
      <c r="H757" s="1">
        <v>2015.0</v>
      </c>
      <c r="I757" s="1" t="s">
        <v>630</v>
      </c>
      <c r="J757" s="1" t="s">
        <v>1272</v>
      </c>
      <c r="K757" s="1">
        <v>5.0</v>
      </c>
      <c r="L757" s="1" t="s">
        <v>1273</v>
      </c>
      <c r="M757" s="1">
        <v>1.0</v>
      </c>
    </row>
    <row r="758">
      <c r="A758" s="1">
        <v>1091.0</v>
      </c>
      <c r="B758" s="1">
        <v>2.0</v>
      </c>
      <c r="C758" s="1">
        <v>0.685188551781449</v>
      </c>
      <c r="D758" s="1" t="s">
        <v>991</v>
      </c>
      <c r="E758" s="1" t="s">
        <v>124</v>
      </c>
      <c r="F758" s="1" t="s">
        <v>178</v>
      </c>
      <c r="G758" s="1" t="s">
        <v>1274</v>
      </c>
      <c r="H758" s="1">
        <v>2013.0</v>
      </c>
      <c r="I758" s="1" t="s">
        <v>861</v>
      </c>
      <c r="J758" s="1" t="s">
        <v>1272</v>
      </c>
      <c r="K758" s="1">
        <v>5.0</v>
      </c>
      <c r="L758" s="1" t="s">
        <v>1273</v>
      </c>
      <c r="M758" s="1">
        <v>0.0</v>
      </c>
    </row>
    <row r="759">
      <c r="A759" s="1">
        <v>667.0</v>
      </c>
      <c r="B759" s="1">
        <v>2.0</v>
      </c>
      <c r="C759" s="1">
        <v>0.684584498823538</v>
      </c>
      <c r="D759" s="1" t="s">
        <v>607</v>
      </c>
      <c r="E759" s="1" t="s">
        <v>173</v>
      </c>
      <c r="F759" s="1" t="s">
        <v>18</v>
      </c>
      <c r="G759" s="1" t="s">
        <v>42</v>
      </c>
      <c r="H759" s="1">
        <v>2021.0</v>
      </c>
      <c r="I759" s="1" t="s">
        <v>240</v>
      </c>
      <c r="J759" s="1" t="s">
        <v>1272</v>
      </c>
      <c r="K759" s="1">
        <v>10.0</v>
      </c>
      <c r="L759" s="1" t="s">
        <v>1273</v>
      </c>
      <c r="M759" s="1">
        <v>-1.0</v>
      </c>
    </row>
    <row r="760">
      <c r="A760" s="1">
        <v>1148.0</v>
      </c>
      <c r="B760" s="1">
        <v>4.0</v>
      </c>
      <c r="C760" s="1">
        <v>0.684253104094979</v>
      </c>
      <c r="D760" s="1" t="s">
        <v>1031</v>
      </c>
      <c r="E760" s="1" t="s">
        <v>20</v>
      </c>
      <c r="F760" s="1" t="s">
        <v>18</v>
      </c>
      <c r="G760" s="1" t="s">
        <v>42</v>
      </c>
      <c r="H760" s="1">
        <v>2018.0</v>
      </c>
      <c r="I760" s="1" t="s">
        <v>861</v>
      </c>
      <c r="J760" s="1" t="s">
        <v>1272</v>
      </c>
      <c r="K760" s="1">
        <v>5.0</v>
      </c>
      <c r="L760" s="1" t="s">
        <v>1273</v>
      </c>
      <c r="M760" s="1">
        <v>0.0</v>
      </c>
    </row>
    <row r="761">
      <c r="A761" s="1">
        <v>1086.0</v>
      </c>
      <c r="B761" s="1">
        <v>2.0</v>
      </c>
      <c r="C761" s="1">
        <v>0.682930523770037</v>
      </c>
      <c r="D761" s="1" t="s">
        <v>990</v>
      </c>
      <c r="E761" s="1" t="s">
        <v>17</v>
      </c>
      <c r="F761" s="1" t="s">
        <v>18</v>
      </c>
      <c r="G761" s="1">
        <v>8.0</v>
      </c>
      <c r="H761" s="1">
        <v>2023.0</v>
      </c>
      <c r="I761" s="1" t="s">
        <v>861</v>
      </c>
      <c r="J761" s="1" t="s">
        <v>1272</v>
      </c>
      <c r="K761" s="1">
        <v>7.0</v>
      </c>
      <c r="L761" s="1" t="s">
        <v>1273</v>
      </c>
      <c r="M761" s="1">
        <v>0.0</v>
      </c>
    </row>
    <row r="762">
      <c r="A762" s="1">
        <v>418.0</v>
      </c>
      <c r="B762" s="1">
        <v>2.0</v>
      </c>
      <c r="C762" s="1">
        <v>0.682636189976775</v>
      </c>
      <c r="D762" s="1" t="s">
        <v>394</v>
      </c>
      <c r="E762" s="1" t="s">
        <v>24</v>
      </c>
      <c r="F762" s="1" t="s">
        <v>18</v>
      </c>
      <c r="G762" s="1" t="s">
        <v>42</v>
      </c>
      <c r="H762" s="1">
        <v>2024.0</v>
      </c>
      <c r="I762" s="1" t="s">
        <v>240</v>
      </c>
      <c r="J762" s="1" t="s">
        <v>1272</v>
      </c>
      <c r="K762" s="1">
        <v>5.0</v>
      </c>
      <c r="L762" s="1" t="s">
        <v>1273</v>
      </c>
      <c r="M762" s="1">
        <v>4.0</v>
      </c>
    </row>
    <row r="763">
      <c r="A763" s="1">
        <v>901.0</v>
      </c>
      <c r="B763" s="1">
        <v>3.0</v>
      </c>
      <c r="C763" s="1">
        <v>0.682330802340332</v>
      </c>
      <c r="D763" s="1" t="s">
        <v>835</v>
      </c>
      <c r="E763" s="1" t="s">
        <v>173</v>
      </c>
      <c r="F763" s="1" t="s">
        <v>1274</v>
      </c>
      <c r="G763" s="1" t="s">
        <v>609</v>
      </c>
      <c r="H763" s="1">
        <v>2015.0</v>
      </c>
      <c r="I763" s="1" t="s">
        <v>630</v>
      </c>
      <c r="J763" s="1" t="s">
        <v>1272</v>
      </c>
      <c r="K763" s="1">
        <v>5.0</v>
      </c>
      <c r="L763" s="1" t="s">
        <v>1273</v>
      </c>
      <c r="M763" s="1">
        <v>1.0</v>
      </c>
    </row>
    <row r="764">
      <c r="A764" s="1">
        <v>1083.0</v>
      </c>
      <c r="B764" s="1">
        <v>2.0</v>
      </c>
      <c r="C764" s="1">
        <v>0.68209154315186</v>
      </c>
      <c r="D764" s="1" t="s">
        <v>987</v>
      </c>
      <c r="E764" s="1" t="s">
        <v>17</v>
      </c>
      <c r="F764" s="1" t="s">
        <v>18</v>
      </c>
      <c r="G764" s="1">
        <v>8.0</v>
      </c>
      <c r="H764" s="1">
        <v>2023.0</v>
      </c>
      <c r="I764" s="1" t="s">
        <v>861</v>
      </c>
      <c r="J764" s="1" t="s">
        <v>1272</v>
      </c>
      <c r="K764" s="1">
        <v>7.0</v>
      </c>
      <c r="L764" s="1" t="s">
        <v>1273</v>
      </c>
      <c r="M764" s="1">
        <v>11.0</v>
      </c>
    </row>
    <row r="765">
      <c r="A765" s="1">
        <v>1045.0</v>
      </c>
      <c r="B765" s="1">
        <v>2.0</v>
      </c>
      <c r="C765" s="1">
        <v>0.679921699997018</v>
      </c>
      <c r="D765" s="1" t="s">
        <v>949</v>
      </c>
      <c r="E765" s="1" t="s">
        <v>124</v>
      </c>
      <c r="F765" s="1" t="s">
        <v>178</v>
      </c>
      <c r="G765" s="1" t="s">
        <v>1274</v>
      </c>
      <c r="H765" s="1">
        <v>2012.0</v>
      </c>
      <c r="I765" s="1" t="s">
        <v>861</v>
      </c>
      <c r="J765" s="1" t="s">
        <v>1272</v>
      </c>
      <c r="K765" s="1">
        <v>5.0</v>
      </c>
      <c r="L765" s="1" t="s">
        <v>1273</v>
      </c>
      <c r="M765" s="1">
        <v>0.0</v>
      </c>
    </row>
    <row r="766">
      <c r="A766" s="1">
        <v>276.0</v>
      </c>
      <c r="B766" s="1">
        <v>6.0</v>
      </c>
      <c r="C766" s="1">
        <v>0.679120213368641</v>
      </c>
      <c r="D766" s="1" t="s">
        <v>269</v>
      </c>
      <c r="E766" s="1" t="s">
        <v>124</v>
      </c>
      <c r="F766" s="1" t="s">
        <v>178</v>
      </c>
      <c r="G766" s="1" t="s">
        <v>1274</v>
      </c>
      <c r="H766" s="1">
        <v>2024.0</v>
      </c>
      <c r="I766" s="1" t="s">
        <v>240</v>
      </c>
      <c r="J766" s="1" t="s">
        <v>1272</v>
      </c>
      <c r="K766" s="1">
        <v>7.0</v>
      </c>
      <c r="L766" s="1" t="s">
        <v>1273</v>
      </c>
      <c r="M766" s="1">
        <v>0.0</v>
      </c>
    </row>
    <row r="767">
      <c r="A767" s="1">
        <v>1125.0</v>
      </c>
      <c r="B767" s="1">
        <v>3.0</v>
      </c>
      <c r="C767" s="1">
        <v>0.678288690570979</v>
      </c>
      <c r="D767" s="1" t="s">
        <v>1012</v>
      </c>
      <c r="E767" s="1" t="s">
        <v>58</v>
      </c>
      <c r="F767" s="1" t="s">
        <v>18</v>
      </c>
      <c r="G767" s="1" t="s">
        <v>11</v>
      </c>
      <c r="H767" s="1">
        <v>2024.0</v>
      </c>
      <c r="I767" s="1" t="s">
        <v>861</v>
      </c>
      <c r="J767" s="1" t="s">
        <v>1272</v>
      </c>
      <c r="K767" s="1">
        <v>5.0</v>
      </c>
      <c r="L767" s="1" t="s">
        <v>1273</v>
      </c>
      <c r="M767" s="1">
        <v>0.0</v>
      </c>
    </row>
    <row r="768">
      <c r="A768" s="1">
        <v>862.0</v>
      </c>
      <c r="B768" s="1">
        <v>3.0</v>
      </c>
      <c r="C768" s="1">
        <v>0.678138517278522</v>
      </c>
      <c r="D768" s="1" t="s">
        <v>798</v>
      </c>
      <c r="E768" s="1" t="s">
        <v>47</v>
      </c>
      <c r="F768" s="1" t="s">
        <v>1274</v>
      </c>
      <c r="G768" s="1" t="s">
        <v>42</v>
      </c>
      <c r="H768" s="1">
        <v>2016.0</v>
      </c>
      <c r="I768" s="1" t="s">
        <v>630</v>
      </c>
      <c r="J768" s="1" t="s">
        <v>1272</v>
      </c>
      <c r="K768" s="1">
        <v>5.0</v>
      </c>
      <c r="L768" s="1" t="s">
        <v>1273</v>
      </c>
      <c r="M768" s="1">
        <v>-1.0</v>
      </c>
    </row>
    <row r="769">
      <c r="A769" s="1">
        <v>226.0</v>
      </c>
      <c r="B769" s="1">
        <v>7.0</v>
      </c>
      <c r="C769" s="1">
        <v>0.677680168987614</v>
      </c>
      <c r="D769" s="1" t="s">
        <v>223</v>
      </c>
      <c r="E769" s="1" t="s">
        <v>45</v>
      </c>
      <c r="F769" s="1" t="s">
        <v>18</v>
      </c>
      <c r="G769" s="1" t="s">
        <v>1274</v>
      </c>
      <c r="H769" s="1">
        <v>2019.0</v>
      </c>
      <c r="I769" s="1" t="s">
        <v>198</v>
      </c>
      <c r="J769" s="1" t="s">
        <v>1272</v>
      </c>
      <c r="K769" s="1">
        <v>10.0</v>
      </c>
      <c r="L769" s="1" t="s">
        <v>1273</v>
      </c>
      <c r="M769" s="1">
        <v>0.0</v>
      </c>
    </row>
    <row r="770">
      <c r="A770" s="1">
        <v>978.0</v>
      </c>
      <c r="B770" s="1">
        <v>3.0</v>
      </c>
      <c r="C770" s="1">
        <v>0.677503734425337</v>
      </c>
      <c r="D770" s="1" t="s">
        <v>887</v>
      </c>
      <c r="E770" s="1" t="s">
        <v>17</v>
      </c>
      <c r="F770" s="1" t="s">
        <v>18</v>
      </c>
      <c r="G770" s="1" t="s">
        <v>1274</v>
      </c>
      <c r="H770" s="1" t="s">
        <v>1274</v>
      </c>
      <c r="I770" s="1" t="s">
        <v>861</v>
      </c>
      <c r="J770" s="1" t="s">
        <v>1272</v>
      </c>
      <c r="K770" s="1">
        <v>5.0</v>
      </c>
      <c r="L770" s="1" t="s">
        <v>1273</v>
      </c>
      <c r="M770" s="1">
        <v>0.0</v>
      </c>
    </row>
    <row r="771">
      <c r="A771" s="1">
        <v>966.0</v>
      </c>
      <c r="B771" s="1">
        <v>7.0</v>
      </c>
      <c r="C771" s="1">
        <v>0.676409817344132</v>
      </c>
      <c r="D771" s="1" t="s">
        <v>882</v>
      </c>
      <c r="E771" s="1" t="s">
        <v>111</v>
      </c>
      <c r="F771" s="1" t="s">
        <v>1274</v>
      </c>
      <c r="G771" s="1" t="s">
        <v>1274</v>
      </c>
      <c r="H771" s="1">
        <v>2011.0</v>
      </c>
      <c r="I771" s="1" t="s">
        <v>861</v>
      </c>
      <c r="J771" s="1" t="s">
        <v>1272</v>
      </c>
      <c r="K771" s="1">
        <v>10.0</v>
      </c>
      <c r="L771" s="1" t="s">
        <v>1273</v>
      </c>
      <c r="M771" s="1">
        <v>-1.0</v>
      </c>
    </row>
    <row r="772">
      <c r="A772" s="1">
        <v>1115.0</v>
      </c>
      <c r="B772" s="1">
        <v>7.0</v>
      </c>
      <c r="C772" s="1">
        <v>0.675341515217563</v>
      </c>
      <c r="D772" s="1" t="s">
        <v>1002</v>
      </c>
      <c r="E772" s="1" t="s">
        <v>20</v>
      </c>
      <c r="F772" s="1" t="s">
        <v>18</v>
      </c>
      <c r="G772" s="1" t="s">
        <v>11</v>
      </c>
      <c r="H772" s="1">
        <v>2015.0</v>
      </c>
      <c r="I772" s="1" t="s">
        <v>861</v>
      </c>
      <c r="J772" s="1" t="s">
        <v>1272</v>
      </c>
      <c r="K772" s="1">
        <v>10.0</v>
      </c>
      <c r="L772" s="1" t="s">
        <v>1273</v>
      </c>
      <c r="M772" s="1">
        <v>-1.0</v>
      </c>
    </row>
    <row r="773">
      <c r="A773" s="1">
        <v>888.0</v>
      </c>
      <c r="B773" s="1">
        <v>3.0</v>
      </c>
      <c r="C773" s="1">
        <v>0.673321098091575</v>
      </c>
      <c r="D773" s="1" t="s">
        <v>821</v>
      </c>
      <c r="E773" s="1" t="s">
        <v>58</v>
      </c>
      <c r="F773" s="1" t="s">
        <v>1274</v>
      </c>
      <c r="G773" s="1" t="s">
        <v>11</v>
      </c>
      <c r="H773" s="1">
        <v>2024.0</v>
      </c>
      <c r="I773" s="1" t="s">
        <v>630</v>
      </c>
      <c r="J773" s="1" t="s">
        <v>1272</v>
      </c>
      <c r="K773" s="1">
        <v>5.0</v>
      </c>
      <c r="L773" s="1" t="s">
        <v>1273</v>
      </c>
      <c r="M773" s="1">
        <v>-1.0</v>
      </c>
    </row>
    <row r="774">
      <c r="A774" s="1">
        <v>21.0</v>
      </c>
      <c r="B774" s="1">
        <v>2.0</v>
      </c>
      <c r="C774" s="1">
        <v>0.671936029945382</v>
      </c>
      <c r="D774" s="1" t="s">
        <v>40</v>
      </c>
      <c r="E774" s="1" t="s">
        <v>41</v>
      </c>
      <c r="F774" s="1" t="s">
        <v>18</v>
      </c>
      <c r="G774" s="1" t="s">
        <v>42</v>
      </c>
      <c r="H774" s="1">
        <v>2024.0</v>
      </c>
      <c r="I774" s="1" t="s">
        <v>12</v>
      </c>
      <c r="J774" s="1" t="s">
        <v>1272</v>
      </c>
      <c r="K774" s="1">
        <v>7.0</v>
      </c>
      <c r="L774" s="1" t="s">
        <v>1273</v>
      </c>
      <c r="M774" s="1">
        <v>-1.0</v>
      </c>
    </row>
    <row r="775">
      <c r="A775" s="1">
        <v>519.0</v>
      </c>
      <c r="B775" s="1">
        <v>4.0</v>
      </c>
      <c r="C775" s="1">
        <v>0.671698339778646</v>
      </c>
      <c r="D775" s="1" t="s">
        <v>480</v>
      </c>
      <c r="E775" s="1" t="s">
        <v>20</v>
      </c>
      <c r="F775" s="1" t="s">
        <v>18</v>
      </c>
      <c r="G775" s="1" t="s">
        <v>42</v>
      </c>
      <c r="H775" s="1">
        <v>2022.0</v>
      </c>
      <c r="I775" s="1" t="s">
        <v>240</v>
      </c>
      <c r="J775" s="1" t="s">
        <v>1272</v>
      </c>
      <c r="K775" s="1">
        <v>7.0</v>
      </c>
      <c r="L775" s="1" t="s">
        <v>1273</v>
      </c>
      <c r="M775" s="1">
        <v>2.0</v>
      </c>
    </row>
    <row r="776">
      <c r="A776" s="1">
        <v>891.0</v>
      </c>
      <c r="B776" s="1">
        <v>2.0</v>
      </c>
      <c r="C776" s="1">
        <v>0.670835728577916</v>
      </c>
      <c r="D776" s="1" t="s">
        <v>824</v>
      </c>
      <c r="E776" s="1" t="s">
        <v>58</v>
      </c>
      <c r="F776" s="1" t="s">
        <v>1274</v>
      </c>
      <c r="G776" s="1" t="s">
        <v>11</v>
      </c>
      <c r="H776" s="1">
        <v>2024.0</v>
      </c>
      <c r="I776" s="1" t="s">
        <v>630</v>
      </c>
      <c r="J776" s="1" t="s">
        <v>1272</v>
      </c>
      <c r="K776" s="1">
        <v>7.0</v>
      </c>
      <c r="L776" s="1" t="s">
        <v>1273</v>
      </c>
      <c r="M776" s="1">
        <v>7.0</v>
      </c>
    </row>
    <row r="777">
      <c r="A777" s="1">
        <v>1054.0</v>
      </c>
      <c r="B777" s="1">
        <v>7.0</v>
      </c>
      <c r="C777" s="1">
        <v>0.668422127838793</v>
      </c>
      <c r="D777" s="1" t="s">
        <v>958</v>
      </c>
      <c r="E777" s="1" t="s">
        <v>24</v>
      </c>
      <c r="F777" s="1" t="s">
        <v>197</v>
      </c>
      <c r="G777" s="1" t="s">
        <v>609</v>
      </c>
      <c r="H777" s="1">
        <v>2022.0</v>
      </c>
      <c r="I777" s="1" t="s">
        <v>861</v>
      </c>
      <c r="J777" s="1" t="s">
        <v>1272</v>
      </c>
      <c r="K777" s="1">
        <v>7.0</v>
      </c>
      <c r="L777" s="1" t="s">
        <v>1273</v>
      </c>
      <c r="M777" s="1">
        <v>6.0</v>
      </c>
    </row>
    <row r="778">
      <c r="A778" s="1">
        <v>717.0</v>
      </c>
      <c r="B778" s="1">
        <v>3.0</v>
      </c>
      <c r="C778" s="1">
        <v>0.668094168227572</v>
      </c>
      <c r="D778" s="1" t="s">
        <v>655</v>
      </c>
      <c r="E778" s="1" t="s">
        <v>10</v>
      </c>
      <c r="F778" s="1" t="s">
        <v>18</v>
      </c>
      <c r="G778" s="1" t="s">
        <v>42</v>
      </c>
      <c r="H778" s="1">
        <v>2014.0</v>
      </c>
      <c r="I778" s="1" t="s">
        <v>630</v>
      </c>
      <c r="J778" s="1" t="s">
        <v>1272</v>
      </c>
      <c r="K778" s="1">
        <v>7.0</v>
      </c>
      <c r="L778" s="1" t="s">
        <v>1273</v>
      </c>
      <c r="M778" s="1">
        <v>-1.0</v>
      </c>
    </row>
    <row r="779">
      <c r="A779" s="1">
        <v>774.0</v>
      </c>
      <c r="B779" s="1">
        <v>3.0</v>
      </c>
      <c r="C779" s="1">
        <v>0.666758006080584</v>
      </c>
      <c r="D779" s="1" t="s">
        <v>710</v>
      </c>
      <c r="E779" s="1" t="s">
        <v>1274</v>
      </c>
      <c r="F779" s="1" t="s">
        <v>1274</v>
      </c>
      <c r="G779" s="1" t="s">
        <v>1274</v>
      </c>
      <c r="H779" s="1">
        <v>2006.0</v>
      </c>
      <c r="I779" s="1" t="s">
        <v>630</v>
      </c>
      <c r="J779" s="1" t="s">
        <v>1272</v>
      </c>
      <c r="K779" s="1">
        <v>5.0</v>
      </c>
      <c r="L779" s="1" t="s">
        <v>1273</v>
      </c>
      <c r="M779" s="1">
        <v>-1.0</v>
      </c>
    </row>
    <row r="780">
      <c r="A780" s="1">
        <v>1136.0</v>
      </c>
      <c r="B780" s="1">
        <v>2.0</v>
      </c>
      <c r="C780" s="1">
        <v>0.666507568089716</v>
      </c>
      <c r="D780" s="1" t="s">
        <v>1019</v>
      </c>
      <c r="E780" s="1" t="s">
        <v>50</v>
      </c>
      <c r="F780" s="1" t="s">
        <v>18</v>
      </c>
      <c r="G780" s="1" t="s">
        <v>42</v>
      </c>
      <c r="H780" s="1">
        <v>2019.0</v>
      </c>
      <c r="I780" s="1" t="s">
        <v>861</v>
      </c>
      <c r="J780" s="1" t="s">
        <v>1272</v>
      </c>
      <c r="K780" s="1">
        <v>7.0</v>
      </c>
      <c r="L780" s="1" t="s">
        <v>1273</v>
      </c>
      <c r="M780" s="1">
        <v>6.0</v>
      </c>
    </row>
    <row r="781">
      <c r="A781" s="1">
        <v>579.0</v>
      </c>
      <c r="B781" s="1">
        <v>2.0</v>
      </c>
      <c r="C781" s="1">
        <v>0.666349446270118</v>
      </c>
      <c r="D781" s="1" t="s">
        <v>531</v>
      </c>
      <c r="E781" s="1" t="s">
        <v>187</v>
      </c>
      <c r="F781" s="1" t="s">
        <v>1274</v>
      </c>
      <c r="G781" s="1" t="s">
        <v>1274</v>
      </c>
      <c r="H781" s="1" t="s">
        <v>1274</v>
      </c>
      <c r="I781" s="1" t="s">
        <v>240</v>
      </c>
      <c r="J781" s="1" t="s">
        <v>1272</v>
      </c>
      <c r="K781" s="1">
        <v>7.0</v>
      </c>
      <c r="L781" s="1" t="s">
        <v>1273</v>
      </c>
      <c r="M781" s="1">
        <v>-1.0</v>
      </c>
    </row>
    <row r="782">
      <c r="A782" s="1">
        <v>801.0</v>
      </c>
      <c r="B782" s="1">
        <v>7.0</v>
      </c>
      <c r="C782" s="1">
        <v>0.664710892613039</v>
      </c>
      <c r="D782" s="1" t="s">
        <v>737</v>
      </c>
      <c r="E782" s="1" t="s">
        <v>173</v>
      </c>
      <c r="F782" s="1" t="s">
        <v>18</v>
      </c>
      <c r="G782" s="1" t="s">
        <v>42</v>
      </c>
      <c r="H782" s="1">
        <v>2022.0</v>
      </c>
      <c r="I782" s="1" t="s">
        <v>630</v>
      </c>
      <c r="J782" s="1" t="s">
        <v>1272</v>
      </c>
      <c r="K782" s="1">
        <v>10.0</v>
      </c>
      <c r="L782" s="1" t="s">
        <v>1273</v>
      </c>
      <c r="M782" s="1">
        <v>1.0</v>
      </c>
    </row>
    <row r="783">
      <c r="A783" s="1">
        <v>1012.0</v>
      </c>
      <c r="B783" s="1">
        <v>7.0</v>
      </c>
      <c r="C783" s="1">
        <v>0.66411680923746</v>
      </c>
      <c r="D783" s="1" t="s">
        <v>919</v>
      </c>
      <c r="E783" s="1" t="s">
        <v>111</v>
      </c>
      <c r="F783" s="1" t="s">
        <v>18</v>
      </c>
      <c r="G783" s="1" t="s">
        <v>42</v>
      </c>
      <c r="H783" s="1">
        <v>1998.0</v>
      </c>
      <c r="I783" s="1" t="s">
        <v>861</v>
      </c>
      <c r="J783" s="1" t="s">
        <v>1272</v>
      </c>
      <c r="K783" s="1">
        <v>10.0</v>
      </c>
      <c r="L783" s="1" t="s">
        <v>1273</v>
      </c>
      <c r="M783" s="1">
        <v>-1.0</v>
      </c>
    </row>
    <row r="784">
      <c r="A784" s="1">
        <v>714.0</v>
      </c>
      <c r="B784" s="1">
        <v>2.0</v>
      </c>
      <c r="C784" s="1">
        <v>0.663816008991602</v>
      </c>
      <c r="D784" s="1" t="s">
        <v>652</v>
      </c>
      <c r="E784" s="1" t="s">
        <v>10</v>
      </c>
      <c r="F784" s="1" t="s">
        <v>18</v>
      </c>
      <c r="G784" s="1" t="s">
        <v>42</v>
      </c>
      <c r="H784" s="1">
        <v>2014.0</v>
      </c>
      <c r="I784" s="1" t="s">
        <v>630</v>
      </c>
      <c r="J784" s="1" t="s">
        <v>1272</v>
      </c>
      <c r="K784" s="1">
        <v>5.0</v>
      </c>
      <c r="L784" s="1" t="s">
        <v>1273</v>
      </c>
      <c r="M784" s="1">
        <v>0.0</v>
      </c>
    </row>
    <row r="785">
      <c r="A785" s="1">
        <v>1124.0</v>
      </c>
      <c r="B785" s="1">
        <v>2.0</v>
      </c>
      <c r="C785" s="1">
        <v>0.66337142956227</v>
      </c>
      <c r="D785" s="1" t="s">
        <v>1011</v>
      </c>
      <c r="E785" s="1" t="s">
        <v>41</v>
      </c>
      <c r="F785" s="1" t="s">
        <v>1274</v>
      </c>
      <c r="G785" s="1" t="s">
        <v>11</v>
      </c>
      <c r="H785" s="1" t="s">
        <v>1274</v>
      </c>
      <c r="I785" s="1" t="s">
        <v>861</v>
      </c>
      <c r="J785" s="1" t="s">
        <v>1272</v>
      </c>
      <c r="K785" s="1">
        <v>5.0</v>
      </c>
      <c r="L785" s="1" t="s">
        <v>1273</v>
      </c>
      <c r="M785" s="1">
        <v>-1.0</v>
      </c>
    </row>
    <row r="786">
      <c r="A786" s="1">
        <v>958.0</v>
      </c>
      <c r="B786" s="1">
        <v>2.0</v>
      </c>
      <c r="C786" s="1">
        <v>0.663023037312962</v>
      </c>
      <c r="D786" s="1" t="s">
        <v>874</v>
      </c>
      <c r="E786" s="1" t="s">
        <v>24</v>
      </c>
      <c r="F786" s="1" t="s">
        <v>197</v>
      </c>
      <c r="G786" s="1" t="s">
        <v>1274</v>
      </c>
      <c r="H786" s="1">
        <v>2014.0</v>
      </c>
      <c r="I786" s="1" t="s">
        <v>861</v>
      </c>
      <c r="J786" s="1" t="s">
        <v>1272</v>
      </c>
      <c r="K786" s="1">
        <v>7.0</v>
      </c>
      <c r="L786" s="1" t="s">
        <v>1273</v>
      </c>
      <c r="M786" s="1">
        <v>-1.0</v>
      </c>
    </row>
    <row r="787">
      <c r="A787" s="1">
        <v>1116.0</v>
      </c>
      <c r="B787" s="1">
        <v>2.0</v>
      </c>
      <c r="C787" s="1">
        <v>0.662953136091624</v>
      </c>
      <c r="D787" s="1" t="s">
        <v>1003</v>
      </c>
      <c r="E787" s="1" t="s">
        <v>20</v>
      </c>
      <c r="F787" s="1" t="s">
        <v>18</v>
      </c>
      <c r="G787" s="1" t="s">
        <v>11</v>
      </c>
      <c r="H787" s="1">
        <v>2015.0</v>
      </c>
      <c r="I787" s="1" t="s">
        <v>861</v>
      </c>
      <c r="J787" s="1" t="s">
        <v>1272</v>
      </c>
      <c r="K787" s="1">
        <v>7.0</v>
      </c>
      <c r="L787" s="1" t="s">
        <v>1273</v>
      </c>
      <c r="M787" s="1">
        <v>0.0</v>
      </c>
    </row>
    <row r="788">
      <c r="A788" s="1">
        <v>604.0</v>
      </c>
      <c r="B788" s="1">
        <v>2.0</v>
      </c>
      <c r="C788" s="1">
        <v>0.662315649708709</v>
      </c>
      <c r="D788" s="1" t="s">
        <v>556</v>
      </c>
      <c r="E788" s="1" t="s">
        <v>102</v>
      </c>
      <c r="F788" s="1" t="s">
        <v>1274</v>
      </c>
      <c r="G788" s="1" t="s">
        <v>11</v>
      </c>
      <c r="H788" s="1">
        <v>2010.0</v>
      </c>
      <c r="I788" s="1" t="s">
        <v>240</v>
      </c>
      <c r="J788" s="1" t="s">
        <v>1272</v>
      </c>
      <c r="K788" s="1">
        <v>5.0</v>
      </c>
      <c r="L788" s="1" t="s">
        <v>1273</v>
      </c>
      <c r="M788" s="1">
        <v>12.0</v>
      </c>
    </row>
    <row r="789">
      <c r="A789" s="1">
        <v>742.0</v>
      </c>
      <c r="B789" s="1">
        <v>2.0</v>
      </c>
      <c r="C789" s="1">
        <v>0.661422938811675</v>
      </c>
      <c r="D789" s="1" t="s">
        <v>680</v>
      </c>
      <c r="E789" s="1" t="s">
        <v>58</v>
      </c>
      <c r="F789" s="1" t="s">
        <v>1274</v>
      </c>
      <c r="G789" s="1" t="s">
        <v>42</v>
      </c>
      <c r="H789" s="1">
        <v>2024.0</v>
      </c>
      <c r="I789" s="1" t="s">
        <v>630</v>
      </c>
      <c r="J789" s="1" t="s">
        <v>1272</v>
      </c>
      <c r="K789" s="1">
        <v>7.0</v>
      </c>
      <c r="L789" s="1" t="s">
        <v>1273</v>
      </c>
      <c r="M789" s="1">
        <v>0.0</v>
      </c>
    </row>
    <row r="790">
      <c r="A790" s="1">
        <v>794.0</v>
      </c>
      <c r="B790" s="1">
        <v>3.0</v>
      </c>
      <c r="C790" s="1">
        <v>0.659535763059284</v>
      </c>
      <c r="D790" s="1" t="s">
        <v>730</v>
      </c>
      <c r="E790" s="1" t="s">
        <v>173</v>
      </c>
      <c r="F790" s="1" t="s">
        <v>18</v>
      </c>
      <c r="G790" s="1" t="s">
        <v>42</v>
      </c>
      <c r="H790" s="1">
        <v>2022.0</v>
      </c>
      <c r="I790" s="1" t="s">
        <v>630</v>
      </c>
      <c r="J790" s="1" t="s">
        <v>1272</v>
      </c>
      <c r="K790" s="1">
        <v>5.0</v>
      </c>
      <c r="L790" s="1" t="s">
        <v>1273</v>
      </c>
      <c r="M790" s="1">
        <v>-1.0</v>
      </c>
    </row>
    <row r="791">
      <c r="A791" s="1">
        <v>1121.0</v>
      </c>
      <c r="B791" s="1">
        <v>2.0</v>
      </c>
      <c r="C791" s="1">
        <v>0.658965714755336</v>
      </c>
      <c r="D791" s="1" t="s">
        <v>1008</v>
      </c>
      <c r="E791" s="1" t="s">
        <v>107</v>
      </c>
      <c r="F791" s="1" t="s">
        <v>214</v>
      </c>
      <c r="G791" s="1" t="s">
        <v>1274</v>
      </c>
      <c r="H791" s="1">
        <v>2019.0</v>
      </c>
      <c r="I791" s="1" t="s">
        <v>861</v>
      </c>
      <c r="J791" s="1" t="s">
        <v>1272</v>
      </c>
      <c r="K791" s="1">
        <v>7.0</v>
      </c>
      <c r="L791" s="1" t="s">
        <v>1273</v>
      </c>
      <c r="M791" s="1">
        <v>9.0</v>
      </c>
    </row>
    <row r="792">
      <c r="A792" s="1">
        <v>840.0</v>
      </c>
      <c r="B792" s="1">
        <v>2.0</v>
      </c>
      <c r="C792" s="1">
        <v>0.6543314493175</v>
      </c>
      <c r="D792" s="1" t="s">
        <v>776</v>
      </c>
      <c r="E792" s="1" t="s">
        <v>107</v>
      </c>
      <c r="F792" s="1" t="s">
        <v>18</v>
      </c>
      <c r="G792" s="1" t="s">
        <v>1274</v>
      </c>
      <c r="H792" s="1">
        <v>2024.0</v>
      </c>
      <c r="I792" s="1" t="s">
        <v>630</v>
      </c>
      <c r="J792" s="1" t="s">
        <v>1272</v>
      </c>
      <c r="K792" s="1">
        <v>7.0</v>
      </c>
      <c r="L792" s="1" t="s">
        <v>1273</v>
      </c>
      <c r="M792" s="1">
        <v>-1.0</v>
      </c>
    </row>
    <row r="793">
      <c r="A793" s="1">
        <v>739.0</v>
      </c>
      <c r="B793" s="1">
        <v>3.0</v>
      </c>
      <c r="C793" s="1">
        <v>0.653803717315538</v>
      </c>
      <c r="D793" s="1" t="s">
        <v>677</v>
      </c>
      <c r="E793" s="1" t="s">
        <v>58</v>
      </c>
      <c r="F793" s="1" t="s">
        <v>1274</v>
      </c>
      <c r="G793" s="1" t="s">
        <v>42</v>
      </c>
      <c r="H793" s="1">
        <v>2024.0</v>
      </c>
      <c r="I793" s="1" t="s">
        <v>630</v>
      </c>
      <c r="J793" s="1" t="s">
        <v>1272</v>
      </c>
      <c r="K793" s="1">
        <v>7.0</v>
      </c>
      <c r="L793" s="1" t="s">
        <v>1273</v>
      </c>
      <c r="M793" s="1">
        <v>1.0</v>
      </c>
    </row>
    <row r="794">
      <c r="A794" s="1">
        <v>902.0</v>
      </c>
      <c r="B794" s="1">
        <v>2.0</v>
      </c>
      <c r="C794" s="1">
        <v>0.652935341931991</v>
      </c>
      <c r="D794" s="1" t="s">
        <v>836</v>
      </c>
      <c r="E794" s="1" t="s">
        <v>173</v>
      </c>
      <c r="F794" s="1" t="s">
        <v>1274</v>
      </c>
      <c r="G794" s="1" t="s">
        <v>609</v>
      </c>
      <c r="H794" s="1">
        <v>2015.0</v>
      </c>
      <c r="I794" s="1" t="s">
        <v>630</v>
      </c>
      <c r="J794" s="1" t="s">
        <v>1272</v>
      </c>
      <c r="K794" s="1">
        <v>7.0</v>
      </c>
      <c r="L794" s="1" t="s">
        <v>1273</v>
      </c>
      <c r="M794" s="1">
        <v>-1.0</v>
      </c>
    </row>
    <row r="795">
      <c r="A795" s="1">
        <v>798.0</v>
      </c>
      <c r="B795" s="1">
        <v>3.0</v>
      </c>
      <c r="C795" s="1">
        <v>0.652208729499589</v>
      </c>
      <c r="D795" s="1" t="s">
        <v>734</v>
      </c>
      <c r="E795" s="1" t="s">
        <v>173</v>
      </c>
      <c r="F795" s="1" t="s">
        <v>18</v>
      </c>
      <c r="G795" s="1" t="s">
        <v>42</v>
      </c>
      <c r="H795" s="1">
        <v>2022.0</v>
      </c>
      <c r="I795" s="1" t="s">
        <v>630</v>
      </c>
      <c r="J795" s="1" t="s">
        <v>1272</v>
      </c>
      <c r="K795" s="1">
        <v>7.0</v>
      </c>
      <c r="L795" s="1" t="s">
        <v>1273</v>
      </c>
      <c r="M795" s="1">
        <v>1.0</v>
      </c>
    </row>
    <row r="796">
      <c r="A796" s="1">
        <v>715.0</v>
      </c>
      <c r="B796" s="1">
        <v>3.0</v>
      </c>
      <c r="C796" s="1">
        <v>0.650019290031298</v>
      </c>
      <c r="D796" s="1" t="s">
        <v>653</v>
      </c>
      <c r="E796" s="1" t="s">
        <v>10</v>
      </c>
      <c r="F796" s="1" t="s">
        <v>18</v>
      </c>
      <c r="G796" s="1" t="s">
        <v>42</v>
      </c>
      <c r="H796" s="1">
        <v>2014.0</v>
      </c>
      <c r="I796" s="1" t="s">
        <v>630</v>
      </c>
      <c r="J796" s="1" t="s">
        <v>1272</v>
      </c>
      <c r="K796" s="1">
        <v>7.0</v>
      </c>
      <c r="L796" s="1" t="s">
        <v>1273</v>
      </c>
      <c r="M796" s="1">
        <v>1.0</v>
      </c>
    </row>
    <row r="797">
      <c r="A797" s="1">
        <v>959.0</v>
      </c>
      <c r="B797" s="1">
        <v>2.0</v>
      </c>
      <c r="C797" s="1">
        <v>0.649554530502465</v>
      </c>
      <c r="D797" s="1" t="s">
        <v>875</v>
      </c>
      <c r="E797" s="1" t="s">
        <v>24</v>
      </c>
      <c r="F797" s="1" t="s">
        <v>197</v>
      </c>
      <c r="G797" s="1" t="s">
        <v>1274</v>
      </c>
      <c r="H797" s="1">
        <v>2014.0</v>
      </c>
      <c r="I797" s="1" t="s">
        <v>861</v>
      </c>
      <c r="J797" s="1" t="s">
        <v>1272</v>
      </c>
      <c r="K797" s="1">
        <v>7.0</v>
      </c>
      <c r="L797" s="1" t="s">
        <v>1273</v>
      </c>
      <c r="M797" s="1">
        <v>0.0</v>
      </c>
    </row>
    <row r="798">
      <c r="A798" s="1">
        <v>749.0</v>
      </c>
      <c r="B798" s="1">
        <v>10.0</v>
      </c>
      <c r="C798" s="1">
        <v>0.64939389330111</v>
      </c>
      <c r="D798" s="1" t="s">
        <v>685</v>
      </c>
      <c r="E798" s="1" t="s">
        <v>58</v>
      </c>
      <c r="F798" s="1" t="s">
        <v>1274</v>
      </c>
      <c r="G798" s="1" t="s">
        <v>42</v>
      </c>
      <c r="H798" s="1">
        <v>2024.0</v>
      </c>
      <c r="I798" s="1" t="s">
        <v>630</v>
      </c>
      <c r="J798" s="1" t="s">
        <v>1272</v>
      </c>
      <c r="K798" s="1">
        <v>10.0</v>
      </c>
      <c r="L798" s="1" t="s">
        <v>1273</v>
      </c>
      <c r="M798" s="1">
        <v>-1.0</v>
      </c>
    </row>
    <row r="799">
      <c r="A799" s="1">
        <v>142.0</v>
      </c>
      <c r="B799" s="1">
        <v>3.0</v>
      </c>
      <c r="C799" s="1">
        <v>0.649370927244283</v>
      </c>
      <c r="D799" s="1" t="s">
        <v>159</v>
      </c>
      <c r="E799" s="1" t="s">
        <v>111</v>
      </c>
      <c r="F799" s="1" t="s">
        <v>1274</v>
      </c>
      <c r="G799" s="1" t="s">
        <v>42</v>
      </c>
      <c r="H799" s="1">
        <v>1983.0</v>
      </c>
      <c r="I799" s="1" t="s">
        <v>12</v>
      </c>
      <c r="J799" s="1" t="s">
        <v>1272</v>
      </c>
      <c r="K799" s="1">
        <v>5.0</v>
      </c>
      <c r="L799" s="1" t="s">
        <v>1273</v>
      </c>
      <c r="M799" s="1">
        <v>-1.0</v>
      </c>
    </row>
    <row r="800">
      <c r="A800" s="1">
        <v>1082.0</v>
      </c>
      <c r="B800" s="1">
        <v>2.0</v>
      </c>
      <c r="C800" s="1">
        <v>0.645870197884371</v>
      </c>
      <c r="D800" s="1" t="s">
        <v>986</v>
      </c>
      <c r="E800" s="1" t="s">
        <v>17</v>
      </c>
      <c r="F800" s="1" t="s">
        <v>18</v>
      </c>
      <c r="G800" s="1">
        <v>8.0</v>
      </c>
      <c r="H800" s="1">
        <v>2023.0</v>
      </c>
      <c r="I800" s="1" t="s">
        <v>861</v>
      </c>
      <c r="J800" s="1" t="s">
        <v>1272</v>
      </c>
      <c r="K800" s="1">
        <v>7.0</v>
      </c>
      <c r="L800" s="1" t="s">
        <v>1273</v>
      </c>
      <c r="M800" s="1">
        <v>0.0</v>
      </c>
    </row>
    <row r="801">
      <c r="A801" s="1">
        <v>1145.0</v>
      </c>
      <c r="B801" s="1">
        <v>3.0</v>
      </c>
      <c r="C801" s="1">
        <v>0.64520892516612</v>
      </c>
      <c r="D801" s="1" t="s">
        <v>1029</v>
      </c>
      <c r="E801" s="1" t="s">
        <v>17</v>
      </c>
      <c r="F801" s="1" t="s">
        <v>118</v>
      </c>
      <c r="G801" s="1" t="s">
        <v>1274</v>
      </c>
      <c r="H801" s="1">
        <v>2023.0</v>
      </c>
      <c r="I801" s="1" t="s">
        <v>861</v>
      </c>
      <c r="J801" s="1" t="s">
        <v>1272</v>
      </c>
      <c r="K801" s="1">
        <v>7.0</v>
      </c>
      <c r="L801" s="1" t="s">
        <v>1273</v>
      </c>
      <c r="M801" s="1">
        <v>0.0</v>
      </c>
    </row>
    <row r="802">
      <c r="A802" s="1">
        <v>493.0</v>
      </c>
      <c r="B802" s="1">
        <v>2.0</v>
      </c>
      <c r="C802" s="1">
        <v>0.644052776442566</v>
      </c>
      <c r="D802" s="1" t="s">
        <v>454</v>
      </c>
      <c r="E802" s="1" t="s">
        <v>102</v>
      </c>
      <c r="F802" s="1" t="s">
        <v>1274</v>
      </c>
      <c r="G802" s="1" t="s">
        <v>42</v>
      </c>
      <c r="H802" s="1">
        <v>2022.0</v>
      </c>
      <c r="I802" s="1" t="s">
        <v>240</v>
      </c>
      <c r="J802" s="1" t="s">
        <v>1272</v>
      </c>
      <c r="K802" s="1">
        <v>7.0</v>
      </c>
      <c r="L802" s="1" t="s">
        <v>1273</v>
      </c>
      <c r="M802" s="1">
        <v>0.0</v>
      </c>
    </row>
    <row r="803">
      <c r="A803" s="1">
        <v>692.0</v>
      </c>
      <c r="B803" s="1">
        <v>2.0</v>
      </c>
      <c r="C803" s="1">
        <v>0.643361158072992</v>
      </c>
      <c r="D803" s="1" t="s">
        <v>629</v>
      </c>
      <c r="E803" s="1" t="s">
        <v>102</v>
      </c>
      <c r="F803" s="1" t="s">
        <v>18</v>
      </c>
      <c r="G803" s="1" t="s">
        <v>42</v>
      </c>
      <c r="H803" s="1">
        <v>2009.0</v>
      </c>
      <c r="I803" s="1" t="s">
        <v>630</v>
      </c>
      <c r="J803" s="1" t="s">
        <v>1272</v>
      </c>
      <c r="K803" s="1">
        <v>5.0</v>
      </c>
      <c r="L803" s="1" t="s">
        <v>1273</v>
      </c>
      <c r="M803" s="1">
        <v>1.0</v>
      </c>
    </row>
    <row r="804">
      <c r="A804" s="1">
        <v>952.0</v>
      </c>
      <c r="B804" s="1">
        <v>2.0</v>
      </c>
      <c r="C804" s="1">
        <v>0.643182130894142</v>
      </c>
      <c r="D804" s="1" t="s">
        <v>872</v>
      </c>
      <c r="E804" s="1" t="s">
        <v>58</v>
      </c>
      <c r="F804" s="1" t="s">
        <v>18</v>
      </c>
      <c r="G804" s="1" t="s">
        <v>42</v>
      </c>
      <c r="H804" s="1">
        <v>2024.0</v>
      </c>
      <c r="I804" s="1" t="s">
        <v>861</v>
      </c>
      <c r="J804" s="1" t="s">
        <v>1272</v>
      </c>
      <c r="K804" s="1">
        <v>7.0</v>
      </c>
      <c r="L804" s="1" t="s">
        <v>1273</v>
      </c>
      <c r="M804" s="1">
        <v>-1.0</v>
      </c>
    </row>
    <row r="805">
      <c r="A805" s="1">
        <v>983.0</v>
      </c>
      <c r="B805" s="1">
        <v>2.0</v>
      </c>
      <c r="C805" s="1">
        <v>0.641974119537913</v>
      </c>
      <c r="D805" s="1" t="s">
        <v>892</v>
      </c>
      <c r="E805" s="1" t="s">
        <v>173</v>
      </c>
      <c r="F805" s="1" t="s">
        <v>18</v>
      </c>
      <c r="G805" s="1" t="s">
        <v>42</v>
      </c>
      <c r="H805" s="1" t="s">
        <v>1274</v>
      </c>
      <c r="I805" s="1" t="s">
        <v>861</v>
      </c>
      <c r="J805" s="1" t="s">
        <v>1272</v>
      </c>
      <c r="K805" s="1">
        <v>7.0</v>
      </c>
      <c r="L805" s="1" t="s">
        <v>1273</v>
      </c>
      <c r="M805" s="1">
        <v>-1.0</v>
      </c>
    </row>
    <row r="806">
      <c r="A806" s="1">
        <v>1142.0</v>
      </c>
      <c r="B806" s="1">
        <v>3.0</v>
      </c>
      <c r="C806" s="1">
        <v>0.641452483731051</v>
      </c>
      <c r="D806" s="1" t="s">
        <v>1026</v>
      </c>
      <c r="E806" s="1" t="s">
        <v>17</v>
      </c>
      <c r="F806" s="1" t="s">
        <v>118</v>
      </c>
      <c r="G806" s="1" t="s">
        <v>1274</v>
      </c>
      <c r="H806" s="1">
        <v>2023.0</v>
      </c>
      <c r="I806" s="1" t="s">
        <v>861</v>
      </c>
      <c r="J806" s="1" t="s">
        <v>1272</v>
      </c>
      <c r="K806" s="1">
        <v>5.0</v>
      </c>
      <c r="L806" s="1" t="s">
        <v>1273</v>
      </c>
      <c r="M806" s="1">
        <v>0.0</v>
      </c>
    </row>
    <row r="807">
      <c r="A807" s="1">
        <v>984.0</v>
      </c>
      <c r="B807" s="1">
        <v>2.0</v>
      </c>
      <c r="C807" s="1">
        <v>0.640978557059208</v>
      </c>
      <c r="D807" s="1" t="s">
        <v>893</v>
      </c>
      <c r="E807" s="1" t="s">
        <v>173</v>
      </c>
      <c r="F807" s="1" t="s">
        <v>18</v>
      </c>
      <c r="G807" s="1" t="s">
        <v>42</v>
      </c>
      <c r="H807" s="1" t="s">
        <v>1274</v>
      </c>
      <c r="I807" s="1" t="s">
        <v>861</v>
      </c>
      <c r="J807" s="1" t="s">
        <v>1272</v>
      </c>
      <c r="K807" s="1">
        <v>7.0</v>
      </c>
      <c r="L807" s="1" t="s">
        <v>1273</v>
      </c>
      <c r="M807" s="1">
        <v>-1.0</v>
      </c>
    </row>
    <row r="808">
      <c r="A808" s="1">
        <v>1024.0</v>
      </c>
      <c r="B808" s="1">
        <v>5.0</v>
      </c>
      <c r="C808" s="1">
        <v>0.640751076233663</v>
      </c>
      <c r="D808" s="1" t="s">
        <v>929</v>
      </c>
      <c r="E808" s="1" t="s">
        <v>24</v>
      </c>
      <c r="F808" s="1" t="s">
        <v>18</v>
      </c>
      <c r="G808" s="1" t="s">
        <v>42</v>
      </c>
      <c r="H808" s="1">
        <v>2023.0</v>
      </c>
      <c r="I808" s="1" t="s">
        <v>861</v>
      </c>
      <c r="J808" s="1" t="s">
        <v>1272</v>
      </c>
      <c r="K808" s="1">
        <v>10.0</v>
      </c>
      <c r="L808" s="1" t="s">
        <v>1273</v>
      </c>
      <c r="M808" s="1">
        <v>9.0</v>
      </c>
    </row>
    <row r="809">
      <c r="A809" s="1">
        <v>999.0</v>
      </c>
      <c r="B809" s="1">
        <v>5.0</v>
      </c>
      <c r="C809" s="1">
        <v>0.640751076233663</v>
      </c>
      <c r="D809" s="1" t="s">
        <v>906</v>
      </c>
      <c r="E809" s="1" t="s">
        <v>24</v>
      </c>
      <c r="F809" s="1" t="s">
        <v>18</v>
      </c>
      <c r="G809" s="1" t="s">
        <v>42</v>
      </c>
      <c r="H809" s="1">
        <v>2023.0</v>
      </c>
      <c r="I809" s="1" t="s">
        <v>861</v>
      </c>
      <c r="J809" s="1" t="s">
        <v>1272</v>
      </c>
      <c r="K809" s="1">
        <v>10.0</v>
      </c>
      <c r="L809" s="1" t="s">
        <v>1273</v>
      </c>
      <c r="M809" s="1">
        <v>9.0</v>
      </c>
    </row>
    <row r="810">
      <c r="A810" s="1">
        <v>175.0</v>
      </c>
      <c r="B810" s="1">
        <v>2.0</v>
      </c>
      <c r="C810" s="1">
        <v>0.639118501658186</v>
      </c>
      <c r="D810" s="1" t="s">
        <v>191</v>
      </c>
      <c r="E810" s="1" t="s">
        <v>187</v>
      </c>
      <c r="F810" s="1" t="s">
        <v>1274</v>
      </c>
      <c r="G810" s="1" t="s">
        <v>1274</v>
      </c>
      <c r="H810" s="1">
        <v>2016.0</v>
      </c>
      <c r="I810" s="1" t="s">
        <v>12</v>
      </c>
      <c r="J810" s="1" t="s">
        <v>1272</v>
      </c>
      <c r="K810" s="1">
        <v>10.0</v>
      </c>
      <c r="L810" s="1" t="s">
        <v>1273</v>
      </c>
      <c r="M810" s="1">
        <v>0.0</v>
      </c>
    </row>
    <row r="811">
      <c r="A811" s="1">
        <v>693.0</v>
      </c>
      <c r="B811" s="1">
        <v>3.0</v>
      </c>
      <c r="C811" s="1">
        <v>0.638422671023293</v>
      </c>
      <c r="D811" s="1" t="s">
        <v>631</v>
      </c>
      <c r="E811" s="1" t="s">
        <v>102</v>
      </c>
      <c r="F811" s="1" t="s">
        <v>18</v>
      </c>
      <c r="G811" s="1" t="s">
        <v>42</v>
      </c>
      <c r="H811" s="1">
        <v>2009.0</v>
      </c>
      <c r="I811" s="1" t="s">
        <v>630</v>
      </c>
      <c r="J811" s="1" t="s">
        <v>1272</v>
      </c>
      <c r="K811" s="1">
        <v>5.0</v>
      </c>
      <c r="L811" s="1" t="s">
        <v>1273</v>
      </c>
      <c r="M811" s="1">
        <v>1.0</v>
      </c>
    </row>
    <row r="812">
      <c r="A812" s="1">
        <v>146.0</v>
      </c>
      <c r="B812" s="1">
        <v>2.0</v>
      </c>
      <c r="C812" s="1">
        <v>0.63822529564304</v>
      </c>
      <c r="D812" s="1" t="s">
        <v>163</v>
      </c>
      <c r="E812" s="1" t="s">
        <v>107</v>
      </c>
      <c r="F812" s="1" t="s">
        <v>1274</v>
      </c>
      <c r="G812" s="1" t="s">
        <v>1274</v>
      </c>
      <c r="H812" s="1">
        <v>2019.0</v>
      </c>
      <c r="I812" s="1" t="s">
        <v>12</v>
      </c>
      <c r="J812" s="1" t="s">
        <v>1272</v>
      </c>
      <c r="K812" s="1">
        <v>7.0</v>
      </c>
      <c r="L812" s="1" t="s">
        <v>1273</v>
      </c>
      <c r="M812" s="1">
        <v>-1.0</v>
      </c>
    </row>
    <row r="813">
      <c r="A813" s="1">
        <v>1063.0</v>
      </c>
      <c r="B813" s="1">
        <v>2.0</v>
      </c>
      <c r="C813" s="1">
        <v>0.637381968025492</v>
      </c>
      <c r="D813" s="1" t="s">
        <v>967</v>
      </c>
      <c r="E813" s="1" t="s">
        <v>1274</v>
      </c>
      <c r="F813" s="1" t="s">
        <v>1274</v>
      </c>
      <c r="G813" s="1" t="s">
        <v>1274</v>
      </c>
      <c r="H813" s="1">
        <v>2005.0</v>
      </c>
      <c r="I813" s="1" t="s">
        <v>861</v>
      </c>
      <c r="J813" s="1" t="s">
        <v>1272</v>
      </c>
      <c r="K813" s="1">
        <v>7.0</v>
      </c>
      <c r="L813" s="1" t="s">
        <v>1273</v>
      </c>
      <c r="M813" s="1">
        <v>0.0</v>
      </c>
    </row>
    <row r="814">
      <c r="A814" s="1">
        <v>822.0</v>
      </c>
      <c r="B814" s="1">
        <v>3.0</v>
      </c>
      <c r="C814" s="1">
        <v>0.636343507167288</v>
      </c>
      <c r="D814" s="1" t="s">
        <v>758</v>
      </c>
      <c r="E814" s="1" t="s">
        <v>107</v>
      </c>
      <c r="F814" s="1" t="s">
        <v>18</v>
      </c>
      <c r="G814" s="1" t="s">
        <v>1274</v>
      </c>
      <c r="H814" s="1">
        <v>2024.0</v>
      </c>
      <c r="I814" s="1" t="s">
        <v>630</v>
      </c>
      <c r="J814" s="1" t="s">
        <v>1272</v>
      </c>
      <c r="K814" s="1">
        <v>7.0</v>
      </c>
      <c r="L814" s="1" t="s">
        <v>1273</v>
      </c>
      <c r="M814" s="1">
        <v>-1.0</v>
      </c>
    </row>
    <row r="815">
      <c r="A815" s="1">
        <v>563.0</v>
      </c>
      <c r="B815" s="1">
        <v>2.0</v>
      </c>
      <c r="C815" s="1">
        <v>0.634745569529811</v>
      </c>
      <c r="D815" s="1" t="s">
        <v>515</v>
      </c>
      <c r="E815" s="1" t="s">
        <v>107</v>
      </c>
      <c r="F815" s="1" t="s">
        <v>18</v>
      </c>
      <c r="G815" s="1" t="s">
        <v>1274</v>
      </c>
      <c r="H815" s="1">
        <v>2022.0</v>
      </c>
      <c r="I815" s="1" t="s">
        <v>240</v>
      </c>
      <c r="J815" s="1" t="s">
        <v>1272</v>
      </c>
      <c r="K815" s="1">
        <v>5.0</v>
      </c>
      <c r="L815" s="1" t="s">
        <v>1273</v>
      </c>
      <c r="M815" s="1">
        <v>-1.0</v>
      </c>
    </row>
    <row r="816">
      <c r="A816" s="1">
        <v>709.0</v>
      </c>
      <c r="B816" s="1">
        <v>3.0</v>
      </c>
      <c r="C816" s="1">
        <v>0.633793550508723</v>
      </c>
      <c r="D816" s="1" t="s">
        <v>647</v>
      </c>
      <c r="E816" s="1" t="s">
        <v>102</v>
      </c>
      <c r="F816" s="1" t="s">
        <v>18</v>
      </c>
      <c r="G816" s="1" t="s">
        <v>42</v>
      </c>
      <c r="H816" s="1">
        <v>2009.0</v>
      </c>
      <c r="I816" s="1" t="s">
        <v>630</v>
      </c>
      <c r="J816" s="1" t="s">
        <v>1272</v>
      </c>
      <c r="K816" s="1">
        <v>5.0</v>
      </c>
      <c r="L816" s="1" t="s">
        <v>1273</v>
      </c>
      <c r="M816" s="1">
        <v>1.0</v>
      </c>
    </row>
    <row r="817">
      <c r="A817" s="1">
        <v>889.0</v>
      </c>
      <c r="B817" s="1">
        <v>3.0</v>
      </c>
      <c r="C817" s="1">
        <v>0.631912105833892</v>
      </c>
      <c r="D817" s="1" t="s">
        <v>822</v>
      </c>
      <c r="E817" s="1" t="s">
        <v>58</v>
      </c>
      <c r="F817" s="1" t="s">
        <v>1274</v>
      </c>
      <c r="G817" s="1" t="s">
        <v>11</v>
      </c>
      <c r="H817" s="1">
        <v>2024.0</v>
      </c>
      <c r="I817" s="1" t="s">
        <v>630</v>
      </c>
      <c r="J817" s="1" t="s">
        <v>1272</v>
      </c>
      <c r="K817" s="1">
        <v>5.0</v>
      </c>
      <c r="L817" s="1" t="s">
        <v>1273</v>
      </c>
      <c r="M817" s="1">
        <v>7.0</v>
      </c>
    </row>
    <row r="818">
      <c r="A818" s="1">
        <v>812.0</v>
      </c>
      <c r="B818" s="1">
        <v>3.0</v>
      </c>
      <c r="C818" s="1">
        <v>0.631835726335137</v>
      </c>
      <c r="D818" s="1" t="s">
        <v>748</v>
      </c>
      <c r="E818" s="1" t="s">
        <v>107</v>
      </c>
      <c r="F818" s="1" t="s">
        <v>18</v>
      </c>
      <c r="G818" s="1" t="s">
        <v>1274</v>
      </c>
      <c r="H818" s="1">
        <v>2024.0</v>
      </c>
      <c r="I818" s="1" t="s">
        <v>630</v>
      </c>
      <c r="J818" s="1" t="s">
        <v>1272</v>
      </c>
      <c r="K818" s="1">
        <v>7.0</v>
      </c>
      <c r="L818" s="1" t="s">
        <v>1273</v>
      </c>
      <c r="M818" s="1">
        <v>-1.0</v>
      </c>
    </row>
    <row r="819">
      <c r="A819" s="1">
        <v>491.0</v>
      </c>
      <c r="B819" s="1">
        <v>9.0</v>
      </c>
      <c r="C819" s="1">
        <v>0.62997915225203</v>
      </c>
      <c r="D819" s="1" t="s">
        <v>452</v>
      </c>
      <c r="E819" s="1" t="s">
        <v>10</v>
      </c>
      <c r="F819" s="1" t="s">
        <v>97</v>
      </c>
      <c r="G819" s="1" t="s">
        <v>11</v>
      </c>
      <c r="H819" s="1">
        <v>2011.0</v>
      </c>
      <c r="I819" s="1" t="s">
        <v>240</v>
      </c>
      <c r="J819" s="1" t="s">
        <v>1272</v>
      </c>
      <c r="K819" s="1">
        <v>10.0</v>
      </c>
      <c r="L819" s="1" t="s">
        <v>1273</v>
      </c>
      <c r="M819" s="1">
        <v>3.0</v>
      </c>
    </row>
    <row r="820">
      <c r="A820" s="1">
        <v>703.0</v>
      </c>
      <c r="B820" s="1">
        <v>3.0</v>
      </c>
      <c r="C820" s="1">
        <v>0.62991104386627</v>
      </c>
      <c r="D820" s="1" t="s">
        <v>641</v>
      </c>
      <c r="E820" s="1" t="s">
        <v>102</v>
      </c>
      <c r="F820" s="1" t="s">
        <v>18</v>
      </c>
      <c r="G820" s="1" t="s">
        <v>42</v>
      </c>
      <c r="H820" s="1">
        <v>2009.0</v>
      </c>
      <c r="I820" s="1" t="s">
        <v>630</v>
      </c>
      <c r="J820" s="1" t="s">
        <v>1272</v>
      </c>
      <c r="K820" s="1">
        <v>5.0</v>
      </c>
      <c r="L820" s="1" t="s">
        <v>1273</v>
      </c>
      <c r="M820" s="1">
        <v>1.0</v>
      </c>
    </row>
    <row r="821">
      <c r="A821" s="1">
        <v>417.0</v>
      </c>
      <c r="B821" s="1">
        <v>2.0</v>
      </c>
      <c r="C821" s="1">
        <v>0.628839191566579</v>
      </c>
      <c r="D821" s="1" t="s">
        <v>393</v>
      </c>
      <c r="E821" s="1" t="s">
        <v>24</v>
      </c>
      <c r="F821" s="1" t="s">
        <v>18</v>
      </c>
      <c r="G821" s="1" t="s">
        <v>42</v>
      </c>
      <c r="H821" s="1">
        <v>2024.0</v>
      </c>
      <c r="I821" s="1" t="s">
        <v>240</v>
      </c>
      <c r="J821" s="1" t="s">
        <v>1272</v>
      </c>
      <c r="K821" s="1">
        <v>5.0</v>
      </c>
      <c r="L821" s="1" t="s">
        <v>1273</v>
      </c>
      <c r="M821" s="1">
        <v>-1.0</v>
      </c>
    </row>
    <row r="822">
      <c r="A822" s="1">
        <v>397.0</v>
      </c>
      <c r="B822" s="1">
        <v>2.0</v>
      </c>
      <c r="C822" s="1">
        <v>0.628358508386928</v>
      </c>
      <c r="D822" s="1" t="s">
        <v>374</v>
      </c>
      <c r="E822" s="1" t="s">
        <v>17</v>
      </c>
      <c r="F822" s="1" t="s">
        <v>18</v>
      </c>
      <c r="G822" s="1">
        <v>8.0</v>
      </c>
      <c r="H822" s="1">
        <v>2024.0</v>
      </c>
      <c r="I822" s="1" t="s">
        <v>240</v>
      </c>
      <c r="J822" s="1" t="s">
        <v>1272</v>
      </c>
      <c r="K822" s="1">
        <v>7.0</v>
      </c>
      <c r="L822" s="1" t="s">
        <v>1273</v>
      </c>
      <c r="M822" s="1">
        <v>0.0</v>
      </c>
    </row>
    <row r="823">
      <c r="A823" s="1">
        <v>398.0</v>
      </c>
      <c r="B823" s="1">
        <v>2.0</v>
      </c>
      <c r="C823" s="1">
        <v>0.62835104812804</v>
      </c>
      <c r="D823" s="1" t="s">
        <v>375</v>
      </c>
      <c r="E823" s="1" t="s">
        <v>17</v>
      </c>
      <c r="F823" s="1" t="s">
        <v>18</v>
      </c>
      <c r="G823" s="1">
        <v>8.0</v>
      </c>
      <c r="H823" s="1">
        <v>2024.0</v>
      </c>
      <c r="I823" s="1" t="s">
        <v>240</v>
      </c>
      <c r="J823" s="1" t="s">
        <v>1272</v>
      </c>
      <c r="K823" s="1">
        <v>7.0</v>
      </c>
      <c r="L823" s="1" t="s">
        <v>1273</v>
      </c>
      <c r="M823" s="1">
        <v>0.0</v>
      </c>
    </row>
    <row r="824">
      <c r="A824" s="1">
        <v>575.0</v>
      </c>
      <c r="B824" s="1">
        <v>2.0</v>
      </c>
      <c r="C824" s="1">
        <v>0.628310298666688</v>
      </c>
      <c r="D824" s="1" t="s">
        <v>527</v>
      </c>
      <c r="E824" s="1" t="s">
        <v>24</v>
      </c>
      <c r="F824" s="1" t="s">
        <v>18</v>
      </c>
      <c r="G824" s="1">
        <v>9.0</v>
      </c>
      <c r="H824" s="1">
        <v>2014.0</v>
      </c>
      <c r="I824" s="1" t="s">
        <v>240</v>
      </c>
      <c r="J824" s="1" t="s">
        <v>1272</v>
      </c>
      <c r="K824" s="1">
        <v>5.0</v>
      </c>
      <c r="L824" s="1" t="s">
        <v>1273</v>
      </c>
      <c r="M824" s="1">
        <v>8.0</v>
      </c>
    </row>
    <row r="825">
      <c r="A825" s="1">
        <v>524.0</v>
      </c>
      <c r="B825" s="1">
        <v>2.0</v>
      </c>
      <c r="C825" s="1">
        <v>0.627782914382369</v>
      </c>
      <c r="D825" s="1" t="s">
        <v>485</v>
      </c>
      <c r="E825" s="1" t="s">
        <v>17</v>
      </c>
      <c r="F825" s="1" t="s">
        <v>18</v>
      </c>
      <c r="G825" s="1">
        <v>12.0</v>
      </c>
      <c r="H825" s="1">
        <v>2024.0</v>
      </c>
      <c r="I825" s="1" t="s">
        <v>240</v>
      </c>
      <c r="J825" s="1" t="s">
        <v>1272</v>
      </c>
      <c r="K825" s="1">
        <v>5.0</v>
      </c>
      <c r="L825" s="1" t="s">
        <v>1273</v>
      </c>
      <c r="M825" s="1">
        <v>4.0</v>
      </c>
    </row>
    <row r="826">
      <c r="A826" s="1">
        <v>1057.0</v>
      </c>
      <c r="B826" s="1">
        <v>2.0</v>
      </c>
      <c r="C826" s="1">
        <v>0.626937222061525</v>
      </c>
      <c r="D826" s="1" t="s">
        <v>961</v>
      </c>
      <c r="E826" s="1" t="s">
        <v>124</v>
      </c>
      <c r="F826" s="1" t="s">
        <v>18</v>
      </c>
      <c r="G826" s="1" t="s">
        <v>1274</v>
      </c>
      <c r="H826" s="1">
        <v>2012.0</v>
      </c>
      <c r="I826" s="1" t="s">
        <v>861</v>
      </c>
      <c r="J826" s="1" t="s">
        <v>1272</v>
      </c>
      <c r="K826" s="1">
        <v>7.0</v>
      </c>
      <c r="L826" s="1" t="s">
        <v>1273</v>
      </c>
      <c r="M826" s="1">
        <v>0.0</v>
      </c>
    </row>
    <row r="827">
      <c r="A827" s="1">
        <v>720.0</v>
      </c>
      <c r="B827" s="1">
        <v>3.0</v>
      </c>
      <c r="C827" s="1">
        <v>0.626656028335963</v>
      </c>
      <c r="D827" s="1" t="s">
        <v>658</v>
      </c>
      <c r="E827" s="1" t="s">
        <v>10</v>
      </c>
      <c r="F827" s="1" t="s">
        <v>18</v>
      </c>
      <c r="G827" s="1" t="s">
        <v>42</v>
      </c>
      <c r="H827" s="1">
        <v>2014.0</v>
      </c>
      <c r="I827" s="1" t="s">
        <v>630</v>
      </c>
      <c r="J827" s="1" t="s">
        <v>1272</v>
      </c>
      <c r="K827" s="1">
        <v>5.0</v>
      </c>
      <c r="L827" s="1" t="s">
        <v>1273</v>
      </c>
      <c r="M827" s="1">
        <v>-1.0</v>
      </c>
    </row>
    <row r="828">
      <c r="A828" s="1">
        <v>817.0</v>
      </c>
      <c r="B828" s="1">
        <v>2.0</v>
      </c>
      <c r="C828" s="1">
        <v>0.625553318066487</v>
      </c>
      <c r="D828" s="1" t="s">
        <v>753</v>
      </c>
      <c r="E828" s="1" t="s">
        <v>107</v>
      </c>
      <c r="F828" s="1" t="s">
        <v>18</v>
      </c>
      <c r="G828" s="1" t="s">
        <v>1274</v>
      </c>
      <c r="H828" s="1">
        <v>2024.0</v>
      </c>
      <c r="I828" s="1" t="s">
        <v>630</v>
      </c>
      <c r="J828" s="1" t="s">
        <v>1272</v>
      </c>
      <c r="K828" s="1">
        <v>10.0</v>
      </c>
      <c r="L828" s="1" t="s">
        <v>1273</v>
      </c>
      <c r="M828" s="1">
        <v>0.0</v>
      </c>
    </row>
    <row r="829">
      <c r="A829" s="1">
        <v>1120.0</v>
      </c>
      <c r="B829" s="1">
        <v>2.0</v>
      </c>
      <c r="C829" s="1">
        <v>0.625368706188006</v>
      </c>
      <c r="D829" s="1" t="s">
        <v>1007</v>
      </c>
      <c r="E829" s="1" t="s">
        <v>107</v>
      </c>
      <c r="F829" s="1" t="s">
        <v>214</v>
      </c>
      <c r="G829" s="1" t="s">
        <v>1274</v>
      </c>
      <c r="H829" s="1">
        <v>2019.0</v>
      </c>
      <c r="I829" s="1" t="s">
        <v>861</v>
      </c>
      <c r="J829" s="1" t="s">
        <v>1272</v>
      </c>
      <c r="K829" s="1">
        <v>7.0</v>
      </c>
      <c r="L829" s="1" t="s">
        <v>1273</v>
      </c>
      <c r="M829" s="1">
        <v>0.0</v>
      </c>
    </row>
    <row r="830">
      <c r="A830" s="1">
        <v>92.0</v>
      </c>
      <c r="B830" s="1">
        <v>9.0</v>
      </c>
      <c r="C830" s="1">
        <v>0.624968411048737</v>
      </c>
      <c r="D830" s="1" t="s">
        <v>113</v>
      </c>
      <c r="E830" s="1" t="s">
        <v>111</v>
      </c>
      <c r="F830" s="1" t="s">
        <v>1274</v>
      </c>
      <c r="G830" s="1" t="s">
        <v>11</v>
      </c>
      <c r="H830" s="1">
        <v>2021.0</v>
      </c>
      <c r="I830" s="1" t="s">
        <v>12</v>
      </c>
      <c r="J830" s="1" t="s">
        <v>1272</v>
      </c>
      <c r="K830" s="1">
        <v>10.0</v>
      </c>
      <c r="L830" s="1" t="s">
        <v>1273</v>
      </c>
      <c r="M830" s="1">
        <v>0.0</v>
      </c>
    </row>
    <row r="831">
      <c r="A831" s="1">
        <v>939.0</v>
      </c>
      <c r="B831" s="1">
        <v>5.0</v>
      </c>
      <c r="C831" s="1">
        <v>0.624954458308689</v>
      </c>
      <c r="D831" s="1" t="s">
        <v>864</v>
      </c>
      <c r="E831" s="1" t="s">
        <v>1274</v>
      </c>
      <c r="F831" s="1" t="s">
        <v>1274</v>
      </c>
      <c r="G831" s="1" t="s">
        <v>1274</v>
      </c>
      <c r="H831" s="1">
        <v>2006.0</v>
      </c>
      <c r="I831" s="1" t="s">
        <v>861</v>
      </c>
      <c r="J831" s="1" t="s">
        <v>1272</v>
      </c>
      <c r="K831" s="1">
        <v>10.0</v>
      </c>
      <c r="L831" s="1" t="s">
        <v>1273</v>
      </c>
      <c r="M831" s="1">
        <v>-1.0</v>
      </c>
    </row>
    <row r="832">
      <c r="A832" s="1">
        <v>741.0</v>
      </c>
      <c r="B832" s="1">
        <v>2.0</v>
      </c>
      <c r="C832" s="1">
        <v>0.620832832697154</v>
      </c>
      <c r="D832" s="1" t="s">
        <v>679</v>
      </c>
      <c r="E832" s="1" t="s">
        <v>58</v>
      </c>
      <c r="F832" s="1" t="s">
        <v>1274</v>
      </c>
      <c r="G832" s="1" t="s">
        <v>42</v>
      </c>
      <c r="H832" s="1">
        <v>2024.0</v>
      </c>
      <c r="I832" s="1" t="s">
        <v>630</v>
      </c>
      <c r="J832" s="1" t="s">
        <v>1272</v>
      </c>
      <c r="K832" s="1">
        <v>7.0</v>
      </c>
      <c r="L832" s="1" t="s">
        <v>1273</v>
      </c>
      <c r="M832" s="1">
        <v>0.0</v>
      </c>
    </row>
    <row r="833">
      <c r="A833" s="1">
        <v>834.0</v>
      </c>
      <c r="B833" s="1">
        <v>2.0</v>
      </c>
      <c r="C833" s="1">
        <v>0.619727696297159</v>
      </c>
      <c r="D833" s="1" t="s">
        <v>770</v>
      </c>
      <c r="E833" s="1" t="s">
        <v>107</v>
      </c>
      <c r="F833" s="1" t="s">
        <v>18</v>
      </c>
      <c r="G833" s="1" t="s">
        <v>1274</v>
      </c>
      <c r="H833" s="1">
        <v>2024.0</v>
      </c>
      <c r="I833" s="1" t="s">
        <v>630</v>
      </c>
      <c r="J833" s="1" t="s">
        <v>1272</v>
      </c>
      <c r="K833" s="1">
        <v>7.0</v>
      </c>
      <c r="L833" s="1" t="s">
        <v>1273</v>
      </c>
      <c r="M833" s="1">
        <v>-1.0</v>
      </c>
    </row>
    <row r="834">
      <c r="A834" s="1">
        <v>301.0</v>
      </c>
      <c r="B834" s="1">
        <v>2.0</v>
      </c>
      <c r="C834" s="1">
        <v>0.61938713754693</v>
      </c>
      <c r="D834" s="1" t="s">
        <v>289</v>
      </c>
      <c r="E834" s="1" t="s">
        <v>17</v>
      </c>
      <c r="F834" s="1" t="s">
        <v>18</v>
      </c>
      <c r="G834" s="1" t="s">
        <v>1274</v>
      </c>
      <c r="H834" s="1" t="s">
        <v>1274</v>
      </c>
      <c r="I834" s="1" t="s">
        <v>240</v>
      </c>
      <c r="J834" s="1" t="s">
        <v>1272</v>
      </c>
      <c r="K834" s="1">
        <v>10.0</v>
      </c>
      <c r="L834" s="1" t="s">
        <v>1273</v>
      </c>
      <c r="M834" s="1">
        <v>8.0</v>
      </c>
    </row>
    <row r="835">
      <c r="A835" s="1">
        <v>951.0</v>
      </c>
      <c r="B835" s="1">
        <v>2.0</v>
      </c>
      <c r="C835" s="1">
        <v>0.617897335975503</v>
      </c>
      <c r="D835" s="1" t="s">
        <v>871</v>
      </c>
      <c r="E835" s="1" t="s">
        <v>58</v>
      </c>
      <c r="F835" s="1" t="s">
        <v>18</v>
      </c>
      <c r="G835" s="1" t="s">
        <v>42</v>
      </c>
      <c r="H835" s="1">
        <v>2024.0</v>
      </c>
      <c r="I835" s="1" t="s">
        <v>861</v>
      </c>
      <c r="J835" s="1" t="s">
        <v>1272</v>
      </c>
      <c r="K835" s="1">
        <v>7.0</v>
      </c>
      <c r="L835" s="1" t="s">
        <v>1273</v>
      </c>
      <c r="M835" s="1">
        <v>-1.0</v>
      </c>
    </row>
    <row r="836">
      <c r="A836" s="1">
        <v>70.0</v>
      </c>
      <c r="B836" s="1">
        <v>2.0</v>
      </c>
      <c r="C836" s="1">
        <v>0.616410068116177</v>
      </c>
      <c r="D836" s="1" t="s">
        <v>93</v>
      </c>
      <c r="E836" s="1" t="s">
        <v>50</v>
      </c>
      <c r="F836" s="1" t="s">
        <v>18</v>
      </c>
      <c r="G836" s="1" t="s">
        <v>42</v>
      </c>
      <c r="H836" s="1">
        <v>2019.0</v>
      </c>
      <c r="I836" s="1" t="s">
        <v>12</v>
      </c>
      <c r="J836" s="1" t="s">
        <v>1272</v>
      </c>
      <c r="K836" s="1">
        <v>7.0</v>
      </c>
      <c r="L836" s="1" t="s">
        <v>1273</v>
      </c>
      <c r="M836" s="1">
        <v>-1.0</v>
      </c>
    </row>
    <row r="837">
      <c r="A837" s="1">
        <v>1085.0</v>
      </c>
      <c r="B837" s="1">
        <v>2.0</v>
      </c>
      <c r="C837" s="1">
        <v>0.615427791596443</v>
      </c>
      <c r="D837" s="1" t="s">
        <v>989</v>
      </c>
      <c r="E837" s="1" t="s">
        <v>17</v>
      </c>
      <c r="F837" s="1" t="s">
        <v>18</v>
      </c>
      <c r="G837" s="1">
        <v>8.0</v>
      </c>
      <c r="H837" s="1">
        <v>2023.0</v>
      </c>
      <c r="I837" s="1" t="s">
        <v>861</v>
      </c>
      <c r="J837" s="1" t="s">
        <v>1272</v>
      </c>
      <c r="K837" s="1">
        <v>10.0</v>
      </c>
      <c r="L837" s="1" t="s">
        <v>1273</v>
      </c>
      <c r="M837" s="1">
        <v>0.0</v>
      </c>
    </row>
    <row r="838">
      <c r="A838" s="1">
        <v>816.0</v>
      </c>
      <c r="B838" s="1">
        <v>2.0</v>
      </c>
      <c r="C838" s="1">
        <v>0.615116653916003</v>
      </c>
      <c r="D838" s="1" t="s">
        <v>752</v>
      </c>
      <c r="E838" s="1" t="s">
        <v>107</v>
      </c>
      <c r="F838" s="1" t="s">
        <v>18</v>
      </c>
      <c r="G838" s="1" t="s">
        <v>1274</v>
      </c>
      <c r="H838" s="1">
        <v>2024.0</v>
      </c>
      <c r="I838" s="1" t="s">
        <v>630</v>
      </c>
      <c r="J838" s="1" t="s">
        <v>1272</v>
      </c>
      <c r="K838" s="1">
        <v>10.0</v>
      </c>
      <c r="L838" s="1" t="s">
        <v>1273</v>
      </c>
      <c r="M838" s="1">
        <v>-1.0</v>
      </c>
    </row>
    <row r="839">
      <c r="A839" s="1">
        <v>609.0</v>
      </c>
      <c r="B839" s="1">
        <v>7.0</v>
      </c>
      <c r="C839" s="1">
        <v>0.613861059137553</v>
      </c>
      <c r="D839" s="1" t="s">
        <v>561</v>
      </c>
      <c r="E839" s="1" t="s">
        <v>102</v>
      </c>
      <c r="F839" s="1" t="s">
        <v>1274</v>
      </c>
      <c r="G839" s="1" t="s">
        <v>11</v>
      </c>
      <c r="H839" s="1">
        <v>2010.0</v>
      </c>
      <c r="I839" s="1" t="s">
        <v>240</v>
      </c>
      <c r="J839" s="1" t="s">
        <v>1272</v>
      </c>
      <c r="K839" s="1">
        <v>10.0</v>
      </c>
      <c r="L839" s="1" t="s">
        <v>1273</v>
      </c>
      <c r="M839" s="1">
        <v>8.0</v>
      </c>
    </row>
    <row r="840">
      <c r="A840" s="1">
        <v>156.0</v>
      </c>
      <c r="B840" s="1">
        <v>2.0</v>
      </c>
      <c r="C840" s="1">
        <v>0.6130748492829</v>
      </c>
      <c r="D840" s="1" t="s">
        <v>171</v>
      </c>
      <c r="E840" s="1" t="s">
        <v>58</v>
      </c>
      <c r="F840" s="1" t="s">
        <v>1274</v>
      </c>
      <c r="G840" s="1" t="s">
        <v>167</v>
      </c>
      <c r="H840" s="1">
        <v>2022.0</v>
      </c>
      <c r="I840" s="1" t="s">
        <v>12</v>
      </c>
      <c r="J840" s="1" t="s">
        <v>1272</v>
      </c>
      <c r="K840" s="1">
        <v>7.0</v>
      </c>
      <c r="L840" s="1" t="s">
        <v>1273</v>
      </c>
      <c r="M840" s="1">
        <v>-1.0</v>
      </c>
    </row>
    <row r="841">
      <c r="A841" s="1">
        <v>679.0</v>
      </c>
      <c r="B841" s="1">
        <v>2.0</v>
      </c>
      <c r="C841" s="1">
        <v>0.611793072526769</v>
      </c>
      <c r="D841" s="1" t="s">
        <v>618</v>
      </c>
      <c r="E841" s="1" t="s">
        <v>111</v>
      </c>
      <c r="F841" s="1" t="s">
        <v>1274</v>
      </c>
      <c r="G841" s="1" t="s">
        <v>11</v>
      </c>
      <c r="H841" s="1">
        <v>2014.0</v>
      </c>
      <c r="I841" s="1" t="s">
        <v>240</v>
      </c>
      <c r="J841" s="1" t="s">
        <v>1272</v>
      </c>
      <c r="K841" s="1">
        <v>7.0</v>
      </c>
      <c r="L841" s="1" t="s">
        <v>1273</v>
      </c>
      <c r="M841" s="1">
        <v>5.0</v>
      </c>
    </row>
    <row r="842">
      <c r="A842" s="1">
        <v>1068.0</v>
      </c>
      <c r="B842" s="1">
        <v>7.0</v>
      </c>
      <c r="C842" s="1">
        <v>0.611664985928608</v>
      </c>
      <c r="D842" s="1" t="s">
        <v>972</v>
      </c>
      <c r="E842" s="1" t="s">
        <v>24</v>
      </c>
      <c r="F842" s="1" t="s">
        <v>197</v>
      </c>
      <c r="G842" s="1" t="s">
        <v>609</v>
      </c>
      <c r="H842" s="1">
        <v>2015.0</v>
      </c>
      <c r="I842" s="1" t="s">
        <v>861</v>
      </c>
      <c r="J842" s="1" t="s">
        <v>1272</v>
      </c>
      <c r="K842" s="1">
        <v>7.0</v>
      </c>
      <c r="L842" s="1" t="s">
        <v>1273</v>
      </c>
      <c r="M842" s="1">
        <v>6.0</v>
      </c>
    </row>
    <row r="843">
      <c r="A843" s="1">
        <v>586.0</v>
      </c>
      <c r="B843" s="1">
        <v>1.0</v>
      </c>
      <c r="C843" s="1">
        <v>0.611142930657658</v>
      </c>
      <c r="D843" s="1" t="s">
        <v>538</v>
      </c>
      <c r="E843" s="1" t="s">
        <v>187</v>
      </c>
      <c r="F843" s="1" t="s">
        <v>1274</v>
      </c>
      <c r="G843" s="1" t="s">
        <v>1274</v>
      </c>
      <c r="H843" s="1" t="s">
        <v>1274</v>
      </c>
      <c r="I843" s="1" t="s">
        <v>240</v>
      </c>
      <c r="J843" s="1" t="s">
        <v>1272</v>
      </c>
      <c r="K843" s="1">
        <v>5.0</v>
      </c>
      <c r="L843" s="1" t="s">
        <v>1273</v>
      </c>
      <c r="M843" s="1">
        <v>-1.0</v>
      </c>
    </row>
    <row r="844">
      <c r="A844" s="1">
        <v>977.0</v>
      </c>
      <c r="B844" s="1">
        <v>2.0</v>
      </c>
      <c r="C844" s="1">
        <v>0.610832111357134</v>
      </c>
      <c r="D844" s="1" t="s">
        <v>886</v>
      </c>
      <c r="E844" s="1" t="s">
        <v>50</v>
      </c>
      <c r="F844" s="1" t="s">
        <v>1274</v>
      </c>
      <c r="G844" s="1" t="s">
        <v>11</v>
      </c>
      <c r="H844" s="1">
        <v>2023.0</v>
      </c>
      <c r="I844" s="1" t="s">
        <v>861</v>
      </c>
      <c r="J844" s="1" t="s">
        <v>1272</v>
      </c>
      <c r="K844" s="1">
        <v>10.0</v>
      </c>
      <c r="L844" s="1" t="s">
        <v>1273</v>
      </c>
      <c r="M844" s="1">
        <v>-1.0</v>
      </c>
    </row>
    <row r="845">
      <c r="A845" s="1">
        <v>837.0</v>
      </c>
      <c r="B845" s="1">
        <v>3.0</v>
      </c>
      <c r="C845" s="1">
        <v>0.610813825841119</v>
      </c>
      <c r="D845" s="1" t="s">
        <v>773</v>
      </c>
      <c r="E845" s="1" t="s">
        <v>107</v>
      </c>
      <c r="F845" s="1" t="s">
        <v>18</v>
      </c>
      <c r="G845" s="1" t="s">
        <v>1274</v>
      </c>
      <c r="H845" s="1">
        <v>2024.0</v>
      </c>
      <c r="I845" s="1" t="s">
        <v>630</v>
      </c>
      <c r="J845" s="1" t="s">
        <v>1272</v>
      </c>
      <c r="K845" s="1">
        <v>7.0</v>
      </c>
      <c r="L845" s="1" t="s">
        <v>1273</v>
      </c>
      <c r="M845" s="1">
        <v>-1.0</v>
      </c>
    </row>
    <row r="846">
      <c r="A846" s="1">
        <v>963.0</v>
      </c>
      <c r="B846" s="1">
        <v>7.0</v>
      </c>
      <c r="C846" s="1">
        <v>0.610797806768536</v>
      </c>
      <c r="D846" s="1" t="s">
        <v>879</v>
      </c>
      <c r="E846" s="1" t="s">
        <v>111</v>
      </c>
      <c r="F846" s="1" t="s">
        <v>1274</v>
      </c>
      <c r="G846" s="1" t="s">
        <v>1274</v>
      </c>
      <c r="H846" s="1">
        <v>2011.0</v>
      </c>
      <c r="I846" s="1" t="s">
        <v>861</v>
      </c>
      <c r="J846" s="1" t="s">
        <v>1272</v>
      </c>
      <c r="K846" s="1">
        <v>10.0</v>
      </c>
      <c r="L846" s="1" t="s">
        <v>1273</v>
      </c>
      <c r="M846" s="1">
        <v>-1.0</v>
      </c>
    </row>
    <row r="847">
      <c r="A847" s="1">
        <v>910.0</v>
      </c>
      <c r="B847" s="1">
        <v>3.0</v>
      </c>
      <c r="C847" s="1">
        <v>0.610127914913921</v>
      </c>
      <c r="D847" s="1" t="s">
        <v>844</v>
      </c>
      <c r="E847" s="1" t="s">
        <v>173</v>
      </c>
      <c r="F847" s="1" t="s">
        <v>1274</v>
      </c>
      <c r="G847" s="1" t="s">
        <v>609</v>
      </c>
      <c r="H847" s="1">
        <v>2015.0</v>
      </c>
      <c r="I847" s="1" t="s">
        <v>630</v>
      </c>
      <c r="J847" s="1" t="s">
        <v>1272</v>
      </c>
      <c r="K847" s="1">
        <v>7.0</v>
      </c>
      <c r="L847" s="1" t="s">
        <v>1273</v>
      </c>
      <c r="M847" s="1">
        <v>1.0</v>
      </c>
    </row>
    <row r="848">
      <c r="A848" s="1">
        <v>874.0</v>
      </c>
      <c r="B848" s="1">
        <v>2.0</v>
      </c>
      <c r="C848" s="1">
        <v>0.609448201385953</v>
      </c>
      <c r="D848" s="1" t="s">
        <v>809</v>
      </c>
      <c r="E848" s="1" t="s">
        <v>58</v>
      </c>
      <c r="F848" s="1" t="s">
        <v>1274</v>
      </c>
      <c r="G848" s="1" t="s">
        <v>11</v>
      </c>
      <c r="H848" s="1">
        <v>2024.0</v>
      </c>
      <c r="I848" s="1" t="s">
        <v>630</v>
      </c>
      <c r="J848" s="1" t="s">
        <v>1272</v>
      </c>
      <c r="K848" s="1">
        <v>7.0</v>
      </c>
      <c r="L848" s="1" t="s">
        <v>1273</v>
      </c>
      <c r="M848" s="1">
        <v>0.0</v>
      </c>
    </row>
    <row r="849">
      <c r="A849" s="1">
        <v>957.0</v>
      </c>
      <c r="B849" s="1">
        <v>2.0</v>
      </c>
      <c r="C849" s="1">
        <v>0.608421800487699</v>
      </c>
      <c r="D849" s="1" t="s">
        <v>873</v>
      </c>
      <c r="E849" s="1" t="s">
        <v>24</v>
      </c>
      <c r="F849" s="1" t="s">
        <v>197</v>
      </c>
      <c r="G849" s="1" t="s">
        <v>1274</v>
      </c>
      <c r="H849" s="1">
        <v>2014.0</v>
      </c>
      <c r="I849" s="1" t="s">
        <v>861</v>
      </c>
      <c r="J849" s="1" t="s">
        <v>1272</v>
      </c>
      <c r="K849" s="1">
        <v>7.0</v>
      </c>
      <c r="L849" s="1" t="s">
        <v>1273</v>
      </c>
      <c r="M849" s="1">
        <v>-1.0</v>
      </c>
    </row>
    <row r="850">
      <c r="A850" s="1">
        <v>948.0</v>
      </c>
      <c r="B850" s="1">
        <v>2.0</v>
      </c>
      <c r="C850" s="1">
        <v>0.607994776238623</v>
      </c>
      <c r="D850" s="1" t="s">
        <v>868</v>
      </c>
      <c r="E850" s="1" t="s">
        <v>58</v>
      </c>
      <c r="F850" s="1" t="s">
        <v>18</v>
      </c>
      <c r="G850" s="1" t="s">
        <v>42</v>
      </c>
      <c r="H850" s="1">
        <v>2024.0</v>
      </c>
      <c r="I850" s="1" t="s">
        <v>861</v>
      </c>
      <c r="J850" s="1" t="s">
        <v>1272</v>
      </c>
      <c r="K850" s="1">
        <v>7.0</v>
      </c>
      <c r="L850" s="1" t="s">
        <v>1273</v>
      </c>
      <c r="M850" s="1">
        <v>-1.0</v>
      </c>
    </row>
    <row r="851">
      <c r="A851" s="1">
        <v>730.0</v>
      </c>
      <c r="B851" s="1">
        <v>3.0</v>
      </c>
      <c r="C851" s="1">
        <v>0.607404645701861</v>
      </c>
      <c r="D851" s="1" t="s">
        <v>668</v>
      </c>
      <c r="E851" s="1" t="s">
        <v>10</v>
      </c>
      <c r="F851" s="1" t="s">
        <v>18</v>
      </c>
      <c r="G851" s="1" t="s">
        <v>42</v>
      </c>
      <c r="H851" s="1">
        <v>2014.0</v>
      </c>
      <c r="I851" s="1" t="s">
        <v>630</v>
      </c>
      <c r="J851" s="1" t="s">
        <v>1272</v>
      </c>
      <c r="K851" s="1">
        <v>5.0</v>
      </c>
      <c r="L851" s="1" t="s">
        <v>1273</v>
      </c>
      <c r="M851" s="1">
        <v>-1.0</v>
      </c>
    </row>
    <row r="852">
      <c r="A852" s="1">
        <v>992.0</v>
      </c>
      <c r="B852" s="1">
        <v>3.0</v>
      </c>
      <c r="C852" s="1">
        <v>0.607109002544983</v>
      </c>
      <c r="D852" s="1" t="s">
        <v>897</v>
      </c>
      <c r="E852" s="1" t="s">
        <v>41</v>
      </c>
      <c r="F852" s="1" t="s">
        <v>18</v>
      </c>
      <c r="G852" s="1" t="s">
        <v>42</v>
      </c>
      <c r="H852" s="1">
        <v>2024.0</v>
      </c>
      <c r="I852" s="1" t="s">
        <v>861</v>
      </c>
      <c r="J852" s="1" t="s">
        <v>1272</v>
      </c>
      <c r="K852" s="1">
        <v>5.0</v>
      </c>
      <c r="L852" s="1" t="s">
        <v>1273</v>
      </c>
      <c r="M852" s="1">
        <v>0.0</v>
      </c>
    </row>
    <row r="853">
      <c r="A853" s="1">
        <v>545.0</v>
      </c>
      <c r="B853" s="1">
        <v>2.0</v>
      </c>
      <c r="C853" s="1">
        <v>0.606800619454238</v>
      </c>
      <c r="D853" s="1" t="s">
        <v>495</v>
      </c>
      <c r="E853" s="1" t="s">
        <v>124</v>
      </c>
      <c r="F853" s="1" t="s">
        <v>178</v>
      </c>
      <c r="G853" s="1" t="s">
        <v>26</v>
      </c>
      <c r="H853" s="1">
        <v>2015.0</v>
      </c>
      <c r="I853" s="1" t="s">
        <v>240</v>
      </c>
      <c r="J853" s="1" t="s">
        <v>1272</v>
      </c>
      <c r="K853" s="1">
        <v>5.0</v>
      </c>
      <c r="L853" s="1" t="s">
        <v>1273</v>
      </c>
      <c r="M853" s="1">
        <v>0.0</v>
      </c>
    </row>
    <row r="854">
      <c r="A854" s="1">
        <v>1071.0</v>
      </c>
      <c r="B854" s="1">
        <v>2.0</v>
      </c>
      <c r="C854" s="1">
        <v>0.606172015617559</v>
      </c>
      <c r="D854" s="1" t="s">
        <v>975</v>
      </c>
      <c r="E854" s="1" t="s">
        <v>111</v>
      </c>
      <c r="F854" s="1" t="s">
        <v>1274</v>
      </c>
      <c r="G854" s="1" t="s">
        <v>11</v>
      </c>
      <c r="H854" s="1">
        <v>2022.0</v>
      </c>
      <c r="I854" s="1" t="s">
        <v>861</v>
      </c>
      <c r="J854" s="1" t="s">
        <v>1272</v>
      </c>
      <c r="K854" s="1">
        <v>7.0</v>
      </c>
      <c r="L854" s="1" t="s">
        <v>1273</v>
      </c>
      <c r="M854" s="1">
        <v>-1.0</v>
      </c>
    </row>
    <row r="855">
      <c r="A855" s="1">
        <v>399.0</v>
      </c>
      <c r="B855" s="1">
        <v>2.0</v>
      </c>
      <c r="C855" s="1">
        <v>0.604737336051246</v>
      </c>
      <c r="D855" s="1" t="s">
        <v>376</v>
      </c>
      <c r="E855" s="1" t="s">
        <v>17</v>
      </c>
      <c r="F855" s="1" t="s">
        <v>18</v>
      </c>
      <c r="G855" s="1">
        <v>8.0</v>
      </c>
      <c r="H855" s="1">
        <v>2024.0</v>
      </c>
      <c r="I855" s="1" t="s">
        <v>240</v>
      </c>
      <c r="J855" s="1" t="s">
        <v>1272</v>
      </c>
      <c r="K855" s="1">
        <v>7.0</v>
      </c>
      <c r="L855" s="1" t="s">
        <v>1273</v>
      </c>
      <c r="M855" s="1">
        <v>5.0</v>
      </c>
    </row>
    <row r="856">
      <c r="A856" s="1">
        <v>141.0</v>
      </c>
      <c r="B856" s="1">
        <v>2.0</v>
      </c>
      <c r="C856" s="1">
        <v>0.604127555519659</v>
      </c>
      <c r="D856" s="1" t="s">
        <v>158</v>
      </c>
      <c r="E856" s="1" t="s">
        <v>111</v>
      </c>
      <c r="F856" s="1" t="s">
        <v>1274</v>
      </c>
      <c r="G856" s="1" t="s">
        <v>42</v>
      </c>
      <c r="H856" s="1">
        <v>1983.0</v>
      </c>
      <c r="I856" s="1" t="s">
        <v>12</v>
      </c>
      <c r="J856" s="1" t="s">
        <v>1272</v>
      </c>
      <c r="K856" s="1">
        <v>7.0</v>
      </c>
      <c r="L856" s="1" t="s">
        <v>1273</v>
      </c>
      <c r="M856" s="1">
        <v>0.0</v>
      </c>
    </row>
    <row r="857">
      <c r="A857" s="1">
        <v>768.0</v>
      </c>
      <c r="B857" s="1">
        <v>4.0</v>
      </c>
      <c r="C857" s="1">
        <v>0.603702725116737</v>
      </c>
      <c r="D857" s="1" t="s">
        <v>704</v>
      </c>
      <c r="E857" s="1" t="s">
        <v>1274</v>
      </c>
      <c r="F857" s="1" t="s">
        <v>1274</v>
      </c>
      <c r="G857" s="1" t="s">
        <v>1274</v>
      </c>
      <c r="H857" s="1">
        <v>2006.0</v>
      </c>
      <c r="I857" s="1" t="s">
        <v>630</v>
      </c>
      <c r="J857" s="1" t="s">
        <v>1272</v>
      </c>
      <c r="K857" s="1">
        <v>5.0</v>
      </c>
      <c r="L857" s="1" t="s">
        <v>1273</v>
      </c>
      <c r="M857" s="1">
        <v>-1.0</v>
      </c>
    </row>
    <row r="858">
      <c r="A858" s="1">
        <v>735.0</v>
      </c>
      <c r="B858" s="1">
        <v>3.0</v>
      </c>
      <c r="C858" s="1">
        <v>0.60298966817738</v>
      </c>
      <c r="D858" s="1" t="s">
        <v>673</v>
      </c>
      <c r="E858" s="1" t="s">
        <v>10</v>
      </c>
      <c r="F858" s="1" t="s">
        <v>18</v>
      </c>
      <c r="G858" s="1" t="s">
        <v>42</v>
      </c>
      <c r="H858" s="1">
        <v>2014.0</v>
      </c>
      <c r="I858" s="1" t="s">
        <v>630</v>
      </c>
      <c r="J858" s="1" t="s">
        <v>1272</v>
      </c>
      <c r="K858" s="1">
        <v>5.0</v>
      </c>
      <c r="L858" s="1" t="s">
        <v>1273</v>
      </c>
      <c r="M858" s="1">
        <v>-1.0</v>
      </c>
    </row>
    <row r="859">
      <c r="A859" s="1">
        <v>980.0</v>
      </c>
      <c r="B859" s="1">
        <v>2.0</v>
      </c>
      <c r="C859" s="1">
        <v>0.602672605548021</v>
      </c>
      <c r="D859" s="1" t="s">
        <v>889</v>
      </c>
      <c r="E859" s="1" t="s">
        <v>173</v>
      </c>
      <c r="F859" s="1" t="s">
        <v>18</v>
      </c>
      <c r="G859" s="1" t="s">
        <v>42</v>
      </c>
      <c r="H859" s="1" t="s">
        <v>1274</v>
      </c>
      <c r="I859" s="1" t="s">
        <v>861</v>
      </c>
      <c r="J859" s="1" t="s">
        <v>1272</v>
      </c>
      <c r="K859" s="1">
        <v>7.0</v>
      </c>
      <c r="L859" s="1" t="s">
        <v>1273</v>
      </c>
      <c r="M859" s="1">
        <v>-1.0</v>
      </c>
    </row>
    <row r="860">
      <c r="A860" s="1">
        <v>937.0</v>
      </c>
      <c r="B860" s="1">
        <v>2.0</v>
      </c>
      <c r="C860" s="1">
        <v>0.599458956573576</v>
      </c>
      <c r="D860" s="1" t="s">
        <v>862</v>
      </c>
      <c r="E860" s="1" t="s">
        <v>1274</v>
      </c>
      <c r="F860" s="1" t="s">
        <v>1274</v>
      </c>
      <c r="G860" s="1" t="s">
        <v>1274</v>
      </c>
      <c r="H860" s="1">
        <v>2006.0</v>
      </c>
      <c r="I860" s="1" t="s">
        <v>861</v>
      </c>
      <c r="J860" s="1" t="s">
        <v>1272</v>
      </c>
      <c r="K860" s="1">
        <v>7.0</v>
      </c>
      <c r="L860" s="1" t="s">
        <v>1273</v>
      </c>
      <c r="M860" s="1">
        <v>9.0</v>
      </c>
    </row>
    <row r="861">
      <c r="A861" s="1">
        <v>222.0</v>
      </c>
      <c r="B861" s="1">
        <v>2.0</v>
      </c>
      <c r="C861" s="1">
        <v>0.599065168493196</v>
      </c>
      <c r="D861" s="1" t="s">
        <v>219</v>
      </c>
      <c r="E861" s="1" t="s">
        <v>10</v>
      </c>
      <c r="F861" s="1" t="s">
        <v>97</v>
      </c>
      <c r="G861" s="1" t="s">
        <v>1274</v>
      </c>
      <c r="H861" s="1">
        <v>2020.0</v>
      </c>
      <c r="I861" s="1" t="s">
        <v>198</v>
      </c>
      <c r="J861" s="1" t="s">
        <v>1272</v>
      </c>
      <c r="K861" s="1">
        <v>7.0</v>
      </c>
      <c r="L861" s="1" t="s">
        <v>1273</v>
      </c>
      <c r="M861" s="1">
        <v>0.0</v>
      </c>
    </row>
    <row r="862">
      <c r="A862" s="1">
        <v>997.0</v>
      </c>
      <c r="B862" s="1">
        <v>5.0</v>
      </c>
      <c r="C862" s="1">
        <v>0.596818348727961</v>
      </c>
      <c r="D862" s="1" t="s">
        <v>904</v>
      </c>
      <c r="E862" s="1" t="s">
        <v>24</v>
      </c>
      <c r="F862" s="1" t="s">
        <v>18</v>
      </c>
      <c r="G862" s="1" t="s">
        <v>42</v>
      </c>
      <c r="H862" s="1">
        <v>2023.0</v>
      </c>
      <c r="I862" s="1" t="s">
        <v>861</v>
      </c>
      <c r="J862" s="1" t="s">
        <v>1272</v>
      </c>
      <c r="K862" s="1">
        <v>10.0</v>
      </c>
      <c r="L862" s="1" t="s">
        <v>1273</v>
      </c>
      <c r="M862" s="1">
        <v>0.0</v>
      </c>
    </row>
    <row r="863">
      <c r="A863" s="1">
        <v>851.0</v>
      </c>
      <c r="B863" s="1">
        <v>3.0</v>
      </c>
      <c r="C863" s="1">
        <v>0.593952158276683</v>
      </c>
      <c r="D863" s="1" t="s">
        <v>787</v>
      </c>
      <c r="E863" s="1" t="s">
        <v>107</v>
      </c>
      <c r="F863" s="1" t="s">
        <v>18</v>
      </c>
      <c r="G863" s="1" t="s">
        <v>1274</v>
      </c>
      <c r="H863" s="1">
        <v>2024.0</v>
      </c>
      <c r="I863" s="1" t="s">
        <v>630</v>
      </c>
      <c r="J863" s="1" t="s">
        <v>1272</v>
      </c>
      <c r="K863" s="1">
        <v>5.0</v>
      </c>
      <c r="L863" s="1" t="s">
        <v>1273</v>
      </c>
      <c r="M863" s="1">
        <v>1.0</v>
      </c>
    </row>
    <row r="864">
      <c r="A864" s="1">
        <v>836.0</v>
      </c>
      <c r="B864" s="1">
        <v>3.0</v>
      </c>
      <c r="C864" s="1">
        <v>0.593939726334844</v>
      </c>
      <c r="D864" s="1" t="s">
        <v>772</v>
      </c>
      <c r="E864" s="1" t="s">
        <v>107</v>
      </c>
      <c r="F864" s="1" t="s">
        <v>18</v>
      </c>
      <c r="G864" s="1" t="s">
        <v>1274</v>
      </c>
      <c r="H864" s="1">
        <v>2024.0</v>
      </c>
      <c r="I864" s="1" t="s">
        <v>630</v>
      </c>
      <c r="J864" s="1" t="s">
        <v>1272</v>
      </c>
      <c r="K864" s="1">
        <v>5.0</v>
      </c>
      <c r="L864" s="1" t="s">
        <v>1273</v>
      </c>
      <c r="M864" s="1">
        <v>-1.0</v>
      </c>
    </row>
    <row r="865">
      <c r="A865" s="1">
        <v>852.0</v>
      </c>
      <c r="B865" s="1">
        <v>2.0</v>
      </c>
      <c r="C865" s="1">
        <v>0.593472836506918</v>
      </c>
      <c r="D865" s="1" t="s">
        <v>788</v>
      </c>
      <c r="E865" s="1" t="s">
        <v>107</v>
      </c>
      <c r="F865" s="1" t="s">
        <v>18</v>
      </c>
      <c r="G865" s="1" t="s">
        <v>1274</v>
      </c>
      <c r="H865" s="1">
        <v>2024.0</v>
      </c>
      <c r="I865" s="1" t="s">
        <v>630</v>
      </c>
      <c r="J865" s="1" t="s">
        <v>1272</v>
      </c>
      <c r="K865" s="1">
        <v>5.0</v>
      </c>
      <c r="L865" s="1" t="s">
        <v>1273</v>
      </c>
      <c r="M865" s="1">
        <v>-1.0</v>
      </c>
    </row>
    <row r="866">
      <c r="A866" s="1">
        <v>849.0</v>
      </c>
      <c r="B866" s="1">
        <v>3.0</v>
      </c>
      <c r="C866" s="1">
        <v>0.593295937870248</v>
      </c>
      <c r="D866" s="1" t="s">
        <v>785</v>
      </c>
      <c r="E866" s="1" t="s">
        <v>107</v>
      </c>
      <c r="F866" s="1" t="s">
        <v>18</v>
      </c>
      <c r="G866" s="1" t="s">
        <v>1274</v>
      </c>
      <c r="H866" s="1">
        <v>2024.0</v>
      </c>
      <c r="I866" s="1" t="s">
        <v>630</v>
      </c>
      <c r="J866" s="1" t="s">
        <v>1272</v>
      </c>
      <c r="K866" s="1">
        <v>7.0</v>
      </c>
      <c r="L866" s="1" t="s">
        <v>1273</v>
      </c>
      <c r="M866" s="1">
        <v>1.0</v>
      </c>
    </row>
    <row r="867">
      <c r="A867" s="1">
        <v>1060.0</v>
      </c>
      <c r="B867" s="1">
        <v>2.0</v>
      </c>
      <c r="C867" s="1">
        <v>0.592858695012563</v>
      </c>
      <c r="D867" s="1" t="s">
        <v>964</v>
      </c>
      <c r="E867" s="1" t="s">
        <v>1274</v>
      </c>
      <c r="F867" s="1" t="s">
        <v>1274</v>
      </c>
      <c r="G867" s="1" t="s">
        <v>1274</v>
      </c>
      <c r="H867" s="1">
        <v>2005.0</v>
      </c>
      <c r="I867" s="1" t="s">
        <v>861</v>
      </c>
      <c r="J867" s="1" t="s">
        <v>1272</v>
      </c>
      <c r="K867" s="1">
        <v>7.0</v>
      </c>
      <c r="L867" s="1" t="s">
        <v>1273</v>
      </c>
      <c r="M867" s="1">
        <v>-1.0</v>
      </c>
    </row>
    <row r="868">
      <c r="A868" s="1">
        <v>885.0</v>
      </c>
      <c r="B868" s="1">
        <v>2.0</v>
      </c>
      <c r="C868" s="1">
        <v>0.592446136937667</v>
      </c>
      <c r="D868" s="1" t="s">
        <v>818</v>
      </c>
      <c r="E868" s="1" t="s">
        <v>58</v>
      </c>
      <c r="F868" s="1" t="s">
        <v>1274</v>
      </c>
      <c r="G868" s="1" t="s">
        <v>11</v>
      </c>
      <c r="H868" s="1">
        <v>2024.0</v>
      </c>
      <c r="I868" s="1" t="s">
        <v>630</v>
      </c>
      <c r="J868" s="1" t="s">
        <v>1272</v>
      </c>
      <c r="K868" s="1">
        <v>7.0</v>
      </c>
      <c r="L868" s="1" t="s">
        <v>1273</v>
      </c>
      <c r="M868" s="1">
        <v>0.0</v>
      </c>
    </row>
    <row r="869">
      <c r="A869" s="1">
        <v>116.0</v>
      </c>
      <c r="B869" s="1">
        <v>2.0</v>
      </c>
      <c r="C869" s="1">
        <v>0.590201290471287</v>
      </c>
      <c r="D869" s="1" t="s">
        <v>138</v>
      </c>
      <c r="E869" s="1" t="s">
        <v>50</v>
      </c>
      <c r="F869" s="1" t="s">
        <v>1274</v>
      </c>
      <c r="G869" s="2">
        <v>46213.0</v>
      </c>
      <c r="H869" s="1">
        <v>2002.0</v>
      </c>
      <c r="I869" s="1" t="s">
        <v>12</v>
      </c>
      <c r="J869" s="1" t="s">
        <v>1272</v>
      </c>
      <c r="K869" s="1">
        <v>7.0</v>
      </c>
      <c r="L869" s="1" t="s">
        <v>1273</v>
      </c>
      <c r="M869" s="1">
        <v>0.0</v>
      </c>
    </row>
    <row r="870">
      <c r="A870" s="1">
        <v>829.0</v>
      </c>
      <c r="B870" s="1">
        <v>2.0</v>
      </c>
      <c r="C870" s="1">
        <v>0.589694343802443</v>
      </c>
      <c r="D870" s="1" t="s">
        <v>765</v>
      </c>
      <c r="E870" s="1" t="s">
        <v>107</v>
      </c>
      <c r="F870" s="1" t="s">
        <v>18</v>
      </c>
      <c r="G870" s="1" t="s">
        <v>1274</v>
      </c>
      <c r="H870" s="1">
        <v>2024.0</v>
      </c>
      <c r="I870" s="1" t="s">
        <v>630</v>
      </c>
      <c r="J870" s="1" t="s">
        <v>1272</v>
      </c>
      <c r="K870" s="1">
        <v>10.0</v>
      </c>
      <c r="L870" s="1" t="s">
        <v>1273</v>
      </c>
      <c r="M870" s="1">
        <v>-1.0</v>
      </c>
    </row>
    <row r="871">
      <c r="A871" s="1">
        <v>905.0</v>
      </c>
      <c r="B871" s="1">
        <v>3.0</v>
      </c>
      <c r="C871" s="1">
        <v>0.589317449259146</v>
      </c>
      <c r="D871" s="1" t="s">
        <v>839</v>
      </c>
      <c r="E871" s="1" t="s">
        <v>173</v>
      </c>
      <c r="F871" s="1" t="s">
        <v>1274</v>
      </c>
      <c r="G871" s="1" t="s">
        <v>609</v>
      </c>
      <c r="H871" s="1">
        <v>2015.0</v>
      </c>
      <c r="I871" s="1" t="s">
        <v>630</v>
      </c>
      <c r="J871" s="1" t="s">
        <v>1272</v>
      </c>
      <c r="K871" s="1">
        <v>5.0</v>
      </c>
      <c r="L871" s="1" t="s">
        <v>1273</v>
      </c>
      <c r="M871" s="1">
        <v>-1.0</v>
      </c>
    </row>
    <row r="872">
      <c r="A872" s="1">
        <v>499.0</v>
      </c>
      <c r="B872" s="1">
        <v>4.0</v>
      </c>
      <c r="C872" s="1">
        <v>0.589130183388963</v>
      </c>
      <c r="D872" s="1" t="s">
        <v>460</v>
      </c>
      <c r="E872" s="1" t="s">
        <v>111</v>
      </c>
      <c r="F872" s="1" t="s">
        <v>1274</v>
      </c>
      <c r="G872" s="1" t="s">
        <v>42</v>
      </c>
      <c r="H872" s="1">
        <v>2022.0</v>
      </c>
      <c r="I872" s="1" t="s">
        <v>240</v>
      </c>
      <c r="J872" s="1" t="s">
        <v>1272</v>
      </c>
      <c r="K872" s="1">
        <v>7.0</v>
      </c>
      <c r="L872" s="1" t="s">
        <v>1273</v>
      </c>
      <c r="M872" s="1">
        <v>4.0</v>
      </c>
    </row>
    <row r="873">
      <c r="A873" s="1">
        <v>170.0</v>
      </c>
      <c r="B873" s="1">
        <v>3.0</v>
      </c>
      <c r="C873" s="1">
        <v>0.587507450203497</v>
      </c>
      <c r="D873" s="1" t="s">
        <v>185</v>
      </c>
      <c r="E873" s="1" t="s">
        <v>17</v>
      </c>
      <c r="F873" s="1" t="s">
        <v>18</v>
      </c>
      <c r="G873" s="1">
        <v>9.0</v>
      </c>
      <c r="H873" s="1" t="s">
        <v>1274</v>
      </c>
      <c r="I873" s="1" t="s">
        <v>12</v>
      </c>
      <c r="J873" s="1" t="s">
        <v>1272</v>
      </c>
      <c r="K873" s="1">
        <v>5.0</v>
      </c>
      <c r="L873" s="1" t="s">
        <v>1273</v>
      </c>
      <c r="M873" s="1">
        <v>6.0</v>
      </c>
    </row>
    <row r="874">
      <c r="A874" s="1">
        <v>683.0</v>
      </c>
      <c r="B874" s="1">
        <v>2.0</v>
      </c>
      <c r="C874" s="1">
        <v>0.586814009309306</v>
      </c>
      <c r="D874" s="1" t="s">
        <v>622</v>
      </c>
      <c r="E874" s="1" t="s">
        <v>111</v>
      </c>
      <c r="F874" s="1" t="s">
        <v>1274</v>
      </c>
      <c r="G874" s="1" t="s">
        <v>11</v>
      </c>
      <c r="H874" s="1">
        <v>2014.0</v>
      </c>
      <c r="I874" s="1" t="s">
        <v>240</v>
      </c>
      <c r="J874" s="1" t="s">
        <v>1272</v>
      </c>
      <c r="K874" s="1">
        <v>7.0</v>
      </c>
      <c r="L874" s="1" t="s">
        <v>1273</v>
      </c>
      <c r="M874" s="1">
        <v>-1.0</v>
      </c>
    </row>
    <row r="875">
      <c r="A875" s="1">
        <v>697.0</v>
      </c>
      <c r="B875" s="1">
        <v>4.0</v>
      </c>
      <c r="C875" s="1">
        <v>0.586305312146162</v>
      </c>
      <c r="D875" s="1" t="s">
        <v>635</v>
      </c>
      <c r="E875" s="1" t="s">
        <v>102</v>
      </c>
      <c r="F875" s="1" t="s">
        <v>18</v>
      </c>
      <c r="G875" s="1" t="s">
        <v>42</v>
      </c>
      <c r="H875" s="1">
        <v>2009.0</v>
      </c>
      <c r="I875" s="1" t="s">
        <v>630</v>
      </c>
      <c r="J875" s="1" t="s">
        <v>1272</v>
      </c>
      <c r="K875" s="1">
        <v>7.0</v>
      </c>
      <c r="L875" s="1" t="s">
        <v>1273</v>
      </c>
      <c r="M875" s="1">
        <v>1.0</v>
      </c>
    </row>
    <row r="876">
      <c r="A876" s="1">
        <v>821.0</v>
      </c>
      <c r="B876" s="1">
        <v>3.0</v>
      </c>
      <c r="C876" s="1">
        <v>0.585363766685788</v>
      </c>
      <c r="D876" s="1" t="s">
        <v>757</v>
      </c>
      <c r="E876" s="1" t="s">
        <v>107</v>
      </c>
      <c r="F876" s="1" t="s">
        <v>18</v>
      </c>
      <c r="G876" s="1" t="s">
        <v>1274</v>
      </c>
      <c r="H876" s="1">
        <v>2024.0</v>
      </c>
      <c r="I876" s="1" t="s">
        <v>630</v>
      </c>
      <c r="J876" s="1" t="s">
        <v>1272</v>
      </c>
      <c r="K876" s="1">
        <v>7.0</v>
      </c>
      <c r="L876" s="1" t="s">
        <v>1273</v>
      </c>
      <c r="M876" s="1">
        <v>-1.0</v>
      </c>
    </row>
    <row r="877">
      <c r="A877" s="1">
        <v>10.0</v>
      </c>
      <c r="B877" s="1">
        <v>2.0</v>
      </c>
      <c r="C877" s="1">
        <v>0.584727744830965</v>
      </c>
      <c r="D877" s="1" t="s">
        <v>29</v>
      </c>
      <c r="E877" s="1" t="s">
        <v>1274</v>
      </c>
      <c r="F877" s="1" t="s">
        <v>1274</v>
      </c>
      <c r="G877" s="1" t="s">
        <v>1274</v>
      </c>
      <c r="H877" s="1">
        <v>2006.0</v>
      </c>
      <c r="I877" s="1" t="s">
        <v>12</v>
      </c>
      <c r="J877" s="1" t="s">
        <v>1272</v>
      </c>
      <c r="K877" s="1">
        <v>7.0</v>
      </c>
      <c r="L877" s="1" t="s">
        <v>1273</v>
      </c>
      <c r="M877" s="1">
        <v>0.0</v>
      </c>
    </row>
    <row r="878">
      <c r="A878" s="1">
        <v>702.0</v>
      </c>
      <c r="B878" s="1">
        <v>2.0</v>
      </c>
      <c r="C878" s="1">
        <v>0.584626978693081</v>
      </c>
      <c r="D878" s="1" t="s">
        <v>640</v>
      </c>
      <c r="E878" s="1" t="s">
        <v>102</v>
      </c>
      <c r="F878" s="1" t="s">
        <v>18</v>
      </c>
      <c r="G878" s="1" t="s">
        <v>42</v>
      </c>
      <c r="H878" s="1">
        <v>2009.0</v>
      </c>
      <c r="I878" s="1" t="s">
        <v>630</v>
      </c>
      <c r="J878" s="1" t="s">
        <v>1272</v>
      </c>
      <c r="K878" s="1">
        <v>10.0</v>
      </c>
      <c r="L878" s="1" t="s">
        <v>1273</v>
      </c>
      <c r="M878" s="1">
        <v>1.0</v>
      </c>
    </row>
    <row r="879">
      <c r="A879" s="1">
        <v>734.0</v>
      </c>
      <c r="B879" s="1">
        <v>3.0</v>
      </c>
      <c r="C879" s="1">
        <v>0.583547369290971</v>
      </c>
      <c r="D879" s="1" t="s">
        <v>672</v>
      </c>
      <c r="E879" s="1" t="s">
        <v>10</v>
      </c>
      <c r="F879" s="1" t="s">
        <v>18</v>
      </c>
      <c r="G879" s="1" t="s">
        <v>42</v>
      </c>
      <c r="H879" s="1">
        <v>2014.0</v>
      </c>
      <c r="I879" s="1" t="s">
        <v>630</v>
      </c>
      <c r="J879" s="1" t="s">
        <v>1272</v>
      </c>
      <c r="K879" s="1">
        <v>5.0</v>
      </c>
      <c r="L879" s="1" t="s">
        <v>1273</v>
      </c>
      <c r="M879" s="1">
        <v>-1.0</v>
      </c>
    </row>
    <row r="880">
      <c r="A880" s="1">
        <v>1129.0</v>
      </c>
      <c r="B880" s="1">
        <v>2.0</v>
      </c>
      <c r="C880" s="1">
        <v>0.583405585388404</v>
      </c>
      <c r="D880" s="1" t="s">
        <v>1014</v>
      </c>
      <c r="E880" s="1" t="s">
        <v>58</v>
      </c>
      <c r="F880" s="1" t="s">
        <v>59</v>
      </c>
      <c r="G880" s="2">
        <v>46153.0</v>
      </c>
      <c r="H880" s="1">
        <v>2024.0</v>
      </c>
      <c r="I880" s="1" t="s">
        <v>861</v>
      </c>
      <c r="J880" s="1" t="s">
        <v>1272</v>
      </c>
      <c r="K880" s="1">
        <v>7.0</v>
      </c>
      <c r="L880" s="1" t="s">
        <v>1273</v>
      </c>
      <c r="M880" s="1">
        <v>-1.0</v>
      </c>
    </row>
    <row r="881">
      <c r="A881" s="1">
        <v>719.0</v>
      </c>
      <c r="B881" s="1">
        <v>3.0</v>
      </c>
      <c r="C881" s="1">
        <v>0.583304540148304</v>
      </c>
      <c r="D881" s="1" t="s">
        <v>657</v>
      </c>
      <c r="E881" s="1" t="s">
        <v>10</v>
      </c>
      <c r="F881" s="1" t="s">
        <v>18</v>
      </c>
      <c r="G881" s="1" t="s">
        <v>42</v>
      </c>
      <c r="H881" s="1">
        <v>2014.0</v>
      </c>
      <c r="I881" s="1" t="s">
        <v>630</v>
      </c>
      <c r="J881" s="1" t="s">
        <v>1272</v>
      </c>
      <c r="K881" s="1">
        <v>7.0</v>
      </c>
      <c r="L881" s="1" t="s">
        <v>1273</v>
      </c>
      <c r="M881" s="1">
        <v>1.0</v>
      </c>
    </row>
    <row r="882">
      <c r="A882" s="1">
        <v>171.0</v>
      </c>
      <c r="B882" s="1">
        <v>2.0</v>
      </c>
      <c r="C882" s="1">
        <v>0.583106745777851</v>
      </c>
      <c r="D882" s="1" t="s">
        <v>186</v>
      </c>
      <c r="E882" s="1" t="s">
        <v>187</v>
      </c>
      <c r="F882" s="1" t="s">
        <v>1274</v>
      </c>
      <c r="G882" s="1" t="s">
        <v>1274</v>
      </c>
      <c r="H882" s="1">
        <v>2016.0</v>
      </c>
      <c r="I882" s="1" t="s">
        <v>12</v>
      </c>
      <c r="J882" s="1" t="s">
        <v>1272</v>
      </c>
      <c r="K882" s="1">
        <v>7.0</v>
      </c>
      <c r="L882" s="1" t="s">
        <v>1273</v>
      </c>
      <c r="M882" s="1">
        <v>-1.0</v>
      </c>
    </row>
    <row r="883">
      <c r="A883" s="1">
        <v>904.0</v>
      </c>
      <c r="B883" s="1">
        <v>3.0</v>
      </c>
      <c r="C883" s="1">
        <v>0.582009526340862</v>
      </c>
      <c r="D883" s="1" t="s">
        <v>838</v>
      </c>
      <c r="E883" s="1" t="s">
        <v>173</v>
      </c>
      <c r="F883" s="1" t="s">
        <v>1274</v>
      </c>
      <c r="G883" s="1" t="s">
        <v>609</v>
      </c>
      <c r="H883" s="1">
        <v>2015.0</v>
      </c>
      <c r="I883" s="1" t="s">
        <v>630</v>
      </c>
      <c r="J883" s="1" t="s">
        <v>1272</v>
      </c>
      <c r="K883" s="1">
        <v>5.0</v>
      </c>
      <c r="L883" s="1" t="s">
        <v>1273</v>
      </c>
      <c r="M883" s="1">
        <v>1.0</v>
      </c>
    </row>
    <row r="884">
      <c r="A884" s="1">
        <v>51.0</v>
      </c>
      <c r="B884" s="1">
        <v>2.0</v>
      </c>
      <c r="C884" s="1">
        <v>0.581787880594824</v>
      </c>
      <c r="D884" s="1" t="s">
        <v>75</v>
      </c>
      <c r="E884" s="1" t="s">
        <v>45</v>
      </c>
      <c r="F884" s="1" t="s">
        <v>65</v>
      </c>
      <c r="G884" s="1" t="s">
        <v>1274</v>
      </c>
      <c r="H884" s="1">
        <v>2019.0</v>
      </c>
      <c r="I884" s="1" t="s">
        <v>12</v>
      </c>
      <c r="J884" s="1" t="s">
        <v>1272</v>
      </c>
      <c r="K884" s="1">
        <v>5.0</v>
      </c>
      <c r="L884" s="1" t="s">
        <v>1273</v>
      </c>
      <c r="M884" s="1">
        <v>-1.0</v>
      </c>
    </row>
    <row r="885">
      <c r="A885" s="1">
        <v>1080.0</v>
      </c>
      <c r="B885" s="1">
        <v>3.0</v>
      </c>
      <c r="C885" s="1">
        <v>0.580881256115602</v>
      </c>
      <c r="D885" s="1" t="s">
        <v>984</v>
      </c>
      <c r="E885" s="1" t="s">
        <v>17</v>
      </c>
      <c r="F885" s="1" t="s">
        <v>18</v>
      </c>
      <c r="G885" s="1">
        <v>8.0</v>
      </c>
      <c r="H885" s="1">
        <v>2023.0</v>
      </c>
      <c r="I885" s="1" t="s">
        <v>861</v>
      </c>
      <c r="J885" s="1" t="s">
        <v>1272</v>
      </c>
      <c r="K885" s="1">
        <v>5.0</v>
      </c>
      <c r="L885" s="1" t="s">
        <v>1273</v>
      </c>
      <c r="M885" s="1">
        <v>0.0</v>
      </c>
    </row>
    <row r="886">
      <c r="A886" s="1">
        <v>898.0</v>
      </c>
      <c r="B886" s="1">
        <v>3.0</v>
      </c>
      <c r="C886" s="1">
        <v>0.580812735016675</v>
      </c>
      <c r="D886" s="1" t="s">
        <v>832</v>
      </c>
      <c r="E886" s="1" t="s">
        <v>17</v>
      </c>
      <c r="F886" s="1" t="s">
        <v>18</v>
      </c>
      <c r="G886" s="1" t="s">
        <v>831</v>
      </c>
      <c r="H886" s="1" t="s">
        <v>1274</v>
      </c>
      <c r="I886" s="1" t="s">
        <v>630</v>
      </c>
      <c r="J886" s="1" t="s">
        <v>1272</v>
      </c>
      <c r="K886" s="1">
        <v>5.0</v>
      </c>
      <c r="L886" s="1" t="s">
        <v>1273</v>
      </c>
      <c r="M886" s="1">
        <v>1.0</v>
      </c>
    </row>
    <row r="887">
      <c r="A887" s="1">
        <v>1123.0</v>
      </c>
      <c r="B887" s="1">
        <v>3.0</v>
      </c>
      <c r="C887" s="1">
        <v>0.579683217567214</v>
      </c>
      <c r="D887" s="1" t="s">
        <v>1010</v>
      </c>
      <c r="E887" s="1" t="s">
        <v>41</v>
      </c>
      <c r="F887" s="1" t="s">
        <v>1274</v>
      </c>
      <c r="G887" s="1" t="s">
        <v>11</v>
      </c>
      <c r="H887" s="1" t="s">
        <v>1274</v>
      </c>
      <c r="I887" s="1" t="s">
        <v>861</v>
      </c>
      <c r="J887" s="1" t="s">
        <v>1272</v>
      </c>
      <c r="K887" s="1">
        <v>5.0</v>
      </c>
      <c r="L887" s="1" t="s">
        <v>1273</v>
      </c>
      <c r="M887" s="1">
        <v>0.0</v>
      </c>
    </row>
    <row r="888">
      <c r="A888" s="1">
        <v>533.0</v>
      </c>
      <c r="B888" s="1">
        <v>2.0</v>
      </c>
      <c r="C888" s="1">
        <v>0.578717088852307</v>
      </c>
      <c r="D888" s="1" t="s">
        <v>494</v>
      </c>
      <c r="E888" s="1" t="s">
        <v>124</v>
      </c>
      <c r="F888" s="1" t="s">
        <v>18</v>
      </c>
      <c r="G888" s="1" t="s">
        <v>26</v>
      </c>
      <c r="H888" s="1">
        <v>2015.0</v>
      </c>
      <c r="I888" s="1" t="s">
        <v>240</v>
      </c>
      <c r="J888" s="1" t="s">
        <v>1272</v>
      </c>
      <c r="K888" s="1">
        <v>5.0</v>
      </c>
      <c r="L888" s="1" t="s">
        <v>1273</v>
      </c>
      <c r="M888" s="1">
        <v>0.0</v>
      </c>
    </row>
    <row r="889">
      <c r="A889" s="1">
        <v>884.0</v>
      </c>
      <c r="B889" s="1">
        <v>2.0</v>
      </c>
      <c r="C889" s="1">
        <v>0.578269430849821</v>
      </c>
      <c r="D889" s="1" t="s">
        <v>817</v>
      </c>
      <c r="E889" s="1" t="s">
        <v>58</v>
      </c>
      <c r="F889" s="1" t="s">
        <v>1274</v>
      </c>
      <c r="G889" s="1" t="s">
        <v>11</v>
      </c>
      <c r="H889" s="1">
        <v>2024.0</v>
      </c>
      <c r="I889" s="1" t="s">
        <v>630</v>
      </c>
      <c r="J889" s="1" t="s">
        <v>1272</v>
      </c>
      <c r="K889" s="1">
        <v>7.0</v>
      </c>
      <c r="L889" s="1" t="s">
        <v>1273</v>
      </c>
      <c r="M889" s="1">
        <v>-1.0</v>
      </c>
    </row>
    <row r="890">
      <c r="A890" s="1">
        <v>936.0</v>
      </c>
      <c r="B890" s="1">
        <v>2.0</v>
      </c>
      <c r="C890" s="1">
        <v>0.577800561901122</v>
      </c>
      <c r="D890" s="1" t="s">
        <v>860</v>
      </c>
      <c r="E890" s="1" t="s">
        <v>1274</v>
      </c>
      <c r="F890" s="1" t="s">
        <v>1274</v>
      </c>
      <c r="G890" s="1" t="s">
        <v>1274</v>
      </c>
      <c r="H890" s="1">
        <v>2006.0</v>
      </c>
      <c r="I890" s="1" t="s">
        <v>861</v>
      </c>
      <c r="J890" s="1" t="s">
        <v>1272</v>
      </c>
      <c r="K890" s="1">
        <v>7.0</v>
      </c>
      <c r="L890" s="1" t="s">
        <v>1273</v>
      </c>
      <c r="M890" s="1">
        <v>-1.0</v>
      </c>
    </row>
    <row r="891">
      <c r="A891" s="1">
        <v>844.0</v>
      </c>
      <c r="B891" s="1">
        <v>2.0</v>
      </c>
      <c r="C891" s="1">
        <v>0.575153115451546</v>
      </c>
      <c r="D891" s="1" t="s">
        <v>780</v>
      </c>
      <c r="E891" s="1" t="s">
        <v>107</v>
      </c>
      <c r="F891" s="1" t="s">
        <v>18</v>
      </c>
      <c r="G891" s="1" t="s">
        <v>1274</v>
      </c>
      <c r="H891" s="1">
        <v>2024.0</v>
      </c>
      <c r="I891" s="1" t="s">
        <v>630</v>
      </c>
      <c r="J891" s="1" t="s">
        <v>1272</v>
      </c>
      <c r="K891" s="1">
        <v>5.0</v>
      </c>
      <c r="L891" s="1" t="s">
        <v>1273</v>
      </c>
      <c r="M891" s="1">
        <v>-1.0</v>
      </c>
    </row>
    <row r="892">
      <c r="A892" s="1">
        <v>488.0</v>
      </c>
      <c r="B892" s="1">
        <v>2.0</v>
      </c>
      <c r="C892" s="1">
        <v>0.573299981534291</v>
      </c>
      <c r="D892" s="1" t="s">
        <v>449</v>
      </c>
      <c r="E892" s="1" t="s">
        <v>10</v>
      </c>
      <c r="F892" s="1" t="s">
        <v>97</v>
      </c>
      <c r="G892" s="1" t="s">
        <v>11</v>
      </c>
      <c r="H892" s="1">
        <v>2011.0</v>
      </c>
      <c r="I892" s="1" t="s">
        <v>240</v>
      </c>
      <c r="J892" s="1" t="s">
        <v>1272</v>
      </c>
      <c r="K892" s="1">
        <v>5.0</v>
      </c>
      <c r="L892" s="1" t="s">
        <v>1273</v>
      </c>
      <c r="M892" s="1">
        <v>0.0</v>
      </c>
    </row>
    <row r="893">
      <c r="A893" s="1">
        <v>485.0</v>
      </c>
      <c r="B893" s="1">
        <v>4.0</v>
      </c>
      <c r="C893" s="1">
        <v>0.571764509777984</v>
      </c>
      <c r="D893" s="1" t="s">
        <v>446</v>
      </c>
      <c r="E893" s="1" t="s">
        <v>10</v>
      </c>
      <c r="F893" s="1" t="s">
        <v>97</v>
      </c>
      <c r="G893" s="1" t="s">
        <v>11</v>
      </c>
      <c r="H893" s="1">
        <v>2011.0</v>
      </c>
      <c r="I893" s="1" t="s">
        <v>240</v>
      </c>
      <c r="J893" s="1" t="s">
        <v>1272</v>
      </c>
      <c r="K893" s="1">
        <v>7.0</v>
      </c>
      <c r="L893" s="1" t="s">
        <v>1273</v>
      </c>
      <c r="M893" s="1">
        <v>-1.0</v>
      </c>
    </row>
    <row r="894">
      <c r="A894" s="1">
        <v>1009.0</v>
      </c>
      <c r="B894" s="1">
        <v>7.0</v>
      </c>
      <c r="C894" s="1">
        <v>0.570797204765017</v>
      </c>
      <c r="D894" s="1" t="s">
        <v>916</v>
      </c>
      <c r="E894" s="1" t="s">
        <v>111</v>
      </c>
      <c r="F894" s="1" t="s">
        <v>18</v>
      </c>
      <c r="G894" s="1" t="s">
        <v>42</v>
      </c>
      <c r="H894" s="1">
        <v>1998.0</v>
      </c>
      <c r="I894" s="1" t="s">
        <v>861</v>
      </c>
      <c r="J894" s="1" t="s">
        <v>1272</v>
      </c>
      <c r="K894" s="1">
        <v>10.0</v>
      </c>
      <c r="L894" s="1" t="s">
        <v>1273</v>
      </c>
      <c r="M894" s="1">
        <v>-1.0</v>
      </c>
    </row>
    <row r="895">
      <c r="A895" s="1">
        <v>841.0</v>
      </c>
      <c r="B895" s="1">
        <v>2.0</v>
      </c>
      <c r="C895" s="1">
        <v>0.570579450576578</v>
      </c>
      <c r="D895" s="1" t="s">
        <v>777</v>
      </c>
      <c r="E895" s="1" t="s">
        <v>107</v>
      </c>
      <c r="F895" s="1" t="s">
        <v>18</v>
      </c>
      <c r="G895" s="1" t="s">
        <v>1274</v>
      </c>
      <c r="H895" s="1">
        <v>2024.0</v>
      </c>
      <c r="I895" s="1" t="s">
        <v>630</v>
      </c>
      <c r="J895" s="1" t="s">
        <v>1272</v>
      </c>
      <c r="K895" s="1">
        <v>7.0</v>
      </c>
      <c r="L895" s="1" t="s">
        <v>1273</v>
      </c>
      <c r="M895" s="1">
        <v>-1.0</v>
      </c>
    </row>
    <row r="896">
      <c r="A896" s="1">
        <v>268.0</v>
      </c>
      <c r="B896" s="1">
        <v>2.0</v>
      </c>
      <c r="C896" s="1">
        <v>0.570053752337313</v>
      </c>
      <c r="D896" s="1" t="s">
        <v>261</v>
      </c>
      <c r="E896" s="1" t="s">
        <v>17</v>
      </c>
      <c r="F896" s="1" t="s">
        <v>118</v>
      </c>
      <c r="G896" s="1" t="s">
        <v>1274</v>
      </c>
      <c r="H896" s="1">
        <v>2023.0</v>
      </c>
      <c r="I896" s="1" t="s">
        <v>240</v>
      </c>
      <c r="J896" s="1" t="s">
        <v>1272</v>
      </c>
      <c r="K896" s="1">
        <v>7.0</v>
      </c>
      <c r="L896" s="1" t="s">
        <v>1273</v>
      </c>
      <c r="M896" s="1">
        <v>8.0</v>
      </c>
    </row>
    <row r="897">
      <c r="A897" s="1">
        <v>666.0</v>
      </c>
      <c r="B897" s="1">
        <v>2.0</v>
      </c>
      <c r="C897" s="1">
        <v>0.566069917558607</v>
      </c>
      <c r="D897" s="1" t="s">
        <v>606</v>
      </c>
      <c r="E897" s="1" t="s">
        <v>173</v>
      </c>
      <c r="F897" s="1" t="s">
        <v>18</v>
      </c>
      <c r="G897" s="1" t="s">
        <v>42</v>
      </c>
      <c r="H897" s="1">
        <v>2021.0</v>
      </c>
      <c r="I897" s="1" t="s">
        <v>240</v>
      </c>
      <c r="J897" s="1" t="s">
        <v>1272</v>
      </c>
      <c r="K897" s="1">
        <v>5.0</v>
      </c>
      <c r="L897" s="1" t="s">
        <v>1273</v>
      </c>
      <c r="M897" s="1">
        <v>0.0</v>
      </c>
    </row>
    <row r="898">
      <c r="A898" s="1">
        <v>1079.0</v>
      </c>
      <c r="B898" s="1">
        <v>2.0</v>
      </c>
      <c r="C898" s="1">
        <v>0.565991618315698</v>
      </c>
      <c r="D898" s="1" t="s">
        <v>983</v>
      </c>
      <c r="E898" s="1" t="s">
        <v>17</v>
      </c>
      <c r="F898" s="1" t="s">
        <v>18</v>
      </c>
      <c r="G898" s="1">
        <v>8.0</v>
      </c>
      <c r="H898" s="1">
        <v>2023.0</v>
      </c>
      <c r="I898" s="1" t="s">
        <v>861</v>
      </c>
      <c r="J898" s="1" t="s">
        <v>1272</v>
      </c>
      <c r="K898" s="1">
        <v>7.0</v>
      </c>
      <c r="L898" s="1" t="s">
        <v>1273</v>
      </c>
      <c r="M898" s="1">
        <v>7.0</v>
      </c>
    </row>
    <row r="899">
      <c r="A899" s="1">
        <v>452.0</v>
      </c>
      <c r="B899" s="1">
        <v>4.0</v>
      </c>
      <c r="C899" s="1">
        <v>0.563523718546913</v>
      </c>
      <c r="D899" s="1" t="s">
        <v>422</v>
      </c>
      <c r="E899" s="1" t="s">
        <v>187</v>
      </c>
      <c r="F899" s="1" t="s">
        <v>1274</v>
      </c>
      <c r="G899" s="1" t="s">
        <v>11</v>
      </c>
      <c r="H899" s="1">
        <v>2019.0</v>
      </c>
      <c r="I899" s="1" t="s">
        <v>240</v>
      </c>
      <c r="J899" s="1" t="s">
        <v>1272</v>
      </c>
      <c r="K899" s="1">
        <v>7.0</v>
      </c>
      <c r="L899" s="1" t="s">
        <v>1273</v>
      </c>
      <c r="M899" s="1">
        <v>5.0</v>
      </c>
    </row>
    <row r="900">
      <c r="A900" s="1">
        <v>938.0</v>
      </c>
      <c r="B900" s="1">
        <v>5.0</v>
      </c>
      <c r="C900" s="1">
        <v>0.563432648379661</v>
      </c>
      <c r="D900" s="1" t="s">
        <v>863</v>
      </c>
      <c r="E900" s="1" t="s">
        <v>1274</v>
      </c>
      <c r="F900" s="1" t="s">
        <v>1274</v>
      </c>
      <c r="G900" s="1" t="s">
        <v>1274</v>
      </c>
      <c r="H900" s="1">
        <v>2006.0</v>
      </c>
      <c r="I900" s="1" t="s">
        <v>861</v>
      </c>
      <c r="J900" s="1" t="s">
        <v>1272</v>
      </c>
      <c r="K900" s="1">
        <v>10.0</v>
      </c>
      <c r="L900" s="1" t="s">
        <v>1273</v>
      </c>
      <c r="M900" s="1">
        <v>-1.0</v>
      </c>
    </row>
    <row r="901">
      <c r="A901" s="1">
        <v>878.0</v>
      </c>
      <c r="B901" s="1">
        <v>3.0</v>
      </c>
      <c r="C901" s="1">
        <v>0.563076628466982</v>
      </c>
      <c r="D901" s="1" t="s">
        <v>811</v>
      </c>
      <c r="E901" s="1" t="s">
        <v>58</v>
      </c>
      <c r="F901" s="1" t="s">
        <v>1274</v>
      </c>
      <c r="G901" s="1" t="s">
        <v>11</v>
      </c>
      <c r="H901" s="1">
        <v>2024.0</v>
      </c>
      <c r="I901" s="1" t="s">
        <v>630</v>
      </c>
      <c r="J901" s="1" t="s">
        <v>1272</v>
      </c>
      <c r="K901" s="1">
        <v>7.0</v>
      </c>
      <c r="L901" s="1" t="s">
        <v>1273</v>
      </c>
      <c r="M901" s="1">
        <v>7.0</v>
      </c>
    </row>
    <row r="902">
      <c r="A902" s="1">
        <v>698.0</v>
      </c>
      <c r="B902" s="1">
        <v>2.0</v>
      </c>
      <c r="C902" s="1">
        <v>0.56271916273604</v>
      </c>
      <c r="D902" s="1" t="s">
        <v>636</v>
      </c>
      <c r="E902" s="1" t="s">
        <v>102</v>
      </c>
      <c r="F902" s="1" t="s">
        <v>18</v>
      </c>
      <c r="G902" s="1" t="s">
        <v>42</v>
      </c>
      <c r="H902" s="1">
        <v>2009.0</v>
      </c>
      <c r="I902" s="1" t="s">
        <v>630</v>
      </c>
      <c r="J902" s="1" t="s">
        <v>1272</v>
      </c>
      <c r="K902" s="1">
        <v>10.0</v>
      </c>
      <c r="L902" s="1" t="s">
        <v>1273</v>
      </c>
      <c r="M902" s="1">
        <v>1.0</v>
      </c>
    </row>
    <row r="903">
      <c r="A903" s="1">
        <v>823.0</v>
      </c>
      <c r="B903" s="1">
        <v>3.0</v>
      </c>
      <c r="C903" s="1">
        <v>0.562160507793455</v>
      </c>
      <c r="D903" s="1" t="s">
        <v>759</v>
      </c>
      <c r="E903" s="1" t="s">
        <v>107</v>
      </c>
      <c r="F903" s="1" t="s">
        <v>18</v>
      </c>
      <c r="G903" s="1" t="s">
        <v>1274</v>
      </c>
      <c r="H903" s="1">
        <v>2024.0</v>
      </c>
      <c r="I903" s="1" t="s">
        <v>630</v>
      </c>
      <c r="J903" s="1" t="s">
        <v>1272</v>
      </c>
      <c r="K903" s="1">
        <v>7.0</v>
      </c>
      <c r="L903" s="1" t="s">
        <v>1273</v>
      </c>
      <c r="M903" s="1">
        <v>-1.0</v>
      </c>
    </row>
    <row r="904">
      <c r="A904" s="1">
        <v>820.0</v>
      </c>
      <c r="B904" s="1">
        <v>3.0</v>
      </c>
      <c r="C904" s="1">
        <v>0.561246647578964</v>
      </c>
      <c r="D904" s="1" t="s">
        <v>756</v>
      </c>
      <c r="E904" s="1" t="s">
        <v>107</v>
      </c>
      <c r="F904" s="1" t="s">
        <v>18</v>
      </c>
      <c r="G904" s="1" t="s">
        <v>1274</v>
      </c>
      <c r="H904" s="1">
        <v>2024.0</v>
      </c>
      <c r="I904" s="1" t="s">
        <v>630</v>
      </c>
      <c r="J904" s="1" t="s">
        <v>1272</v>
      </c>
      <c r="K904" s="1">
        <v>7.0</v>
      </c>
      <c r="L904" s="1" t="s">
        <v>1273</v>
      </c>
      <c r="M904" s="1">
        <v>-1.0</v>
      </c>
    </row>
    <row r="905">
      <c r="A905" s="1">
        <v>118.0</v>
      </c>
      <c r="B905" s="1">
        <v>7.0</v>
      </c>
      <c r="C905" s="1">
        <v>0.559805542146877</v>
      </c>
      <c r="D905" s="1" t="s">
        <v>140</v>
      </c>
      <c r="E905" s="1" t="s">
        <v>50</v>
      </c>
      <c r="F905" s="1" t="s">
        <v>1274</v>
      </c>
      <c r="G905" s="2">
        <v>46213.0</v>
      </c>
      <c r="H905" s="1">
        <v>2002.0</v>
      </c>
      <c r="I905" s="1" t="s">
        <v>12</v>
      </c>
      <c r="J905" s="1" t="s">
        <v>1272</v>
      </c>
      <c r="K905" s="1">
        <v>10.0</v>
      </c>
      <c r="L905" s="1" t="s">
        <v>1273</v>
      </c>
      <c r="M905" s="1">
        <v>16.0</v>
      </c>
    </row>
    <row r="906">
      <c r="A906" s="1">
        <v>498.0</v>
      </c>
      <c r="B906" s="1">
        <v>4.0</v>
      </c>
      <c r="C906" s="1">
        <v>0.559381010327486</v>
      </c>
      <c r="D906" s="1" t="s">
        <v>459</v>
      </c>
      <c r="E906" s="1" t="s">
        <v>111</v>
      </c>
      <c r="F906" s="1" t="s">
        <v>1274</v>
      </c>
      <c r="G906" s="1" t="s">
        <v>42</v>
      </c>
      <c r="H906" s="1">
        <v>2022.0</v>
      </c>
      <c r="I906" s="1" t="s">
        <v>240</v>
      </c>
      <c r="J906" s="1" t="s">
        <v>1272</v>
      </c>
      <c r="K906" s="1">
        <v>7.0</v>
      </c>
      <c r="L906" s="1" t="s">
        <v>1273</v>
      </c>
      <c r="M906" s="1">
        <v>2.0</v>
      </c>
    </row>
    <row r="907">
      <c r="A907" s="1">
        <v>101.0</v>
      </c>
      <c r="B907" s="1">
        <v>2.0</v>
      </c>
      <c r="C907" s="1">
        <v>0.553091249874401</v>
      </c>
      <c r="D907" s="1" t="s">
        <v>121</v>
      </c>
      <c r="E907" s="1" t="s">
        <v>17</v>
      </c>
      <c r="F907" s="1" t="s">
        <v>118</v>
      </c>
      <c r="G907" s="1" t="s">
        <v>1274</v>
      </c>
      <c r="H907" s="1">
        <v>2023.0</v>
      </c>
      <c r="I907" s="1" t="s">
        <v>12</v>
      </c>
      <c r="J907" s="1" t="s">
        <v>1272</v>
      </c>
      <c r="K907" s="1">
        <v>10.0</v>
      </c>
      <c r="L907" s="1" t="s">
        <v>1273</v>
      </c>
      <c r="M907" s="1">
        <v>0.0</v>
      </c>
    </row>
    <row r="908">
      <c r="A908" s="1">
        <v>723.0</v>
      </c>
      <c r="B908" s="1">
        <v>2.0</v>
      </c>
      <c r="C908" s="1">
        <v>0.54765872948989</v>
      </c>
      <c r="D908" s="1" t="s">
        <v>661</v>
      </c>
      <c r="E908" s="1" t="s">
        <v>10</v>
      </c>
      <c r="F908" s="1" t="s">
        <v>18</v>
      </c>
      <c r="G908" s="1" t="s">
        <v>42</v>
      </c>
      <c r="H908" s="1">
        <v>2014.0</v>
      </c>
      <c r="I908" s="1" t="s">
        <v>630</v>
      </c>
      <c r="J908" s="1" t="s">
        <v>1272</v>
      </c>
      <c r="K908" s="1">
        <v>7.0</v>
      </c>
      <c r="L908" s="1" t="s">
        <v>1273</v>
      </c>
      <c r="M908" s="1">
        <v>-1.0</v>
      </c>
    </row>
    <row r="909">
      <c r="A909" s="1">
        <v>793.0</v>
      </c>
      <c r="B909" s="1">
        <v>3.0</v>
      </c>
      <c r="C909" s="1">
        <v>0.547534932314763</v>
      </c>
      <c r="D909" s="1" t="s">
        <v>729</v>
      </c>
      <c r="E909" s="1" t="s">
        <v>1274</v>
      </c>
      <c r="F909" s="1" t="s">
        <v>1274</v>
      </c>
      <c r="G909" s="1" t="s">
        <v>1274</v>
      </c>
      <c r="H909" s="1">
        <v>2006.0</v>
      </c>
      <c r="I909" s="1" t="s">
        <v>630</v>
      </c>
      <c r="J909" s="1" t="s">
        <v>1272</v>
      </c>
      <c r="K909" s="1">
        <v>5.0</v>
      </c>
      <c r="L909" s="1" t="s">
        <v>1273</v>
      </c>
      <c r="M909" s="1">
        <v>-1.0</v>
      </c>
    </row>
    <row r="910">
      <c r="A910" s="1">
        <v>804.0</v>
      </c>
      <c r="B910" s="1">
        <v>3.0</v>
      </c>
      <c r="C910" s="1">
        <v>0.544562180079278</v>
      </c>
      <c r="D910" s="1" t="s">
        <v>740</v>
      </c>
      <c r="E910" s="1" t="s">
        <v>173</v>
      </c>
      <c r="F910" s="1" t="s">
        <v>18</v>
      </c>
      <c r="G910" s="1" t="s">
        <v>42</v>
      </c>
      <c r="H910" s="1">
        <v>2022.0</v>
      </c>
      <c r="I910" s="1" t="s">
        <v>630</v>
      </c>
      <c r="J910" s="1" t="s">
        <v>1272</v>
      </c>
      <c r="K910" s="1">
        <v>7.0</v>
      </c>
      <c r="L910" s="1" t="s">
        <v>1273</v>
      </c>
      <c r="M910" s="1">
        <v>2.0</v>
      </c>
    </row>
    <row r="911">
      <c r="A911" s="1">
        <v>381.0</v>
      </c>
      <c r="B911" s="1">
        <v>4.0</v>
      </c>
      <c r="C911" s="1">
        <v>0.542827376783032</v>
      </c>
      <c r="D911" s="1" t="s">
        <v>360</v>
      </c>
      <c r="E911" s="1" t="s">
        <v>124</v>
      </c>
      <c r="F911" s="1" t="s">
        <v>18</v>
      </c>
      <c r="G911" s="1" t="s">
        <v>1274</v>
      </c>
      <c r="H911" s="1">
        <v>2024.0</v>
      </c>
      <c r="I911" s="1" t="s">
        <v>240</v>
      </c>
      <c r="J911" s="1" t="s">
        <v>1272</v>
      </c>
      <c r="K911" s="1">
        <v>5.0</v>
      </c>
      <c r="L911" s="1" t="s">
        <v>1273</v>
      </c>
      <c r="M911" s="1">
        <v>0.0</v>
      </c>
    </row>
    <row r="912">
      <c r="A912" s="1">
        <v>90.0</v>
      </c>
      <c r="B912" s="1">
        <v>3.0</v>
      </c>
      <c r="C912" s="1">
        <v>0.542382203786037</v>
      </c>
      <c r="D912" s="1" t="s">
        <v>110</v>
      </c>
      <c r="E912" s="1" t="s">
        <v>111</v>
      </c>
      <c r="F912" s="1" t="s">
        <v>1274</v>
      </c>
      <c r="G912" s="1" t="s">
        <v>11</v>
      </c>
      <c r="H912" s="1">
        <v>2021.0</v>
      </c>
      <c r="I912" s="1" t="s">
        <v>12</v>
      </c>
      <c r="J912" s="1" t="s">
        <v>1272</v>
      </c>
      <c r="K912" s="1">
        <v>5.0</v>
      </c>
      <c r="L912" s="1" t="s">
        <v>1273</v>
      </c>
      <c r="M912" s="1">
        <v>0.0</v>
      </c>
    </row>
    <row r="913">
      <c r="A913" s="1">
        <v>987.0</v>
      </c>
      <c r="B913" s="1">
        <v>1.0</v>
      </c>
      <c r="C913" s="1">
        <v>0.541930728283255</v>
      </c>
      <c r="D913" s="1" t="s">
        <v>896</v>
      </c>
      <c r="E913" s="1" t="s">
        <v>41</v>
      </c>
      <c r="F913" s="1" t="s">
        <v>18</v>
      </c>
      <c r="G913" s="1" t="s">
        <v>42</v>
      </c>
      <c r="H913" s="1">
        <v>2024.0</v>
      </c>
      <c r="I913" s="1" t="s">
        <v>861</v>
      </c>
      <c r="J913" s="1" t="s">
        <v>1272</v>
      </c>
      <c r="K913" s="1">
        <v>5.0</v>
      </c>
      <c r="L913" s="1" t="s">
        <v>1273</v>
      </c>
      <c r="M913" s="1">
        <v>-1.0</v>
      </c>
    </row>
    <row r="914">
      <c r="A914" s="1">
        <v>745.0</v>
      </c>
      <c r="B914" s="1">
        <v>3.0</v>
      </c>
      <c r="C914" s="1">
        <v>0.541587296750242</v>
      </c>
      <c r="D914" s="1" t="s">
        <v>681</v>
      </c>
      <c r="E914" s="1" t="s">
        <v>58</v>
      </c>
      <c r="F914" s="1" t="s">
        <v>1274</v>
      </c>
      <c r="G914" s="1" t="s">
        <v>42</v>
      </c>
      <c r="H914" s="1">
        <v>2024.0</v>
      </c>
      <c r="I914" s="1" t="s">
        <v>630</v>
      </c>
      <c r="J914" s="1" t="s">
        <v>1272</v>
      </c>
      <c r="K914" s="1">
        <v>7.0</v>
      </c>
      <c r="L914" s="1" t="s">
        <v>1273</v>
      </c>
      <c r="M914" s="1">
        <v>7.0</v>
      </c>
    </row>
    <row r="915">
      <c r="A915" s="1">
        <v>803.0</v>
      </c>
      <c r="B915" s="1">
        <v>3.0</v>
      </c>
      <c r="C915" s="1">
        <v>0.541485628472903</v>
      </c>
      <c r="D915" s="1" t="s">
        <v>739</v>
      </c>
      <c r="E915" s="1" t="s">
        <v>173</v>
      </c>
      <c r="F915" s="1" t="s">
        <v>18</v>
      </c>
      <c r="G915" s="1" t="s">
        <v>42</v>
      </c>
      <c r="H915" s="1">
        <v>2022.0</v>
      </c>
      <c r="I915" s="1" t="s">
        <v>630</v>
      </c>
      <c r="J915" s="1" t="s">
        <v>1272</v>
      </c>
      <c r="K915" s="1">
        <v>7.0</v>
      </c>
      <c r="L915" s="1" t="s">
        <v>1273</v>
      </c>
      <c r="M915" s="1">
        <v>2.0</v>
      </c>
    </row>
    <row r="916">
      <c r="A916" s="1">
        <v>603.0</v>
      </c>
      <c r="B916" s="1">
        <v>2.0</v>
      </c>
      <c r="C916" s="1">
        <v>0.540610352910772</v>
      </c>
      <c r="D916" s="1" t="s">
        <v>555</v>
      </c>
      <c r="E916" s="1" t="s">
        <v>102</v>
      </c>
      <c r="F916" s="1" t="s">
        <v>1274</v>
      </c>
      <c r="G916" s="1" t="s">
        <v>11</v>
      </c>
      <c r="H916" s="1">
        <v>2010.0</v>
      </c>
      <c r="I916" s="1" t="s">
        <v>240</v>
      </c>
      <c r="J916" s="1" t="s">
        <v>1272</v>
      </c>
      <c r="K916" s="1">
        <v>5.0</v>
      </c>
      <c r="L916" s="1" t="s">
        <v>1273</v>
      </c>
      <c r="M916" s="1">
        <v>-1.0</v>
      </c>
    </row>
    <row r="917">
      <c r="A917" s="1">
        <v>153.0</v>
      </c>
      <c r="B917" s="1">
        <v>2.0</v>
      </c>
      <c r="C917" s="1">
        <v>0.54048068676883</v>
      </c>
      <c r="D917" s="1" t="s">
        <v>168</v>
      </c>
      <c r="E917" s="1" t="s">
        <v>58</v>
      </c>
      <c r="F917" s="1" t="s">
        <v>1274</v>
      </c>
      <c r="G917" s="1" t="s">
        <v>167</v>
      </c>
      <c r="H917" s="1">
        <v>2022.0</v>
      </c>
      <c r="I917" s="1" t="s">
        <v>12</v>
      </c>
      <c r="J917" s="1" t="s">
        <v>1272</v>
      </c>
      <c r="K917" s="1">
        <v>5.0</v>
      </c>
      <c r="L917" s="1" t="s">
        <v>1273</v>
      </c>
      <c r="M917" s="1">
        <v>0.0</v>
      </c>
    </row>
    <row r="918">
      <c r="A918" s="1">
        <v>839.0</v>
      </c>
      <c r="B918" s="1">
        <v>2.0</v>
      </c>
      <c r="C918" s="1">
        <v>0.538565394365043</v>
      </c>
      <c r="D918" s="1" t="s">
        <v>775</v>
      </c>
      <c r="E918" s="1" t="s">
        <v>107</v>
      </c>
      <c r="F918" s="1" t="s">
        <v>18</v>
      </c>
      <c r="G918" s="1" t="s">
        <v>1274</v>
      </c>
      <c r="H918" s="1">
        <v>2024.0</v>
      </c>
      <c r="I918" s="1" t="s">
        <v>630</v>
      </c>
      <c r="J918" s="1" t="s">
        <v>1272</v>
      </c>
      <c r="K918" s="1">
        <v>7.0</v>
      </c>
      <c r="L918" s="1" t="s">
        <v>1273</v>
      </c>
      <c r="M918" s="1">
        <v>-1.0</v>
      </c>
    </row>
    <row r="919">
      <c r="A919" s="1">
        <v>897.0</v>
      </c>
      <c r="B919" s="1">
        <v>3.0</v>
      </c>
      <c r="C919" s="1">
        <v>0.537598911960384</v>
      </c>
      <c r="D919" s="1" t="s">
        <v>830</v>
      </c>
      <c r="E919" s="1" t="s">
        <v>17</v>
      </c>
      <c r="F919" s="1" t="s">
        <v>18</v>
      </c>
      <c r="G919" s="1" t="s">
        <v>831</v>
      </c>
      <c r="H919" s="1" t="s">
        <v>1274</v>
      </c>
      <c r="I919" s="1" t="s">
        <v>630</v>
      </c>
      <c r="J919" s="1" t="s">
        <v>1272</v>
      </c>
      <c r="K919" s="1">
        <v>5.0</v>
      </c>
      <c r="L919" s="1" t="s">
        <v>1273</v>
      </c>
      <c r="M919" s="1">
        <v>1.0</v>
      </c>
    </row>
    <row r="920">
      <c r="A920" s="1">
        <v>111.0</v>
      </c>
      <c r="B920" s="1">
        <v>2.0</v>
      </c>
      <c r="C920" s="1">
        <v>0.535400113865661</v>
      </c>
      <c r="D920" s="1" t="s">
        <v>133</v>
      </c>
      <c r="E920" s="1" t="s">
        <v>50</v>
      </c>
      <c r="F920" s="1" t="s">
        <v>1274</v>
      </c>
      <c r="G920" s="2">
        <v>46213.0</v>
      </c>
      <c r="H920" s="1">
        <v>2002.0</v>
      </c>
      <c r="I920" s="1" t="s">
        <v>12</v>
      </c>
      <c r="J920" s="1" t="s">
        <v>1272</v>
      </c>
      <c r="K920" s="1">
        <v>10.0</v>
      </c>
      <c r="L920" s="1" t="s">
        <v>1273</v>
      </c>
      <c r="M920" s="1">
        <v>-1.0</v>
      </c>
    </row>
    <row r="921">
      <c r="A921" s="1">
        <v>778.0</v>
      </c>
      <c r="B921" s="1">
        <v>3.0</v>
      </c>
      <c r="C921" s="1">
        <v>0.53524920814406</v>
      </c>
      <c r="D921" s="1" t="s">
        <v>714</v>
      </c>
      <c r="E921" s="1" t="s">
        <v>1274</v>
      </c>
      <c r="F921" s="1" t="s">
        <v>1274</v>
      </c>
      <c r="G921" s="1" t="s">
        <v>1274</v>
      </c>
      <c r="H921" s="1">
        <v>2006.0</v>
      </c>
      <c r="I921" s="1" t="s">
        <v>630</v>
      </c>
      <c r="J921" s="1" t="s">
        <v>1272</v>
      </c>
      <c r="K921" s="1">
        <v>5.0</v>
      </c>
      <c r="L921" s="1" t="s">
        <v>1273</v>
      </c>
      <c r="M921" s="1">
        <v>-1.0</v>
      </c>
    </row>
    <row r="922">
      <c r="A922" s="1">
        <v>810.0</v>
      </c>
      <c r="B922" s="1">
        <v>3.0</v>
      </c>
      <c r="C922" s="1">
        <v>0.534862621732372</v>
      </c>
      <c r="D922" s="1" t="s">
        <v>746</v>
      </c>
      <c r="E922" s="1" t="s">
        <v>173</v>
      </c>
      <c r="F922" s="1" t="s">
        <v>18</v>
      </c>
      <c r="G922" s="1" t="s">
        <v>42</v>
      </c>
      <c r="H922" s="1">
        <v>2022.0</v>
      </c>
      <c r="I922" s="1" t="s">
        <v>630</v>
      </c>
      <c r="J922" s="1" t="s">
        <v>1272</v>
      </c>
      <c r="K922" s="1">
        <v>5.0</v>
      </c>
      <c r="L922" s="1" t="s">
        <v>1273</v>
      </c>
      <c r="M922" s="1">
        <v>-1.0</v>
      </c>
    </row>
    <row r="923">
      <c r="A923" s="1">
        <v>190.0</v>
      </c>
      <c r="B923" s="1">
        <v>3.0</v>
      </c>
      <c r="C923" s="1">
        <v>0.533558893035755</v>
      </c>
      <c r="D923" s="1" t="s">
        <v>204</v>
      </c>
      <c r="E923" s="1" t="s">
        <v>1274</v>
      </c>
      <c r="F923" s="1" t="s">
        <v>1274</v>
      </c>
      <c r="G923" s="1" t="s">
        <v>1274</v>
      </c>
      <c r="H923" s="1">
        <v>2005.0</v>
      </c>
      <c r="I923" s="1" t="s">
        <v>198</v>
      </c>
      <c r="J923" s="1" t="s">
        <v>1272</v>
      </c>
      <c r="K923" s="1">
        <v>7.0</v>
      </c>
      <c r="L923" s="1" t="s">
        <v>1273</v>
      </c>
      <c r="M923" s="1">
        <v>17.0</v>
      </c>
    </row>
    <row r="924">
      <c r="A924" s="1">
        <v>815.0</v>
      </c>
      <c r="B924" s="1">
        <v>3.0</v>
      </c>
      <c r="C924" s="1">
        <v>0.533448475118054</v>
      </c>
      <c r="D924" s="1" t="s">
        <v>751</v>
      </c>
      <c r="E924" s="1" t="s">
        <v>107</v>
      </c>
      <c r="F924" s="1" t="s">
        <v>18</v>
      </c>
      <c r="G924" s="1" t="s">
        <v>1274</v>
      </c>
      <c r="H924" s="1">
        <v>2024.0</v>
      </c>
      <c r="I924" s="1" t="s">
        <v>630</v>
      </c>
      <c r="J924" s="1" t="s">
        <v>1272</v>
      </c>
      <c r="K924" s="1">
        <v>7.0</v>
      </c>
      <c r="L924" s="1" t="s">
        <v>1273</v>
      </c>
      <c r="M924" s="1">
        <v>0.0</v>
      </c>
    </row>
    <row r="925">
      <c r="A925" s="1">
        <v>1022.0</v>
      </c>
      <c r="B925" s="1">
        <v>5.0</v>
      </c>
      <c r="C925" s="1">
        <v>0.532906412443356</v>
      </c>
      <c r="D925" s="1" t="s">
        <v>927</v>
      </c>
      <c r="E925" s="1" t="s">
        <v>24</v>
      </c>
      <c r="F925" s="1" t="s">
        <v>18</v>
      </c>
      <c r="G925" s="1" t="s">
        <v>42</v>
      </c>
      <c r="H925" s="1">
        <v>2023.0</v>
      </c>
      <c r="I925" s="1" t="s">
        <v>861</v>
      </c>
      <c r="J925" s="1" t="s">
        <v>1272</v>
      </c>
      <c r="K925" s="1">
        <v>10.0</v>
      </c>
      <c r="L925" s="1" t="s">
        <v>1273</v>
      </c>
      <c r="M925" s="1">
        <v>0.0</v>
      </c>
    </row>
    <row r="926">
      <c r="A926" s="1">
        <v>613.0</v>
      </c>
      <c r="B926" s="1">
        <v>2.0</v>
      </c>
      <c r="C926" s="1">
        <v>0.532515001807027</v>
      </c>
      <c r="D926" s="1" t="s">
        <v>565</v>
      </c>
      <c r="E926" s="1" t="s">
        <v>102</v>
      </c>
      <c r="F926" s="1" t="s">
        <v>1274</v>
      </c>
      <c r="G926" s="1" t="s">
        <v>11</v>
      </c>
      <c r="H926" s="1">
        <v>2010.0</v>
      </c>
      <c r="I926" s="1" t="s">
        <v>240</v>
      </c>
      <c r="J926" s="1" t="s">
        <v>1272</v>
      </c>
      <c r="K926" s="1">
        <v>5.0</v>
      </c>
      <c r="L926" s="1" t="s">
        <v>1273</v>
      </c>
      <c r="M926" s="1">
        <v>0.0</v>
      </c>
    </row>
    <row r="927">
      <c r="A927" s="1">
        <v>155.0</v>
      </c>
      <c r="B927" s="1">
        <v>2.0</v>
      </c>
      <c r="C927" s="1">
        <v>0.531787533408185</v>
      </c>
      <c r="D927" s="1" t="s">
        <v>170</v>
      </c>
      <c r="E927" s="1" t="s">
        <v>58</v>
      </c>
      <c r="F927" s="1" t="s">
        <v>1274</v>
      </c>
      <c r="G927" s="1" t="s">
        <v>167</v>
      </c>
      <c r="H927" s="1">
        <v>2022.0</v>
      </c>
      <c r="I927" s="1" t="s">
        <v>12</v>
      </c>
      <c r="J927" s="1" t="s">
        <v>1272</v>
      </c>
      <c r="K927" s="1">
        <v>7.0</v>
      </c>
      <c r="L927" s="1" t="s">
        <v>1273</v>
      </c>
      <c r="M927" s="1">
        <v>-1.0</v>
      </c>
    </row>
    <row r="928">
      <c r="A928" s="1">
        <v>786.0</v>
      </c>
      <c r="B928" s="1">
        <v>9.0</v>
      </c>
      <c r="C928" s="1">
        <v>0.531409145907769</v>
      </c>
      <c r="D928" s="1" t="s">
        <v>722</v>
      </c>
      <c r="E928" s="1" t="s">
        <v>1274</v>
      </c>
      <c r="F928" s="1" t="s">
        <v>1274</v>
      </c>
      <c r="G928" s="1" t="s">
        <v>1274</v>
      </c>
      <c r="H928" s="1">
        <v>2006.0</v>
      </c>
      <c r="I928" s="1" t="s">
        <v>630</v>
      </c>
      <c r="J928" s="1" t="s">
        <v>1272</v>
      </c>
      <c r="K928" s="1">
        <v>10.0</v>
      </c>
      <c r="L928" s="1" t="s">
        <v>1273</v>
      </c>
      <c r="M928" s="1">
        <v>1.0</v>
      </c>
    </row>
    <row r="929">
      <c r="A929" s="1">
        <v>0.0</v>
      </c>
      <c r="B929" s="1">
        <v>2.0</v>
      </c>
      <c r="C929" s="1">
        <v>0.52681311147604</v>
      </c>
      <c r="D929" s="1" t="s">
        <v>9</v>
      </c>
      <c r="E929" s="1" t="s">
        <v>10</v>
      </c>
      <c r="F929" s="1" t="s">
        <v>1274</v>
      </c>
      <c r="G929" s="1" t="s">
        <v>11</v>
      </c>
      <c r="H929" s="1">
        <v>2024.0</v>
      </c>
      <c r="I929" s="1" t="s">
        <v>12</v>
      </c>
      <c r="J929" s="1" t="s">
        <v>1272</v>
      </c>
      <c r="K929" s="1">
        <v>10.0</v>
      </c>
      <c r="L929" s="1" t="s">
        <v>1273</v>
      </c>
      <c r="M929" s="1">
        <v>-1.0</v>
      </c>
    </row>
    <row r="930">
      <c r="A930" s="1">
        <v>601.0</v>
      </c>
      <c r="B930" s="1">
        <v>3.0</v>
      </c>
      <c r="C930" s="1">
        <v>0.52560386267028</v>
      </c>
      <c r="D930" s="1" t="s">
        <v>553</v>
      </c>
      <c r="E930" s="1" t="s">
        <v>173</v>
      </c>
      <c r="F930" s="1" t="s">
        <v>1274</v>
      </c>
      <c r="G930" s="2">
        <v>46213.0</v>
      </c>
      <c r="H930" s="1">
        <v>2015.0</v>
      </c>
      <c r="I930" s="1" t="s">
        <v>240</v>
      </c>
      <c r="J930" s="1" t="s">
        <v>1272</v>
      </c>
      <c r="K930" s="1">
        <v>7.0</v>
      </c>
      <c r="L930" s="1" t="s">
        <v>1273</v>
      </c>
      <c r="M930" s="1">
        <v>-1.0</v>
      </c>
    </row>
    <row r="931">
      <c r="A931" s="1">
        <v>859.0</v>
      </c>
      <c r="B931" s="1">
        <v>2.0</v>
      </c>
      <c r="C931" s="1">
        <v>0.523107196786113</v>
      </c>
      <c r="D931" s="1" t="s">
        <v>795</v>
      </c>
      <c r="E931" s="1" t="s">
        <v>107</v>
      </c>
      <c r="F931" s="1" t="s">
        <v>18</v>
      </c>
      <c r="G931" s="1" t="s">
        <v>1274</v>
      </c>
      <c r="H931" s="1">
        <v>2024.0</v>
      </c>
      <c r="I931" s="1" t="s">
        <v>630</v>
      </c>
      <c r="J931" s="1" t="s">
        <v>1272</v>
      </c>
      <c r="K931" s="1">
        <v>10.0</v>
      </c>
      <c r="L931" s="1" t="s">
        <v>1273</v>
      </c>
      <c r="M931" s="1">
        <v>-1.0</v>
      </c>
    </row>
    <row r="932">
      <c r="A932" s="1">
        <v>131.0</v>
      </c>
      <c r="B932" s="1">
        <v>2.0</v>
      </c>
      <c r="C932" s="1">
        <v>0.522420009008759</v>
      </c>
      <c r="D932" s="1" t="s">
        <v>151</v>
      </c>
      <c r="E932" s="1" t="s">
        <v>111</v>
      </c>
      <c r="F932" s="1" t="s">
        <v>18</v>
      </c>
      <c r="G932" s="1" t="s">
        <v>42</v>
      </c>
      <c r="H932" s="1" t="s">
        <v>1274</v>
      </c>
      <c r="I932" s="1" t="s">
        <v>12</v>
      </c>
      <c r="J932" s="1" t="s">
        <v>1272</v>
      </c>
      <c r="K932" s="1">
        <v>7.0</v>
      </c>
      <c r="L932" s="1" t="s">
        <v>1273</v>
      </c>
      <c r="M932" s="1">
        <v>6.0</v>
      </c>
    </row>
    <row r="933">
      <c r="A933" s="1">
        <v>775.0</v>
      </c>
      <c r="B933" s="1">
        <v>3.0</v>
      </c>
      <c r="C933" s="1">
        <v>0.520884440710207</v>
      </c>
      <c r="D933" s="1" t="s">
        <v>711</v>
      </c>
      <c r="E933" s="1" t="s">
        <v>1274</v>
      </c>
      <c r="F933" s="1" t="s">
        <v>1274</v>
      </c>
      <c r="G933" s="1" t="s">
        <v>1274</v>
      </c>
      <c r="H933" s="1">
        <v>2006.0</v>
      </c>
      <c r="I933" s="1" t="s">
        <v>630</v>
      </c>
      <c r="J933" s="1" t="s">
        <v>1272</v>
      </c>
      <c r="K933" s="1">
        <v>7.0</v>
      </c>
      <c r="L933" s="1" t="s">
        <v>1273</v>
      </c>
      <c r="M933" s="1">
        <v>-1.0</v>
      </c>
    </row>
    <row r="934">
      <c r="A934" s="1">
        <v>875.0</v>
      </c>
      <c r="B934" s="1">
        <v>2.0</v>
      </c>
      <c r="C934" s="1">
        <v>0.52087620576492</v>
      </c>
      <c r="D934" s="1" t="s">
        <v>810</v>
      </c>
      <c r="E934" s="1" t="s">
        <v>58</v>
      </c>
      <c r="F934" s="1" t="s">
        <v>1274</v>
      </c>
      <c r="G934" s="1" t="s">
        <v>11</v>
      </c>
      <c r="H934" s="1">
        <v>2024.0</v>
      </c>
      <c r="I934" s="1" t="s">
        <v>630</v>
      </c>
      <c r="J934" s="1" t="s">
        <v>1272</v>
      </c>
      <c r="K934" s="1">
        <v>7.0</v>
      </c>
      <c r="L934" s="1" t="s">
        <v>1273</v>
      </c>
      <c r="M934" s="1">
        <v>0.0</v>
      </c>
    </row>
    <row r="935">
      <c r="A935" s="1">
        <v>732.0</v>
      </c>
      <c r="B935" s="1">
        <v>2.0</v>
      </c>
      <c r="C935" s="1">
        <v>0.518251935487606</v>
      </c>
      <c r="D935" s="1" t="s">
        <v>670</v>
      </c>
      <c r="E935" s="1" t="s">
        <v>10</v>
      </c>
      <c r="F935" s="1" t="s">
        <v>18</v>
      </c>
      <c r="G935" s="1" t="s">
        <v>42</v>
      </c>
      <c r="H935" s="1">
        <v>2014.0</v>
      </c>
      <c r="I935" s="1" t="s">
        <v>630</v>
      </c>
      <c r="J935" s="1" t="s">
        <v>1272</v>
      </c>
      <c r="K935" s="1">
        <v>7.0</v>
      </c>
      <c r="L935" s="1" t="s">
        <v>1273</v>
      </c>
      <c r="M935" s="1">
        <v>-1.0</v>
      </c>
    </row>
    <row r="936">
      <c r="A936" s="1">
        <v>177.0</v>
      </c>
      <c r="B936" s="1">
        <v>3.0</v>
      </c>
      <c r="C936" s="1">
        <v>0.518166267550623</v>
      </c>
      <c r="D936" s="1" t="s">
        <v>193</v>
      </c>
      <c r="E936" s="1" t="s">
        <v>187</v>
      </c>
      <c r="F936" s="1" t="s">
        <v>1274</v>
      </c>
      <c r="G936" s="1" t="s">
        <v>1274</v>
      </c>
      <c r="H936" s="1">
        <v>2016.0</v>
      </c>
      <c r="I936" s="1" t="s">
        <v>12</v>
      </c>
      <c r="J936" s="1" t="s">
        <v>1272</v>
      </c>
      <c r="K936" s="1">
        <v>5.0</v>
      </c>
      <c r="L936" s="1" t="s">
        <v>1273</v>
      </c>
      <c r="M936" s="1">
        <v>-1.0</v>
      </c>
    </row>
    <row r="937">
      <c r="A937" s="1">
        <v>838.0</v>
      </c>
      <c r="B937" s="1">
        <v>3.0</v>
      </c>
      <c r="C937" s="1">
        <v>0.518140206837565</v>
      </c>
      <c r="D937" s="1" t="s">
        <v>774</v>
      </c>
      <c r="E937" s="1" t="s">
        <v>107</v>
      </c>
      <c r="F937" s="1" t="s">
        <v>18</v>
      </c>
      <c r="G937" s="1" t="s">
        <v>1274</v>
      </c>
      <c r="H937" s="1">
        <v>2024.0</v>
      </c>
      <c r="I937" s="1" t="s">
        <v>630</v>
      </c>
      <c r="J937" s="1" t="s">
        <v>1272</v>
      </c>
      <c r="K937" s="1">
        <v>7.0</v>
      </c>
      <c r="L937" s="1" t="s">
        <v>1273</v>
      </c>
      <c r="M937" s="1">
        <v>-1.0</v>
      </c>
    </row>
    <row r="938">
      <c r="A938" s="1">
        <v>772.0</v>
      </c>
      <c r="B938" s="1">
        <v>2.0</v>
      </c>
      <c r="C938" s="1">
        <v>0.516551499266426</v>
      </c>
      <c r="D938" s="1" t="s">
        <v>708</v>
      </c>
      <c r="E938" s="1" t="s">
        <v>1274</v>
      </c>
      <c r="F938" s="1" t="s">
        <v>1274</v>
      </c>
      <c r="G938" s="1" t="s">
        <v>1274</v>
      </c>
      <c r="H938" s="1">
        <v>2006.0</v>
      </c>
      <c r="I938" s="1" t="s">
        <v>630</v>
      </c>
      <c r="J938" s="1" t="s">
        <v>1272</v>
      </c>
      <c r="K938" s="1">
        <v>7.0</v>
      </c>
      <c r="L938" s="1" t="s">
        <v>1273</v>
      </c>
      <c r="M938" s="1">
        <v>17.0</v>
      </c>
    </row>
    <row r="939">
      <c r="A939" s="1">
        <v>858.0</v>
      </c>
      <c r="B939" s="1">
        <v>2.0</v>
      </c>
      <c r="C939" s="1">
        <v>0.514348159896137</v>
      </c>
      <c r="D939" s="1" t="s">
        <v>794</v>
      </c>
      <c r="E939" s="1" t="s">
        <v>107</v>
      </c>
      <c r="F939" s="1" t="s">
        <v>18</v>
      </c>
      <c r="G939" s="1" t="s">
        <v>1274</v>
      </c>
      <c r="H939" s="1">
        <v>2024.0</v>
      </c>
      <c r="I939" s="1" t="s">
        <v>630</v>
      </c>
      <c r="J939" s="1" t="s">
        <v>1272</v>
      </c>
      <c r="K939" s="1">
        <v>7.0</v>
      </c>
      <c r="L939" s="1" t="s">
        <v>1273</v>
      </c>
      <c r="M939" s="1">
        <v>0.0</v>
      </c>
    </row>
    <row r="940">
      <c r="A940" s="1">
        <v>776.0</v>
      </c>
      <c r="B940" s="1">
        <v>3.0</v>
      </c>
      <c r="C940" s="1">
        <v>0.513959990212981</v>
      </c>
      <c r="D940" s="1" t="s">
        <v>712</v>
      </c>
      <c r="E940" s="1" t="s">
        <v>1274</v>
      </c>
      <c r="F940" s="1" t="s">
        <v>1274</v>
      </c>
      <c r="G940" s="1" t="s">
        <v>1274</v>
      </c>
      <c r="H940" s="1">
        <v>2006.0</v>
      </c>
      <c r="I940" s="1" t="s">
        <v>630</v>
      </c>
      <c r="J940" s="1" t="s">
        <v>1272</v>
      </c>
      <c r="K940" s="1">
        <v>5.0</v>
      </c>
      <c r="L940" s="1" t="s">
        <v>1273</v>
      </c>
      <c r="M940" s="1">
        <v>1.0</v>
      </c>
    </row>
    <row r="941">
      <c r="A941" s="1">
        <v>777.0</v>
      </c>
      <c r="B941" s="1">
        <v>7.0</v>
      </c>
      <c r="C941" s="1">
        <v>0.509814495640667</v>
      </c>
      <c r="D941" s="1" t="s">
        <v>713</v>
      </c>
      <c r="E941" s="1" t="s">
        <v>1274</v>
      </c>
      <c r="F941" s="1" t="s">
        <v>1274</v>
      </c>
      <c r="G941" s="1" t="s">
        <v>1274</v>
      </c>
      <c r="H941" s="1">
        <v>2006.0</v>
      </c>
      <c r="I941" s="1" t="s">
        <v>630</v>
      </c>
      <c r="J941" s="1" t="s">
        <v>1272</v>
      </c>
      <c r="K941" s="1">
        <v>10.0</v>
      </c>
      <c r="L941" s="1" t="s">
        <v>1273</v>
      </c>
      <c r="M941" s="1">
        <v>-1.0</v>
      </c>
    </row>
    <row r="942">
      <c r="A942" s="1">
        <v>710.0</v>
      </c>
      <c r="B942" s="1">
        <v>2.0</v>
      </c>
      <c r="C942" s="1">
        <v>0.509189766757879</v>
      </c>
      <c r="D942" s="1" t="s">
        <v>648</v>
      </c>
      <c r="E942" s="1" t="s">
        <v>102</v>
      </c>
      <c r="F942" s="1" t="s">
        <v>18</v>
      </c>
      <c r="G942" s="1" t="s">
        <v>42</v>
      </c>
      <c r="H942" s="1">
        <v>2009.0</v>
      </c>
      <c r="I942" s="1" t="s">
        <v>630</v>
      </c>
      <c r="J942" s="1" t="s">
        <v>1272</v>
      </c>
      <c r="K942" s="1">
        <v>7.0</v>
      </c>
      <c r="L942" s="1" t="s">
        <v>1273</v>
      </c>
      <c r="M942" s="1">
        <v>1.0</v>
      </c>
    </row>
    <row r="943">
      <c r="A943" s="1">
        <v>139.0</v>
      </c>
      <c r="B943" s="1">
        <v>3.0</v>
      </c>
      <c r="C943" s="1">
        <v>0.506832998137244</v>
      </c>
      <c r="D943" s="1" t="s">
        <v>156</v>
      </c>
      <c r="E943" s="1" t="s">
        <v>111</v>
      </c>
      <c r="F943" s="1" t="s">
        <v>1274</v>
      </c>
      <c r="G943" s="1" t="s">
        <v>42</v>
      </c>
      <c r="H943" s="1">
        <v>1983.0</v>
      </c>
      <c r="I943" s="1" t="s">
        <v>12</v>
      </c>
      <c r="J943" s="1" t="s">
        <v>1272</v>
      </c>
      <c r="K943" s="1">
        <v>10.0</v>
      </c>
      <c r="L943" s="1" t="s">
        <v>1273</v>
      </c>
      <c r="M943" s="1">
        <v>0.0</v>
      </c>
    </row>
    <row r="944">
      <c r="A944" s="1">
        <v>669.0</v>
      </c>
      <c r="B944" s="1">
        <v>2.0</v>
      </c>
      <c r="C944" s="1">
        <v>0.504317375970653</v>
      </c>
      <c r="D944" s="1" t="s">
        <v>610</v>
      </c>
      <c r="E944" s="1" t="s">
        <v>24</v>
      </c>
      <c r="F944" s="1" t="s">
        <v>25</v>
      </c>
      <c r="G944" s="1" t="s">
        <v>609</v>
      </c>
      <c r="H944" s="1">
        <v>2016.0</v>
      </c>
      <c r="I944" s="1" t="s">
        <v>240</v>
      </c>
      <c r="J944" s="1" t="s">
        <v>1272</v>
      </c>
      <c r="K944" s="1">
        <v>5.0</v>
      </c>
      <c r="L944" s="1" t="s">
        <v>1273</v>
      </c>
      <c r="M944" s="1">
        <v>-1.0</v>
      </c>
    </row>
    <row r="945">
      <c r="A945" s="1">
        <v>718.0</v>
      </c>
      <c r="B945" s="1">
        <v>3.0</v>
      </c>
      <c r="C945" s="1">
        <v>0.498982253172182</v>
      </c>
      <c r="D945" s="1" t="s">
        <v>656</v>
      </c>
      <c r="E945" s="1" t="s">
        <v>10</v>
      </c>
      <c r="F945" s="1" t="s">
        <v>18</v>
      </c>
      <c r="G945" s="1" t="s">
        <v>42</v>
      </c>
      <c r="H945" s="1">
        <v>2014.0</v>
      </c>
      <c r="I945" s="1" t="s">
        <v>630</v>
      </c>
      <c r="J945" s="1" t="s">
        <v>1272</v>
      </c>
      <c r="K945" s="1">
        <v>7.0</v>
      </c>
      <c r="L945" s="1" t="s">
        <v>1273</v>
      </c>
      <c r="M945" s="1">
        <v>-1.0</v>
      </c>
    </row>
    <row r="946">
      <c r="A946" s="1">
        <v>830.0</v>
      </c>
      <c r="B946" s="1">
        <v>3.0</v>
      </c>
      <c r="C946" s="1">
        <v>0.498753371891058</v>
      </c>
      <c r="D946" s="1" t="s">
        <v>766</v>
      </c>
      <c r="E946" s="1" t="s">
        <v>107</v>
      </c>
      <c r="F946" s="1" t="s">
        <v>18</v>
      </c>
      <c r="G946" s="1" t="s">
        <v>1274</v>
      </c>
      <c r="H946" s="1">
        <v>2024.0</v>
      </c>
      <c r="I946" s="1" t="s">
        <v>630</v>
      </c>
      <c r="J946" s="1" t="s">
        <v>1272</v>
      </c>
      <c r="K946" s="1">
        <v>5.0</v>
      </c>
      <c r="L946" s="1" t="s">
        <v>1273</v>
      </c>
      <c r="M946" s="1">
        <v>-1.0</v>
      </c>
    </row>
    <row r="947">
      <c r="A947" s="1">
        <v>736.0</v>
      </c>
      <c r="B947" s="1">
        <v>3.0</v>
      </c>
      <c r="C947" s="1">
        <v>0.497522350540162</v>
      </c>
      <c r="D947" s="1" t="s">
        <v>674</v>
      </c>
      <c r="E947" s="1" t="s">
        <v>10</v>
      </c>
      <c r="F947" s="1" t="s">
        <v>18</v>
      </c>
      <c r="G947" s="1" t="s">
        <v>42</v>
      </c>
      <c r="H947" s="1">
        <v>2014.0</v>
      </c>
      <c r="I947" s="1" t="s">
        <v>630</v>
      </c>
      <c r="J947" s="1" t="s">
        <v>1272</v>
      </c>
      <c r="K947" s="1">
        <v>5.0</v>
      </c>
      <c r="L947" s="1" t="s">
        <v>1273</v>
      </c>
      <c r="M947" s="1">
        <v>1.0</v>
      </c>
    </row>
    <row r="948">
      <c r="A948" s="1">
        <v>1122.0</v>
      </c>
      <c r="B948" s="1">
        <v>3.0</v>
      </c>
      <c r="C948" s="1">
        <v>0.494963460518769</v>
      </c>
      <c r="D948" s="1" t="s">
        <v>1009</v>
      </c>
      <c r="E948" s="1" t="s">
        <v>41</v>
      </c>
      <c r="F948" s="1" t="s">
        <v>1274</v>
      </c>
      <c r="G948" s="1" t="s">
        <v>11</v>
      </c>
      <c r="H948" s="1" t="s">
        <v>1274</v>
      </c>
      <c r="I948" s="1" t="s">
        <v>861</v>
      </c>
      <c r="J948" s="1" t="s">
        <v>1272</v>
      </c>
      <c r="K948" s="1">
        <v>5.0</v>
      </c>
      <c r="L948" s="1" t="s">
        <v>1273</v>
      </c>
      <c r="M948" s="1">
        <v>0.0</v>
      </c>
    </row>
    <row r="949">
      <c r="A949" s="1">
        <v>1137.0</v>
      </c>
      <c r="B949" s="1">
        <v>4.0</v>
      </c>
      <c r="C949" s="1">
        <v>0.494823434471886</v>
      </c>
      <c r="D949" s="1" t="s">
        <v>1020</v>
      </c>
      <c r="E949" s="1" t="s">
        <v>187</v>
      </c>
      <c r="F949" s="1" t="s">
        <v>1274</v>
      </c>
      <c r="G949" s="1" t="s">
        <v>1021</v>
      </c>
      <c r="H949" s="1">
        <v>2016.0</v>
      </c>
      <c r="I949" s="1" t="s">
        <v>861</v>
      </c>
      <c r="J949" s="1" t="s">
        <v>1272</v>
      </c>
      <c r="K949" s="1">
        <v>5.0</v>
      </c>
      <c r="L949" s="1" t="s">
        <v>1273</v>
      </c>
      <c r="M949" s="1">
        <v>-1.0</v>
      </c>
    </row>
    <row r="950">
      <c r="A950" s="1">
        <v>960.0</v>
      </c>
      <c r="B950" s="1">
        <v>2.0</v>
      </c>
      <c r="C950" s="1">
        <v>0.491066659253832</v>
      </c>
      <c r="D950" s="1" t="s">
        <v>876</v>
      </c>
      <c r="E950" s="1" t="s">
        <v>17</v>
      </c>
      <c r="F950" s="1" t="s">
        <v>18</v>
      </c>
      <c r="G950" s="1">
        <v>11.0</v>
      </c>
      <c r="H950" s="1">
        <v>2023.0</v>
      </c>
      <c r="I950" s="1" t="s">
        <v>861</v>
      </c>
      <c r="J950" s="1" t="s">
        <v>1272</v>
      </c>
      <c r="K950" s="1">
        <v>5.0</v>
      </c>
      <c r="L950" s="1" t="s">
        <v>1273</v>
      </c>
      <c r="M950" s="1">
        <v>0.0</v>
      </c>
    </row>
    <row r="951">
      <c r="A951" s="1">
        <v>835.0</v>
      </c>
      <c r="B951" s="1">
        <v>9.0</v>
      </c>
      <c r="C951" s="1">
        <v>0.490996140448097</v>
      </c>
      <c r="D951" s="1" t="s">
        <v>771</v>
      </c>
      <c r="E951" s="1" t="s">
        <v>107</v>
      </c>
      <c r="F951" s="1" t="s">
        <v>18</v>
      </c>
      <c r="G951" s="1" t="s">
        <v>1274</v>
      </c>
      <c r="H951" s="1">
        <v>2024.0</v>
      </c>
      <c r="I951" s="1" t="s">
        <v>630</v>
      </c>
      <c r="J951" s="1" t="s">
        <v>1272</v>
      </c>
      <c r="K951" s="1">
        <v>10.0</v>
      </c>
      <c r="L951" s="1" t="s">
        <v>1273</v>
      </c>
      <c r="M951" s="1">
        <v>1.0</v>
      </c>
    </row>
    <row r="952">
      <c r="A952" s="1">
        <v>797.0</v>
      </c>
      <c r="B952" s="1">
        <v>3.0</v>
      </c>
      <c r="C952" s="1">
        <v>0.489828667948427</v>
      </c>
      <c r="D952" s="1" t="s">
        <v>733</v>
      </c>
      <c r="E952" s="1" t="s">
        <v>173</v>
      </c>
      <c r="F952" s="1" t="s">
        <v>18</v>
      </c>
      <c r="G952" s="1" t="s">
        <v>42</v>
      </c>
      <c r="H952" s="1">
        <v>2022.0</v>
      </c>
      <c r="I952" s="1" t="s">
        <v>630</v>
      </c>
      <c r="J952" s="1" t="s">
        <v>1272</v>
      </c>
      <c r="K952" s="1">
        <v>7.0</v>
      </c>
      <c r="L952" s="1" t="s">
        <v>1273</v>
      </c>
      <c r="M952" s="1">
        <v>-1.0</v>
      </c>
    </row>
    <row r="953">
      <c r="A953" s="1">
        <v>991.0</v>
      </c>
      <c r="B953" s="1">
        <v>2.0</v>
      </c>
      <c r="C953" s="1">
        <v>0.488838068306524</v>
      </c>
      <c r="D953" s="1" t="s">
        <v>900</v>
      </c>
      <c r="E953" s="1" t="s">
        <v>41</v>
      </c>
      <c r="F953" s="1" t="s">
        <v>18</v>
      </c>
      <c r="G953" s="1" t="s">
        <v>42</v>
      </c>
      <c r="H953" s="1">
        <v>2024.0</v>
      </c>
      <c r="I953" s="1" t="s">
        <v>861</v>
      </c>
      <c r="J953" s="1" t="s">
        <v>1272</v>
      </c>
      <c r="K953" s="1">
        <v>7.0</v>
      </c>
      <c r="L953" s="1" t="s">
        <v>1273</v>
      </c>
      <c r="M953" s="1">
        <v>0.0</v>
      </c>
    </row>
    <row r="954">
      <c r="A954" s="1">
        <v>767.0</v>
      </c>
      <c r="B954" s="1">
        <v>2.0</v>
      </c>
      <c r="C954" s="1">
        <v>0.484034577494834</v>
      </c>
      <c r="D954" s="1" t="s">
        <v>703</v>
      </c>
      <c r="E954" s="1" t="s">
        <v>1274</v>
      </c>
      <c r="F954" s="1" t="s">
        <v>1274</v>
      </c>
      <c r="G954" s="1" t="s">
        <v>1274</v>
      </c>
      <c r="H954" s="1">
        <v>2006.0</v>
      </c>
      <c r="I954" s="1" t="s">
        <v>630</v>
      </c>
      <c r="J954" s="1" t="s">
        <v>1272</v>
      </c>
      <c r="K954" s="1">
        <v>7.0</v>
      </c>
      <c r="L954" s="1" t="s">
        <v>1273</v>
      </c>
      <c r="M954" s="1">
        <v>8.0</v>
      </c>
    </row>
    <row r="955">
      <c r="A955" s="1">
        <v>403.0</v>
      </c>
      <c r="B955" s="1">
        <v>5.0</v>
      </c>
      <c r="C955" s="1">
        <v>0.483765088203327</v>
      </c>
      <c r="D955" s="1" t="s">
        <v>380</v>
      </c>
      <c r="E955" s="1" t="s">
        <v>17</v>
      </c>
      <c r="F955" s="1" t="s">
        <v>18</v>
      </c>
      <c r="G955" s="1">
        <v>8.0</v>
      </c>
      <c r="H955" s="1">
        <v>2024.0</v>
      </c>
      <c r="I955" s="1" t="s">
        <v>240</v>
      </c>
      <c r="J955" s="1" t="s">
        <v>1272</v>
      </c>
      <c r="K955" s="1">
        <v>10.0</v>
      </c>
      <c r="L955" s="1" t="s">
        <v>1273</v>
      </c>
      <c r="M955" s="1">
        <v>8.0</v>
      </c>
    </row>
    <row r="956">
      <c r="A956" s="1">
        <v>159.0</v>
      </c>
      <c r="B956" s="1">
        <v>2.0</v>
      </c>
      <c r="C956" s="1">
        <v>0.478941709525196</v>
      </c>
      <c r="D956" s="1" t="s">
        <v>175</v>
      </c>
      <c r="E956" s="1" t="s">
        <v>173</v>
      </c>
      <c r="F956" s="1" t="s">
        <v>1274</v>
      </c>
      <c r="G956" s="2">
        <v>46213.0</v>
      </c>
      <c r="H956" s="1">
        <v>2015.0</v>
      </c>
      <c r="I956" s="1" t="s">
        <v>12</v>
      </c>
      <c r="J956" s="1" t="s">
        <v>1272</v>
      </c>
      <c r="K956" s="1">
        <v>7.0</v>
      </c>
      <c r="L956" s="1" t="s">
        <v>1273</v>
      </c>
      <c r="M956" s="1">
        <v>-1.0</v>
      </c>
    </row>
    <row r="957">
      <c r="A957" s="1">
        <v>273.0</v>
      </c>
      <c r="B957" s="1">
        <v>2.0</v>
      </c>
      <c r="C957" s="1">
        <v>0.478562855856381</v>
      </c>
      <c r="D957" s="1" t="s">
        <v>266</v>
      </c>
      <c r="E957" s="1" t="s">
        <v>124</v>
      </c>
      <c r="F957" s="1" t="s">
        <v>178</v>
      </c>
      <c r="G957" s="1" t="s">
        <v>1274</v>
      </c>
      <c r="H957" s="1">
        <v>2024.0</v>
      </c>
      <c r="I957" s="1" t="s">
        <v>240</v>
      </c>
      <c r="J957" s="1" t="s">
        <v>1272</v>
      </c>
      <c r="K957" s="1">
        <v>10.0</v>
      </c>
      <c r="L957" s="1" t="s">
        <v>1273</v>
      </c>
      <c r="M957" s="1">
        <v>0.0</v>
      </c>
    </row>
    <row r="958">
      <c r="A958" s="1">
        <v>225.0</v>
      </c>
      <c r="B958" s="1">
        <v>2.0</v>
      </c>
      <c r="C958" s="1">
        <v>0.478326379636769</v>
      </c>
      <c r="D958" s="1" t="s">
        <v>222</v>
      </c>
      <c r="E958" s="1" t="s">
        <v>45</v>
      </c>
      <c r="F958" s="1" t="s">
        <v>18</v>
      </c>
      <c r="G958" s="1" t="s">
        <v>1274</v>
      </c>
      <c r="H958" s="1">
        <v>2019.0</v>
      </c>
      <c r="I958" s="1" t="s">
        <v>198</v>
      </c>
      <c r="J958" s="1" t="s">
        <v>1272</v>
      </c>
      <c r="K958" s="1">
        <v>7.0</v>
      </c>
      <c r="L958" s="1" t="s">
        <v>1273</v>
      </c>
      <c r="M958" s="1">
        <v>0.0</v>
      </c>
    </row>
    <row r="959">
      <c r="A959" s="1">
        <v>981.0</v>
      </c>
      <c r="B959" s="1">
        <v>4.0</v>
      </c>
      <c r="C959" s="1">
        <v>0.477245999611766</v>
      </c>
      <c r="D959" s="1" t="s">
        <v>890</v>
      </c>
      <c r="E959" s="1" t="s">
        <v>173</v>
      </c>
      <c r="F959" s="1" t="s">
        <v>18</v>
      </c>
      <c r="G959" s="1" t="s">
        <v>42</v>
      </c>
      <c r="H959" s="1" t="s">
        <v>1274</v>
      </c>
      <c r="I959" s="1" t="s">
        <v>861</v>
      </c>
      <c r="J959" s="1" t="s">
        <v>1272</v>
      </c>
      <c r="K959" s="1">
        <v>5.0</v>
      </c>
      <c r="L959" s="1" t="s">
        <v>1273</v>
      </c>
      <c r="M959" s="1">
        <v>0.0</v>
      </c>
    </row>
    <row r="960">
      <c r="A960" s="1">
        <v>1065.0</v>
      </c>
      <c r="B960" s="1">
        <v>4.0</v>
      </c>
      <c r="C960" s="1">
        <v>0.472670491390359</v>
      </c>
      <c r="D960" s="1" t="s">
        <v>969</v>
      </c>
      <c r="E960" s="1" t="s">
        <v>1274</v>
      </c>
      <c r="F960" s="1" t="s">
        <v>1274</v>
      </c>
      <c r="G960" s="1" t="s">
        <v>1274</v>
      </c>
      <c r="H960" s="1">
        <v>2005.0</v>
      </c>
      <c r="I960" s="1" t="s">
        <v>861</v>
      </c>
      <c r="J960" s="1" t="s">
        <v>1272</v>
      </c>
      <c r="K960" s="1">
        <v>5.0</v>
      </c>
      <c r="L960" s="1" t="s">
        <v>1273</v>
      </c>
      <c r="M960" s="1">
        <v>17.0</v>
      </c>
    </row>
    <row r="961">
      <c r="A961" s="1">
        <v>770.0</v>
      </c>
      <c r="B961" s="1">
        <v>4.0</v>
      </c>
      <c r="C961" s="1">
        <v>0.471355941229147</v>
      </c>
      <c r="D961" s="1" t="s">
        <v>706</v>
      </c>
      <c r="E961" s="1" t="s">
        <v>1274</v>
      </c>
      <c r="F961" s="1" t="s">
        <v>1274</v>
      </c>
      <c r="G961" s="1" t="s">
        <v>1274</v>
      </c>
      <c r="H961" s="1">
        <v>2006.0</v>
      </c>
      <c r="I961" s="1" t="s">
        <v>630</v>
      </c>
      <c r="J961" s="1" t="s">
        <v>1272</v>
      </c>
      <c r="K961" s="1">
        <v>5.0</v>
      </c>
      <c r="L961" s="1" t="s">
        <v>1273</v>
      </c>
      <c r="M961" s="1">
        <v>3.0</v>
      </c>
    </row>
    <row r="962">
      <c r="A962" s="1">
        <v>1095.0</v>
      </c>
      <c r="B962" s="1">
        <v>7.0</v>
      </c>
      <c r="C962" s="1">
        <v>0.466864690998763</v>
      </c>
      <c r="D962" s="1" t="s">
        <v>995</v>
      </c>
      <c r="E962" s="1" t="s">
        <v>102</v>
      </c>
      <c r="F962" s="1" t="s">
        <v>18</v>
      </c>
      <c r="G962" s="1" t="s">
        <v>42</v>
      </c>
      <c r="H962" s="1">
        <v>2008.0</v>
      </c>
      <c r="I962" s="1" t="s">
        <v>861</v>
      </c>
      <c r="J962" s="1" t="s">
        <v>1272</v>
      </c>
      <c r="K962" s="1">
        <v>10.0</v>
      </c>
      <c r="L962" s="1" t="s">
        <v>1273</v>
      </c>
      <c r="M962" s="1">
        <v>9.0</v>
      </c>
    </row>
    <row r="963">
      <c r="A963" s="1">
        <v>214.0</v>
      </c>
      <c r="B963" s="1">
        <v>6.0</v>
      </c>
      <c r="C963" s="1">
        <v>0.466436826133834</v>
      </c>
      <c r="D963" s="1" t="s">
        <v>215</v>
      </c>
      <c r="E963" s="1" t="s">
        <v>58</v>
      </c>
      <c r="F963" s="1" t="s">
        <v>59</v>
      </c>
      <c r="G963" s="2">
        <v>46153.0</v>
      </c>
      <c r="H963" s="1">
        <v>2024.0</v>
      </c>
      <c r="I963" s="1" t="s">
        <v>198</v>
      </c>
      <c r="J963" s="1" t="s">
        <v>1272</v>
      </c>
      <c r="K963" s="1">
        <v>7.0</v>
      </c>
      <c r="L963" s="1" t="s">
        <v>1273</v>
      </c>
      <c r="M963" s="1">
        <v>0.0</v>
      </c>
    </row>
    <row r="964">
      <c r="A964" s="1">
        <v>1058.0</v>
      </c>
      <c r="B964" s="1">
        <v>2.0</v>
      </c>
      <c r="C964" s="1">
        <v>0.466221532289627</v>
      </c>
      <c r="D964" s="1" t="s">
        <v>962</v>
      </c>
      <c r="E964" s="1" t="s">
        <v>1274</v>
      </c>
      <c r="F964" s="1" t="s">
        <v>1274</v>
      </c>
      <c r="G964" s="1" t="s">
        <v>1274</v>
      </c>
      <c r="H964" s="1">
        <v>2005.0</v>
      </c>
      <c r="I964" s="1" t="s">
        <v>861</v>
      </c>
      <c r="J964" s="1" t="s">
        <v>1272</v>
      </c>
      <c r="K964" s="1">
        <v>7.0</v>
      </c>
      <c r="L964" s="1" t="s">
        <v>1273</v>
      </c>
      <c r="M964" s="1">
        <v>0.0</v>
      </c>
    </row>
    <row r="965">
      <c r="A965" s="1">
        <v>789.0</v>
      </c>
      <c r="B965" s="1">
        <v>2.0</v>
      </c>
      <c r="C965" s="1">
        <v>0.462547879666328</v>
      </c>
      <c r="D965" s="1" t="s">
        <v>725</v>
      </c>
      <c r="E965" s="1" t="s">
        <v>1274</v>
      </c>
      <c r="F965" s="1" t="s">
        <v>1274</v>
      </c>
      <c r="G965" s="1" t="s">
        <v>1274</v>
      </c>
      <c r="H965" s="1">
        <v>2006.0</v>
      </c>
      <c r="I965" s="1" t="s">
        <v>630</v>
      </c>
      <c r="J965" s="1" t="s">
        <v>1272</v>
      </c>
      <c r="K965" s="1">
        <v>10.0</v>
      </c>
      <c r="L965" s="1" t="s">
        <v>1273</v>
      </c>
      <c r="M965" s="1">
        <v>-1.0</v>
      </c>
    </row>
    <row r="966">
      <c r="A966" s="1">
        <v>909.0</v>
      </c>
      <c r="B966" s="1">
        <v>3.0</v>
      </c>
      <c r="C966" s="1">
        <v>0.46055131310319</v>
      </c>
      <c r="D966" s="1" t="s">
        <v>843</v>
      </c>
      <c r="E966" s="1" t="s">
        <v>173</v>
      </c>
      <c r="F966" s="1" t="s">
        <v>1274</v>
      </c>
      <c r="G966" s="1" t="s">
        <v>609</v>
      </c>
      <c r="H966" s="1">
        <v>2015.0</v>
      </c>
      <c r="I966" s="1" t="s">
        <v>630</v>
      </c>
      <c r="J966" s="1" t="s">
        <v>1272</v>
      </c>
      <c r="K966" s="1">
        <v>7.0</v>
      </c>
      <c r="L966" s="1" t="s">
        <v>1273</v>
      </c>
      <c r="M966" s="1">
        <v>1.0</v>
      </c>
    </row>
    <row r="967">
      <c r="A967" s="1">
        <v>376.0</v>
      </c>
      <c r="B967" s="1">
        <v>2.0</v>
      </c>
      <c r="C967" s="1">
        <v>0.459238847859471</v>
      </c>
      <c r="D967" s="1" t="s">
        <v>358</v>
      </c>
      <c r="E967" s="1" t="s">
        <v>124</v>
      </c>
      <c r="F967" s="1" t="s">
        <v>18</v>
      </c>
      <c r="G967" s="1" t="s">
        <v>1274</v>
      </c>
      <c r="H967" s="1">
        <v>2024.0</v>
      </c>
      <c r="I967" s="1" t="s">
        <v>240</v>
      </c>
      <c r="J967" s="1" t="s">
        <v>1272</v>
      </c>
      <c r="K967" s="1">
        <v>10.0</v>
      </c>
      <c r="L967" s="1" t="s">
        <v>1273</v>
      </c>
      <c r="M967" s="1">
        <v>-1.0</v>
      </c>
    </row>
    <row r="968">
      <c r="A968" s="1">
        <v>1138.0</v>
      </c>
      <c r="B968" s="1">
        <v>4.0</v>
      </c>
      <c r="C968" s="1">
        <v>0.458059093641012</v>
      </c>
      <c r="D968" s="1" t="s">
        <v>1022</v>
      </c>
      <c r="E968" s="1" t="s">
        <v>187</v>
      </c>
      <c r="F968" s="1" t="s">
        <v>1274</v>
      </c>
      <c r="G968" s="1" t="s">
        <v>1021</v>
      </c>
      <c r="H968" s="1">
        <v>2016.0</v>
      </c>
      <c r="I968" s="1" t="s">
        <v>861</v>
      </c>
      <c r="J968" s="1" t="s">
        <v>1272</v>
      </c>
      <c r="K968" s="1">
        <v>5.0</v>
      </c>
      <c r="L968" s="1" t="s">
        <v>1273</v>
      </c>
      <c r="M968" s="1">
        <v>-1.0</v>
      </c>
    </row>
    <row r="969">
      <c r="A969" s="1">
        <v>20.0</v>
      </c>
      <c r="B969" s="1">
        <v>5.0</v>
      </c>
      <c r="C969" s="1">
        <v>0.447576153238774</v>
      </c>
      <c r="D969" s="1" t="s">
        <v>39</v>
      </c>
      <c r="E969" s="1" t="s">
        <v>1274</v>
      </c>
      <c r="F969" s="1" t="s">
        <v>1274</v>
      </c>
      <c r="G969" s="1" t="s">
        <v>1274</v>
      </c>
      <c r="H969" s="1">
        <v>2006.0</v>
      </c>
      <c r="I969" s="1" t="s">
        <v>12</v>
      </c>
      <c r="J969" s="1" t="s">
        <v>1272</v>
      </c>
      <c r="K969" s="1">
        <v>7.0</v>
      </c>
      <c r="L969" s="1" t="s">
        <v>1273</v>
      </c>
      <c r="M969" s="1">
        <v>3.0</v>
      </c>
    </row>
    <row r="970">
      <c r="A970" s="1">
        <v>773.0</v>
      </c>
      <c r="B970" s="1">
        <v>9.0</v>
      </c>
      <c r="C970" s="1">
        <v>0.445722619164501</v>
      </c>
      <c r="D970" s="1" t="s">
        <v>709</v>
      </c>
      <c r="E970" s="1" t="s">
        <v>1274</v>
      </c>
      <c r="F970" s="1" t="s">
        <v>1274</v>
      </c>
      <c r="G970" s="1" t="s">
        <v>1274</v>
      </c>
      <c r="H970" s="1">
        <v>2006.0</v>
      </c>
      <c r="I970" s="1" t="s">
        <v>630</v>
      </c>
      <c r="J970" s="1" t="s">
        <v>1272</v>
      </c>
      <c r="K970" s="1">
        <v>10.0</v>
      </c>
      <c r="L970" s="1" t="s">
        <v>1273</v>
      </c>
      <c r="M970" s="1">
        <v>-1.0</v>
      </c>
    </row>
    <row r="971">
      <c r="A971" s="1">
        <v>570.0</v>
      </c>
      <c r="B971" s="1">
        <v>2.0</v>
      </c>
      <c r="C971" s="1">
        <v>0.445195177050768</v>
      </c>
      <c r="D971" s="1" t="s">
        <v>522</v>
      </c>
      <c r="E971" s="1" t="s">
        <v>24</v>
      </c>
      <c r="F971" s="1" t="s">
        <v>18</v>
      </c>
      <c r="G971" s="1">
        <v>9.0</v>
      </c>
      <c r="H971" s="1">
        <v>2014.0</v>
      </c>
      <c r="I971" s="1" t="s">
        <v>240</v>
      </c>
      <c r="J971" s="1" t="s">
        <v>1272</v>
      </c>
      <c r="K971" s="1">
        <v>7.0</v>
      </c>
      <c r="L971" s="1" t="s">
        <v>1273</v>
      </c>
      <c r="M971" s="1">
        <v>8.0</v>
      </c>
    </row>
    <row r="972">
      <c r="A972" s="1">
        <v>1062.0</v>
      </c>
      <c r="B972" s="1">
        <v>7.0</v>
      </c>
      <c r="C972" s="1">
        <v>0.438460526197893</v>
      </c>
      <c r="D972" s="1" t="s">
        <v>966</v>
      </c>
      <c r="E972" s="1" t="s">
        <v>1274</v>
      </c>
      <c r="F972" s="1" t="s">
        <v>1274</v>
      </c>
      <c r="G972" s="1" t="s">
        <v>1274</v>
      </c>
      <c r="H972" s="1">
        <v>2005.0</v>
      </c>
      <c r="I972" s="1" t="s">
        <v>861</v>
      </c>
      <c r="J972" s="1" t="s">
        <v>1272</v>
      </c>
      <c r="K972" s="1">
        <v>7.0</v>
      </c>
      <c r="L972" s="1" t="s">
        <v>1273</v>
      </c>
      <c r="M972" s="1">
        <v>0.0</v>
      </c>
    </row>
    <row r="973">
      <c r="A973" s="1">
        <v>818.0</v>
      </c>
      <c r="B973" s="1">
        <v>2.0</v>
      </c>
      <c r="C973" s="1">
        <v>0.436612462002506</v>
      </c>
      <c r="D973" s="1" t="s">
        <v>754</v>
      </c>
      <c r="E973" s="1" t="s">
        <v>107</v>
      </c>
      <c r="F973" s="1" t="s">
        <v>18</v>
      </c>
      <c r="G973" s="1" t="s">
        <v>1274</v>
      </c>
      <c r="H973" s="1">
        <v>2024.0</v>
      </c>
      <c r="I973" s="1" t="s">
        <v>630</v>
      </c>
      <c r="J973" s="1" t="s">
        <v>1272</v>
      </c>
      <c r="K973" s="1">
        <v>5.0</v>
      </c>
      <c r="L973" s="1" t="s">
        <v>1273</v>
      </c>
      <c r="M973" s="1">
        <v>-1.0</v>
      </c>
    </row>
    <row r="974">
      <c r="A974" s="1">
        <v>1002.0</v>
      </c>
      <c r="B974" s="1">
        <v>2.0</v>
      </c>
      <c r="C974" s="1">
        <v>0.433630484395022</v>
      </c>
      <c r="D974" s="1" t="s">
        <v>909</v>
      </c>
      <c r="E974" s="1" t="s">
        <v>124</v>
      </c>
      <c r="F974" s="1" t="s">
        <v>178</v>
      </c>
      <c r="G974" s="1" t="s">
        <v>1274</v>
      </c>
      <c r="H974" s="1">
        <v>2012.0</v>
      </c>
      <c r="I974" s="1" t="s">
        <v>861</v>
      </c>
      <c r="J974" s="1" t="s">
        <v>1272</v>
      </c>
      <c r="K974" s="1">
        <v>5.0</v>
      </c>
      <c r="L974" s="1" t="s">
        <v>1273</v>
      </c>
      <c r="M974" s="1">
        <v>-1.0</v>
      </c>
    </row>
    <row r="975">
      <c r="A975" s="1">
        <v>899.0</v>
      </c>
      <c r="B975" s="1">
        <v>4.0</v>
      </c>
      <c r="C975" s="1">
        <v>0.428017110111746</v>
      </c>
      <c r="D975" s="1" t="s">
        <v>833</v>
      </c>
      <c r="E975" s="1" t="s">
        <v>17</v>
      </c>
      <c r="F975" s="1" t="s">
        <v>18</v>
      </c>
      <c r="G975" s="1" t="s">
        <v>831</v>
      </c>
      <c r="H975" s="1" t="s">
        <v>1274</v>
      </c>
      <c r="I975" s="1" t="s">
        <v>630</v>
      </c>
      <c r="J975" s="1" t="s">
        <v>1272</v>
      </c>
      <c r="K975" s="1">
        <v>7.0</v>
      </c>
      <c r="L975" s="1" t="s">
        <v>1273</v>
      </c>
      <c r="M975" s="1">
        <v>1.0</v>
      </c>
    </row>
    <row r="976">
      <c r="A976" s="1">
        <v>1027.0</v>
      </c>
      <c r="B976" s="1">
        <v>3.0</v>
      </c>
      <c r="C976" s="1">
        <v>0.422997497426592</v>
      </c>
      <c r="D976" s="1" t="s">
        <v>932</v>
      </c>
      <c r="E976" s="1" t="s">
        <v>124</v>
      </c>
      <c r="F976" s="1" t="s">
        <v>178</v>
      </c>
      <c r="G976" s="1" t="s">
        <v>1274</v>
      </c>
      <c r="H976" s="1">
        <v>2012.0</v>
      </c>
      <c r="I976" s="1" t="s">
        <v>861</v>
      </c>
      <c r="J976" s="1" t="s">
        <v>1272</v>
      </c>
      <c r="K976" s="1">
        <v>5.0</v>
      </c>
      <c r="L976" s="1" t="s">
        <v>1273</v>
      </c>
      <c r="M976" s="1">
        <v>0.0</v>
      </c>
    </row>
    <row r="977">
      <c r="A977" s="1">
        <v>602.0</v>
      </c>
      <c r="B977" s="1">
        <v>2.0</v>
      </c>
      <c r="C977" s="1">
        <v>0.420766262671319</v>
      </c>
      <c r="D977" s="1" t="s">
        <v>554</v>
      </c>
      <c r="E977" s="1" t="s">
        <v>173</v>
      </c>
      <c r="F977" s="1" t="s">
        <v>1274</v>
      </c>
      <c r="G977" s="2">
        <v>46213.0</v>
      </c>
      <c r="H977" s="1">
        <v>2015.0</v>
      </c>
      <c r="I977" s="1" t="s">
        <v>240</v>
      </c>
      <c r="J977" s="1" t="s">
        <v>1272</v>
      </c>
      <c r="K977" s="1">
        <v>7.0</v>
      </c>
      <c r="L977" s="1" t="s">
        <v>1273</v>
      </c>
      <c r="M977" s="1">
        <v>5.0</v>
      </c>
    </row>
    <row r="978">
      <c r="A978" s="1">
        <v>227.0</v>
      </c>
      <c r="B978" s="1">
        <v>2.0</v>
      </c>
      <c r="C978" s="1">
        <v>0.419589076560235</v>
      </c>
      <c r="D978" s="1" t="s">
        <v>224</v>
      </c>
      <c r="E978" s="1" t="s">
        <v>45</v>
      </c>
      <c r="F978" s="1" t="s">
        <v>18</v>
      </c>
      <c r="G978" s="1" t="s">
        <v>1274</v>
      </c>
      <c r="H978" s="1">
        <v>2019.0</v>
      </c>
      <c r="I978" s="1" t="s">
        <v>198</v>
      </c>
      <c r="J978" s="1" t="s">
        <v>1272</v>
      </c>
      <c r="K978" s="1">
        <v>7.0</v>
      </c>
      <c r="L978" s="1" t="s">
        <v>1273</v>
      </c>
      <c r="M978" s="1">
        <v>16.0</v>
      </c>
    </row>
    <row r="979">
      <c r="A979" s="1">
        <v>1051.0</v>
      </c>
      <c r="B979" s="1">
        <v>2.0</v>
      </c>
      <c r="C979" s="1">
        <v>0.419000989161138</v>
      </c>
      <c r="D979" s="1" t="s">
        <v>955</v>
      </c>
      <c r="E979" s="1" t="s">
        <v>20</v>
      </c>
      <c r="F979" s="1" t="s">
        <v>97</v>
      </c>
      <c r="G979" s="1" t="s">
        <v>11</v>
      </c>
      <c r="H979" s="1">
        <v>2020.0</v>
      </c>
      <c r="I979" s="1" t="s">
        <v>861</v>
      </c>
      <c r="J979" s="1" t="s">
        <v>1272</v>
      </c>
      <c r="K979" s="1">
        <v>7.0</v>
      </c>
      <c r="L979" s="1" t="s">
        <v>1273</v>
      </c>
      <c r="M979" s="1">
        <v>-1.0</v>
      </c>
    </row>
    <row r="980">
      <c r="A980" s="1">
        <v>813.0</v>
      </c>
      <c r="B980" s="1">
        <v>2.0</v>
      </c>
      <c r="C980" s="1">
        <v>0.410423820863669</v>
      </c>
      <c r="D980" s="1" t="s">
        <v>749</v>
      </c>
      <c r="E980" s="1" t="s">
        <v>107</v>
      </c>
      <c r="F980" s="1" t="s">
        <v>18</v>
      </c>
      <c r="G980" s="1" t="s">
        <v>1274</v>
      </c>
      <c r="H980" s="1">
        <v>2024.0</v>
      </c>
      <c r="I980" s="1" t="s">
        <v>630</v>
      </c>
      <c r="J980" s="1" t="s">
        <v>1272</v>
      </c>
      <c r="K980" s="1">
        <v>10.0</v>
      </c>
      <c r="L980" s="1" t="s">
        <v>1273</v>
      </c>
      <c r="M980" s="1">
        <v>0.0</v>
      </c>
    </row>
    <row r="981">
      <c r="A981" s="1">
        <v>1093.0</v>
      </c>
      <c r="B981" s="1">
        <v>4.0</v>
      </c>
      <c r="C981" s="1">
        <v>0.404337787693194</v>
      </c>
      <c r="D981" s="1" t="s">
        <v>993</v>
      </c>
      <c r="E981" s="1" t="s">
        <v>102</v>
      </c>
      <c r="F981" s="1" t="s">
        <v>18</v>
      </c>
      <c r="G981" s="1" t="s">
        <v>42</v>
      </c>
      <c r="H981" s="1">
        <v>2008.0</v>
      </c>
      <c r="I981" s="1" t="s">
        <v>861</v>
      </c>
      <c r="J981" s="1" t="s">
        <v>1272</v>
      </c>
      <c r="K981" s="1">
        <v>5.0</v>
      </c>
      <c r="L981" s="1" t="s">
        <v>1273</v>
      </c>
      <c r="M981" s="1">
        <v>9.0</v>
      </c>
    </row>
    <row r="982">
      <c r="A982" s="1">
        <v>800.0</v>
      </c>
      <c r="B982" s="1">
        <v>3.0</v>
      </c>
      <c r="C982" s="1">
        <v>0.378918485142453</v>
      </c>
      <c r="D982" s="1" t="s">
        <v>736</v>
      </c>
      <c r="E982" s="1" t="s">
        <v>173</v>
      </c>
      <c r="F982" s="1" t="s">
        <v>18</v>
      </c>
      <c r="G982" s="1" t="s">
        <v>42</v>
      </c>
      <c r="H982" s="1">
        <v>2022.0</v>
      </c>
      <c r="I982" s="1" t="s">
        <v>630</v>
      </c>
      <c r="J982" s="1" t="s">
        <v>1272</v>
      </c>
      <c r="K982" s="1">
        <v>5.0</v>
      </c>
      <c r="L982" s="1" t="s">
        <v>1273</v>
      </c>
      <c r="M982" s="1">
        <v>-1.0</v>
      </c>
    </row>
    <row r="983">
      <c r="A983" s="1">
        <v>850.0</v>
      </c>
      <c r="B983" s="1">
        <v>4.0</v>
      </c>
      <c r="C983" s="1">
        <v>0.375622903253294</v>
      </c>
      <c r="D983" s="1" t="s">
        <v>786</v>
      </c>
      <c r="E983" s="1" t="s">
        <v>107</v>
      </c>
      <c r="F983" s="1" t="s">
        <v>18</v>
      </c>
      <c r="G983" s="1" t="s">
        <v>1274</v>
      </c>
      <c r="H983" s="1">
        <v>2024.0</v>
      </c>
      <c r="I983" s="1" t="s">
        <v>630</v>
      </c>
      <c r="J983" s="1" t="s">
        <v>1272</v>
      </c>
      <c r="K983" s="1">
        <v>5.0</v>
      </c>
      <c r="L983" s="1" t="s">
        <v>1273</v>
      </c>
      <c r="M983" s="1">
        <v>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4">
      <c r="A24" s="1" t="s">
        <v>1275</v>
      </c>
      <c r="B24" s="6">
        <f t="shared" ref="B24:G24" si="1">B6+B7+B8+B19</f>
        <v>141</v>
      </c>
      <c r="C24" s="6">
        <f t="shared" si="1"/>
        <v>10</v>
      </c>
      <c r="D24" s="6">
        <f t="shared" si="1"/>
        <v>0</v>
      </c>
      <c r="E24" s="6">
        <f t="shared" si="1"/>
        <v>3</v>
      </c>
      <c r="F24" s="6">
        <f t="shared" si="1"/>
        <v>0</v>
      </c>
      <c r="G24" s="6">
        <f t="shared" si="1"/>
        <v>154</v>
      </c>
      <c r="H24" s="14">
        <f t="shared" ref="H24:H27" si="3">G24/G$22</f>
        <v>0.1568228106</v>
      </c>
    </row>
    <row r="25">
      <c r="A25" s="15">
        <v>41285.0</v>
      </c>
      <c r="B25" s="6">
        <f t="shared" ref="B25:G25" si="2">B5+B15+B17</f>
        <v>2</v>
      </c>
      <c r="C25" s="6">
        <f t="shared" si="2"/>
        <v>4</v>
      </c>
      <c r="D25" s="6">
        <f t="shared" si="2"/>
        <v>0</v>
      </c>
      <c r="E25" s="6">
        <f t="shared" si="2"/>
        <v>111</v>
      </c>
      <c r="F25" s="6">
        <f t="shared" si="2"/>
        <v>1</v>
      </c>
      <c r="G25" s="6">
        <f t="shared" si="2"/>
        <v>118</v>
      </c>
      <c r="H25" s="14">
        <f t="shared" si="3"/>
        <v>0.1201629328</v>
      </c>
    </row>
    <row r="26">
      <c r="A26" s="1"/>
      <c r="B26" s="6">
        <f t="shared" ref="B26:G26" si="4">sum(B24:B25)</f>
        <v>143</v>
      </c>
      <c r="C26" s="6">
        <f t="shared" si="4"/>
        <v>14</v>
      </c>
      <c r="D26" s="6">
        <f t="shared" si="4"/>
        <v>0</v>
      </c>
      <c r="E26" s="6">
        <f t="shared" si="4"/>
        <v>114</v>
      </c>
      <c r="F26" s="6">
        <f t="shared" si="4"/>
        <v>1</v>
      </c>
      <c r="G26" s="6">
        <f t="shared" si="4"/>
        <v>272</v>
      </c>
      <c r="H26" s="7">
        <f t="shared" si="3"/>
        <v>0.2769857434</v>
      </c>
    </row>
    <row r="27">
      <c r="A27" s="1" t="s">
        <v>1276</v>
      </c>
      <c r="B27" s="6">
        <f t="shared" ref="B27:G27" si="5">B22-sum(B24:B25)</f>
        <v>246</v>
      </c>
      <c r="C27" s="6">
        <f t="shared" si="5"/>
        <v>132</v>
      </c>
      <c r="D27" s="6">
        <f t="shared" si="5"/>
        <v>37</v>
      </c>
      <c r="E27" s="6">
        <f t="shared" si="5"/>
        <v>115</v>
      </c>
      <c r="F27" s="6">
        <f t="shared" si="5"/>
        <v>180</v>
      </c>
      <c r="G27" s="6">
        <f t="shared" si="5"/>
        <v>710</v>
      </c>
      <c r="H27" s="7">
        <f t="shared" si="3"/>
        <v>0.7230142566</v>
      </c>
    </row>
    <row r="28">
      <c r="B28" s="7">
        <f t="shared" ref="B28:G28" si="6">B26/B$22</f>
        <v>0.3676092545</v>
      </c>
      <c r="C28" s="7">
        <f t="shared" si="6"/>
        <v>0.09589041096</v>
      </c>
      <c r="D28" s="7">
        <f t="shared" si="6"/>
        <v>0</v>
      </c>
      <c r="E28" s="7">
        <f t="shared" si="6"/>
        <v>0.4978165939</v>
      </c>
      <c r="F28" s="7">
        <f t="shared" si="6"/>
        <v>0.005524861878</v>
      </c>
      <c r="G28" s="7">
        <f t="shared" si="6"/>
        <v>0.2769857434</v>
      </c>
    </row>
    <row r="29">
      <c r="B29" s="7">
        <f t="shared" ref="B29:G29" si="7">B27/B$22</f>
        <v>0.6323907455</v>
      </c>
      <c r="C29" s="7">
        <f t="shared" si="7"/>
        <v>0.904109589</v>
      </c>
      <c r="D29" s="7">
        <f t="shared" si="7"/>
        <v>1</v>
      </c>
      <c r="E29" s="7">
        <f t="shared" si="7"/>
        <v>0.5021834061</v>
      </c>
      <c r="F29" s="7">
        <f t="shared" si="7"/>
        <v>0.9944751381</v>
      </c>
      <c r="G29" s="7">
        <f t="shared" si="7"/>
        <v>0.7230142566</v>
      </c>
    </row>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0.0"/>
    <col customWidth="1" min="3" max="3" width="4.25"/>
    <col customWidth="1" min="4" max="4" width="10.13"/>
    <col customWidth="1" min="5" max="5" width="10.0"/>
    <col customWidth="1" min="6" max="6" width="10.88"/>
    <col customWidth="1" min="7" max="7" width="10.75"/>
    <col customWidth="1" min="8" max="8" width="10.25"/>
  </cols>
  <sheetData>
    <row r="2">
      <c r="C2" s="16" t="s">
        <v>240</v>
      </c>
      <c r="D2" s="16" t="s">
        <v>12</v>
      </c>
      <c r="E2" s="16" t="s">
        <v>198</v>
      </c>
      <c r="F2" s="16" t="s">
        <v>630</v>
      </c>
      <c r="G2" s="16" t="s">
        <v>861</v>
      </c>
      <c r="H2" s="16" t="s">
        <v>1201</v>
      </c>
    </row>
    <row r="3">
      <c r="A3" s="17" t="s">
        <v>1277</v>
      </c>
      <c r="B3" s="17" t="s">
        <v>1202</v>
      </c>
      <c r="C3" s="7">
        <v>0.27191011235955054</v>
      </c>
      <c r="D3" s="7">
        <v>0.15760869565217392</v>
      </c>
      <c r="E3" s="7">
        <v>0.047619047619047616</v>
      </c>
      <c r="F3" s="7">
        <v>0.6311475409836066</v>
      </c>
      <c r="G3" s="7">
        <v>0.0593607305936073</v>
      </c>
      <c r="H3" s="7">
        <v>0.27705627705627706</v>
      </c>
    </row>
    <row r="4">
      <c r="A4" s="16"/>
      <c r="B4" s="17" t="s">
        <v>1204</v>
      </c>
      <c r="C4" s="7">
        <v>0.7280898876404495</v>
      </c>
      <c r="D4" s="7">
        <v>0.842391304347826</v>
      </c>
      <c r="E4" s="7">
        <v>0.9523809523809523</v>
      </c>
      <c r="F4" s="7">
        <v>0.36885245901639346</v>
      </c>
      <c r="G4" s="7">
        <v>0.9406392694063926</v>
      </c>
      <c r="H4" s="7">
        <v>0.7229437229437229</v>
      </c>
    </row>
    <row r="5">
      <c r="A5" s="17" t="s">
        <v>1278</v>
      </c>
      <c r="B5" s="17" t="s">
        <v>1202</v>
      </c>
      <c r="C5" s="7">
        <v>0.3676092544987147</v>
      </c>
      <c r="D5" s="7">
        <v>0.0958904109589041</v>
      </c>
      <c r="E5" s="7">
        <v>0.0</v>
      </c>
      <c r="F5" s="7">
        <v>0.4978165938864629</v>
      </c>
      <c r="G5" s="7">
        <v>0.0055248618784530384</v>
      </c>
      <c r="H5" s="7">
        <v>0.2769857433808554</v>
      </c>
    </row>
    <row r="6">
      <c r="A6" s="16"/>
      <c r="B6" s="17" t="s">
        <v>1204</v>
      </c>
      <c r="C6" s="7">
        <v>0.6323907455012854</v>
      </c>
      <c r="D6" s="7">
        <v>0.9041095890410958</v>
      </c>
      <c r="E6" s="7">
        <v>1.0</v>
      </c>
      <c r="F6" s="7">
        <v>0.5021834061135371</v>
      </c>
      <c r="G6" s="7">
        <v>0.994475138121547</v>
      </c>
      <c r="H6" s="7">
        <v>0.7230142566191446</v>
      </c>
    </row>
    <row r="7">
      <c r="C7" s="16"/>
      <c r="D7" s="16"/>
      <c r="E7" s="16"/>
      <c r="F7" s="16"/>
      <c r="G7" s="16"/>
      <c r="H7" s="16"/>
    </row>
    <row r="8">
      <c r="C8" s="16" t="s">
        <v>240</v>
      </c>
      <c r="D8" s="16" t="s">
        <v>12</v>
      </c>
      <c r="E8" s="16" t="s">
        <v>198</v>
      </c>
      <c r="F8" s="16" t="s">
        <v>630</v>
      </c>
      <c r="G8" s="16" t="s">
        <v>861</v>
      </c>
      <c r="H8" s="16" t="s">
        <v>1201</v>
      </c>
    </row>
    <row r="9">
      <c r="A9" s="17" t="s">
        <v>1277</v>
      </c>
      <c r="B9" s="17" t="s">
        <v>1202</v>
      </c>
      <c r="C9" s="18">
        <f t="shared" ref="C9:H9" si="1">C3*100</f>
        <v>27.19101124</v>
      </c>
      <c r="D9" s="18">
        <f t="shared" si="1"/>
        <v>15.76086957</v>
      </c>
      <c r="E9" s="18">
        <f t="shared" si="1"/>
        <v>4.761904762</v>
      </c>
      <c r="F9" s="18">
        <f t="shared" si="1"/>
        <v>63.1147541</v>
      </c>
      <c r="G9" s="18">
        <f t="shared" si="1"/>
        <v>5.936073059</v>
      </c>
      <c r="H9" s="18">
        <f t="shared" si="1"/>
        <v>27.70562771</v>
      </c>
    </row>
    <row r="10">
      <c r="A10" s="16"/>
      <c r="B10" s="17" t="s">
        <v>1204</v>
      </c>
      <c r="C10" s="18">
        <f t="shared" ref="C10:H10" si="2">C4*100</f>
        <v>72.80898876</v>
      </c>
      <c r="D10" s="18">
        <f t="shared" si="2"/>
        <v>84.23913043</v>
      </c>
      <c r="E10" s="18">
        <f t="shared" si="2"/>
        <v>95.23809524</v>
      </c>
      <c r="F10" s="18">
        <f t="shared" si="2"/>
        <v>36.8852459</v>
      </c>
      <c r="G10" s="18">
        <f t="shared" si="2"/>
        <v>94.06392694</v>
      </c>
      <c r="H10" s="18">
        <f t="shared" si="2"/>
        <v>72.29437229</v>
      </c>
    </row>
    <row r="11">
      <c r="A11" s="17" t="s">
        <v>1278</v>
      </c>
      <c r="B11" s="17" t="s">
        <v>1202</v>
      </c>
      <c r="C11" s="18">
        <f t="shared" ref="C11:H11" si="3">C5*100</f>
        <v>36.76092545</v>
      </c>
      <c r="D11" s="18">
        <f t="shared" si="3"/>
        <v>9.589041096</v>
      </c>
      <c r="E11" s="18">
        <f t="shared" si="3"/>
        <v>0</v>
      </c>
      <c r="F11" s="18">
        <f t="shared" si="3"/>
        <v>49.78165939</v>
      </c>
      <c r="G11" s="18">
        <f t="shared" si="3"/>
        <v>0.5524861878</v>
      </c>
      <c r="H11" s="18">
        <f t="shared" si="3"/>
        <v>27.69857434</v>
      </c>
    </row>
    <row r="12">
      <c r="A12" s="16"/>
      <c r="B12" s="17" t="s">
        <v>1204</v>
      </c>
      <c r="C12" s="18">
        <f t="shared" ref="C12:H12" si="4">C6*100</f>
        <v>63.23907455</v>
      </c>
      <c r="D12" s="18">
        <f t="shared" si="4"/>
        <v>90.4109589</v>
      </c>
      <c r="E12" s="18">
        <f t="shared" si="4"/>
        <v>100</v>
      </c>
      <c r="F12" s="18">
        <f t="shared" si="4"/>
        <v>50.21834061</v>
      </c>
      <c r="G12" s="18">
        <f t="shared" si="4"/>
        <v>99.44751381</v>
      </c>
      <c r="H12" s="18">
        <f t="shared" si="4"/>
        <v>72.30142566</v>
      </c>
    </row>
  </sheetData>
  <drawing r:id="rId1"/>
</worksheet>
</file>